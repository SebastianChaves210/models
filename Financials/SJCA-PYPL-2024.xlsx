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Financials/"/>
    </mc:Choice>
  </mc:AlternateContent>
  <xr:revisionPtr revIDLastSave="0" documentId="13_ncr:1_{EEBAE95D-763F-41E0-A88E-08ADC558B0E5}" xr6:coauthVersionLast="47" xr6:coauthVersionMax="47" xr10:uidLastSave="{00000000-0000-0000-0000-000000000000}"/>
  <bookViews>
    <workbookView xWindow="10215" yWindow="540" windowWidth="16350" windowHeight="12510" activeTab="1" xr2:uid="{77457E1E-5BA7-4596-88BB-5A4DC9A1A35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2" l="1"/>
  <c r="AL3" i="2"/>
  <c r="AM3" i="2"/>
  <c r="BA33" i="2"/>
  <c r="AQ35" i="2"/>
  <c r="AP35" i="2"/>
  <c r="AO35" i="2"/>
  <c r="AN35" i="2"/>
  <c r="BA32" i="2"/>
  <c r="BA23" i="2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AZ23" i="2"/>
  <c r="AY23" i="2"/>
  <c r="AO17" i="2"/>
  <c r="AP17" i="2" s="1"/>
  <c r="AQ17" i="2" s="1"/>
  <c r="AR17" i="2" s="1"/>
  <c r="AS17" i="2" s="1"/>
  <c r="AT17" i="2" s="1"/>
  <c r="AU17" i="2" s="1"/>
  <c r="AV17" i="2" s="1"/>
  <c r="AW17" i="2" s="1"/>
  <c r="AX17" i="2" s="1"/>
  <c r="AO16" i="2"/>
  <c r="AP16" i="2" s="1"/>
  <c r="AQ16" i="2" s="1"/>
  <c r="AR16" i="2" s="1"/>
  <c r="AS16" i="2" s="1"/>
  <c r="AT16" i="2" s="1"/>
  <c r="AU16" i="2" s="1"/>
  <c r="AV16" i="2" s="1"/>
  <c r="AW16" i="2" s="1"/>
  <c r="AX16" i="2" s="1"/>
  <c r="AO15" i="2"/>
  <c r="AO18" i="2" s="1"/>
  <c r="AO19" i="2" s="1"/>
  <c r="AO21" i="2" s="1"/>
  <c r="AO22" i="2" s="1"/>
  <c r="AO31" i="2" s="1"/>
  <c r="AP14" i="2"/>
  <c r="AO14" i="2"/>
  <c r="AO20" i="2"/>
  <c r="AX29" i="2"/>
  <c r="AW29" i="2"/>
  <c r="AV29" i="2"/>
  <c r="AU29" i="2"/>
  <c r="AT29" i="2"/>
  <c r="AS29" i="2"/>
  <c r="AR29" i="2"/>
  <c r="AQ29" i="2"/>
  <c r="AP29" i="2"/>
  <c r="AO29" i="2"/>
  <c r="AN33" i="2"/>
  <c r="AM33" i="2"/>
  <c r="AN31" i="2"/>
  <c r="AP25" i="2"/>
  <c r="AQ25" i="2" s="1"/>
  <c r="AO25" i="2"/>
  <c r="AX13" i="2"/>
  <c r="AW13" i="2"/>
  <c r="AV13" i="2"/>
  <c r="AU13" i="2"/>
  <c r="AT13" i="2"/>
  <c r="AS13" i="2"/>
  <c r="AR13" i="2"/>
  <c r="AQ13" i="2"/>
  <c r="AP13" i="2"/>
  <c r="AO13" i="2"/>
  <c r="AN29" i="2"/>
  <c r="AP10" i="2"/>
  <c r="AQ10" i="2" s="1"/>
  <c r="AR10" i="2" s="1"/>
  <c r="AS10" i="2" s="1"/>
  <c r="AT10" i="2" s="1"/>
  <c r="AU10" i="2" s="1"/>
  <c r="AV10" i="2" s="1"/>
  <c r="AW10" i="2" s="1"/>
  <c r="AX10" i="2" s="1"/>
  <c r="AO10" i="2"/>
  <c r="AN25" i="2"/>
  <c r="AN22" i="2"/>
  <c r="AN20" i="2"/>
  <c r="AN19" i="2"/>
  <c r="AN21" i="2" s="1"/>
  <c r="AN23" i="2" s="1"/>
  <c r="AN18" i="2"/>
  <c r="AN17" i="2"/>
  <c r="AN16" i="2"/>
  <c r="AN15" i="2"/>
  <c r="AN14" i="2"/>
  <c r="AN13" i="2"/>
  <c r="AN10" i="2"/>
  <c r="AN9" i="2"/>
  <c r="AN8" i="2"/>
  <c r="AD17" i="2"/>
  <c r="AC17" i="2"/>
  <c r="AB17" i="2"/>
  <c r="AD16" i="2"/>
  <c r="AC16" i="2"/>
  <c r="AB16" i="2"/>
  <c r="AD15" i="2"/>
  <c r="AC15" i="2"/>
  <c r="AB15" i="2"/>
  <c r="AD14" i="2"/>
  <c r="AD18" i="2" s="1"/>
  <c r="AD19" i="2" s="1"/>
  <c r="AC14" i="2"/>
  <c r="AC18" i="2" s="1"/>
  <c r="AC19" i="2" s="1"/>
  <c r="AB14" i="2"/>
  <c r="AB18" i="2" s="1"/>
  <c r="AD13" i="2"/>
  <c r="AC13" i="2"/>
  <c r="AB13" i="2"/>
  <c r="AB20" i="2"/>
  <c r="AC20" i="2" s="1"/>
  <c r="AD25" i="2"/>
  <c r="AC25" i="2"/>
  <c r="AB25" i="2"/>
  <c r="AD10" i="2"/>
  <c r="AC10" i="2"/>
  <c r="AB10" i="2"/>
  <c r="AA10" i="2"/>
  <c r="AA20" i="2"/>
  <c r="AA17" i="2"/>
  <c r="AA16" i="2"/>
  <c r="AA15" i="2"/>
  <c r="AA14" i="2"/>
  <c r="AA18" i="2"/>
  <c r="AA19" i="2" s="1"/>
  <c r="AA21" i="2" s="1"/>
  <c r="AA22" i="2" s="1"/>
  <c r="AA25" i="2"/>
  <c r="X89" i="2"/>
  <c r="U88" i="2"/>
  <c r="U86" i="2"/>
  <c r="U84" i="2"/>
  <c r="U75" i="2"/>
  <c r="U71" i="2"/>
  <c r="U68" i="2"/>
  <c r="U65" i="2"/>
  <c r="U66" i="2"/>
  <c r="U51" i="2"/>
  <c r="U44" i="2"/>
  <c r="U49" i="2"/>
  <c r="U46" i="2"/>
  <c r="U42" i="2"/>
  <c r="U40" i="2"/>
  <c r="U36" i="2"/>
  <c r="U34" i="2"/>
  <c r="U33" i="2" s="1"/>
  <c r="T33" i="2"/>
  <c r="Z89" i="2"/>
  <c r="V80" i="2"/>
  <c r="V84" i="2"/>
  <c r="V75" i="2"/>
  <c r="V74" i="2"/>
  <c r="V71" i="2"/>
  <c r="AP15" i="2" l="1"/>
  <c r="AQ15" i="2" s="1"/>
  <c r="AR15" i="2" s="1"/>
  <c r="AS15" i="2" s="1"/>
  <c r="AT15" i="2" s="1"/>
  <c r="AU15" i="2" s="1"/>
  <c r="AV15" i="2" s="1"/>
  <c r="AW15" i="2" s="1"/>
  <c r="AX15" i="2" s="1"/>
  <c r="AQ14" i="2"/>
  <c r="AO23" i="2"/>
  <c r="AR25" i="2"/>
  <c r="AN24" i="2"/>
  <c r="AB19" i="2"/>
  <c r="AB21" i="2" s="1"/>
  <c r="AB22" i="2" s="1"/>
  <c r="AB23" i="2" s="1"/>
  <c r="AB24" i="2" s="1"/>
  <c r="AD20" i="2"/>
  <c r="AD21" i="2" s="1"/>
  <c r="AD22" i="2" s="1"/>
  <c r="AC21" i="2"/>
  <c r="AC22" i="2" s="1"/>
  <c r="AC23" i="2" s="1"/>
  <c r="AC24" i="2" s="1"/>
  <c r="AD23" i="2"/>
  <c r="AD24" i="2"/>
  <c r="AA23" i="2"/>
  <c r="AA24" i="2" s="1"/>
  <c r="V86" i="2"/>
  <c r="V68" i="2"/>
  <c r="V57" i="2"/>
  <c r="V66" i="2"/>
  <c r="V88" i="2" s="1"/>
  <c r="Y89" i="2" s="1"/>
  <c r="V51" i="2"/>
  <c r="V49" i="2"/>
  <c r="V44" i="2"/>
  <c r="V40" i="2"/>
  <c r="V42" i="2" s="1"/>
  <c r="V34" i="2"/>
  <c r="V36" i="2"/>
  <c r="V33" i="2"/>
  <c r="W44" i="2"/>
  <c r="W49" i="2"/>
  <c r="W34" i="2"/>
  <c r="W40" i="2"/>
  <c r="W36" i="2"/>
  <c r="W42" i="2" s="1"/>
  <c r="W33" i="2"/>
  <c r="Y44" i="2"/>
  <c r="Y40" i="2"/>
  <c r="Y36" i="2"/>
  <c r="Y34" i="2"/>
  <c r="P27" i="2"/>
  <c r="L18" i="2"/>
  <c r="P18" i="2"/>
  <c r="L13" i="2"/>
  <c r="L29" i="2" s="1"/>
  <c r="P13" i="2"/>
  <c r="P29" i="2" s="1"/>
  <c r="Y88" i="2"/>
  <c r="X88" i="2"/>
  <c r="W88" i="2"/>
  <c r="Z68" i="2"/>
  <c r="Z75" i="2" s="1"/>
  <c r="Z74" i="2"/>
  <c r="Z71" i="2"/>
  <c r="Y84" i="2"/>
  <c r="Y74" i="2"/>
  <c r="Y71" i="2"/>
  <c r="Z84" i="2"/>
  <c r="Z66" i="2"/>
  <c r="Y66" i="2"/>
  <c r="Z44" i="2"/>
  <c r="Z49" i="2"/>
  <c r="Y49" i="2"/>
  <c r="Z40" i="2"/>
  <c r="Z36" i="2"/>
  <c r="Z34" i="2"/>
  <c r="Z33" i="2" s="1"/>
  <c r="T29" i="2"/>
  <c r="Y18" i="2"/>
  <c r="Z28" i="2"/>
  <c r="Y28" i="2"/>
  <c r="Z18" i="2"/>
  <c r="Z10" i="2"/>
  <c r="Z27" i="2" s="1"/>
  <c r="Y10" i="2"/>
  <c r="Y27" i="2" s="1"/>
  <c r="W80" i="2"/>
  <c r="W84" i="2" s="1"/>
  <c r="W71" i="2"/>
  <c r="W75" i="2" s="1"/>
  <c r="W66" i="2"/>
  <c r="W28" i="2"/>
  <c r="V28" i="2"/>
  <c r="U28" i="2"/>
  <c r="T28" i="2"/>
  <c r="S28" i="2"/>
  <c r="R28" i="2"/>
  <c r="Q28" i="2"/>
  <c r="X10" i="2"/>
  <c r="X13" i="2" s="1"/>
  <c r="X29" i="2" s="1"/>
  <c r="W10" i="2"/>
  <c r="W27" i="2" s="1"/>
  <c r="V10" i="2"/>
  <c r="V27" i="2" s="1"/>
  <c r="U10" i="2"/>
  <c r="U27" i="2" s="1"/>
  <c r="T10" i="2"/>
  <c r="T13" i="2" s="1"/>
  <c r="X80" i="2"/>
  <c r="X84" i="2" s="1"/>
  <c r="X71" i="2"/>
  <c r="X75" i="2" s="1"/>
  <c r="X66" i="2"/>
  <c r="X18" i="2"/>
  <c r="W18" i="2"/>
  <c r="V18" i="2"/>
  <c r="U18" i="2"/>
  <c r="T18" i="2"/>
  <c r="X44" i="2"/>
  <c r="X49" i="2" s="1"/>
  <c r="X34" i="2"/>
  <c r="X33" i="2" s="1"/>
  <c r="X40" i="2"/>
  <c r="X36" i="2"/>
  <c r="X28" i="2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S33" i="2"/>
  <c r="S27" i="2"/>
  <c r="O18" i="2"/>
  <c r="S18" i="2"/>
  <c r="O13" i="2"/>
  <c r="O29" i="2" s="1"/>
  <c r="S13" i="2"/>
  <c r="S29" i="2" s="1"/>
  <c r="M18" i="2"/>
  <c r="M13" i="2"/>
  <c r="M29" i="2" s="1"/>
  <c r="Q18" i="2"/>
  <c r="Q13" i="2"/>
  <c r="Q29" i="2" s="1"/>
  <c r="Q27" i="2"/>
  <c r="AR14" i="2" l="1"/>
  <c r="AQ18" i="2"/>
  <c r="AQ19" i="2" s="1"/>
  <c r="AP18" i="2"/>
  <c r="AP19" i="2" s="1"/>
  <c r="AO24" i="2"/>
  <c r="AO33" i="2"/>
  <c r="AS25" i="2"/>
  <c r="Z88" i="2"/>
  <c r="P19" i="2"/>
  <c r="Y13" i="2"/>
  <c r="Y75" i="2"/>
  <c r="L19" i="2"/>
  <c r="Z42" i="2"/>
  <c r="Y42" i="2"/>
  <c r="Y33" i="2"/>
  <c r="Z86" i="2"/>
  <c r="Y86" i="2"/>
  <c r="Z13" i="2"/>
  <c r="W86" i="2"/>
  <c r="U13" i="2"/>
  <c r="V13" i="2"/>
  <c r="W13" i="2"/>
  <c r="W29" i="2" s="1"/>
  <c r="X42" i="2"/>
  <c r="W19" i="2"/>
  <c r="T27" i="2"/>
  <c r="X86" i="2"/>
  <c r="X27" i="2"/>
  <c r="X19" i="2"/>
  <c r="T19" i="2"/>
  <c r="O19" i="2"/>
  <c r="S19" i="2"/>
  <c r="M19" i="2"/>
  <c r="Q19" i="2"/>
  <c r="R46" i="2"/>
  <c r="R44" i="2"/>
  <c r="R40" i="2"/>
  <c r="R34" i="2"/>
  <c r="R33" i="2" s="1"/>
  <c r="M4" i="1"/>
  <c r="M7" i="1" s="1"/>
  <c r="N18" i="2"/>
  <c r="N13" i="2"/>
  <c r="AS14" i="2" l="1"/>
  <c r="AR18" i="2"/>
  <c r="AR19" i="2" s="1"/>
  <c r="AP20" i="2"/>
  <c r="AP21" i="2" s="1"/>
  <c r="AP22" i="2" s="1"/>
  <c r="AT25" i="2"/>
  <c r="T21" i="2"/>
  <c r="T30" i="2"/>
  <c r="Z19" i="2"/>
  <c r="Z29" i="2"/>
  <c r="X21" i="2"/>
  <c r="X30" i="2"/>
  <c r="U19" i="2"/>
  <c r="U29" i="2"/>
  <c r="W21" i="2"/>
  <c r="W30" i="2"/>
  <c r="V19" i="2"/>
  <c r="V29" i="2"/>
  <c r="L30" i="2"/>
  <c r="L21" i="2"/>
  <c r="Y19" i="2"/>
  <c r="Y29" i="2"/>
  <c r="P21" i="2"/>
  <c r="P30" i="2"/>
  <c r="Q21" i="2"/>
  <c r="Q30" i="2"/>
  <c r="M21" i="2"/>
  <c r="M30" i="2"/>
  <c r="S30" i="2"/>
  <c r="S21" i="2"/>
  <c r="O21" i="2"/>
  <c r="O30" i="2"/>
  <c r="N19" i="2"/>
  <c r="N30" i="2" s="1"/>
  <c r="R49" i="2"/>
  <c r="R42" i="2"/>
  <c r="N29" i="2"/>
  <c r="R18" i="2"/>
  <c r="R13" i="2"/>
  <c r="R29" i="2" s="1"/>
  <c r="R27" i="2"/>
  <c r="AS18" i="2" l="1"/>
  <c r="AS19" i="2" s="1"/>
  <c r="AT14" i="2"/>
  <c r="AP23" i="2"/>
  <c r="AP31" i="2"/>
  <c r="AU25" i="2"/>
  <c r="L23" i="2"/>
  <c r="L24" i="2" s="1"/>
  <c r="L31" i="2"/>
  <c r="Y30" i="2"/>
  <c r="Y21" i="2"/>
  <c r="W23" i="2"/>
  <c r="W31" i="2"/>
  <c r="U21" i="2"/>
  <c r="U30" i="2"/>
  <c r="P23" i="2"/>
  <c r="P24" i="2" s="1"/>
  <c r="P31" i="2"/>
  <c r="V21" i="2"/>
  <c r="V30" i="2"/>
  <c r="X23" i="2"/>
  <c r="X31" i="2"/>
  <c r="Z21" i="2"/>
  <c r="Z30" i="2"/>
  <c r="T23" i="2"/>
  <c r="T24" i="2" s="1"/>
  <c r="T31" i="2"/>
  <c r="O23" i="2"/>
  <c r="O24" i="2" s="1"/>
  <c r="O31" i="2"/>
  <c r="S23" i="2"/>
  <c r="S24" i="2" s="1"/>
  <c r="S31" i="2"/>
  <c r="M23" i="2"/>
  <c r="M24" i="2" s="1"/>
  <c r="M31" i="2"/>
  <c r="Q23" i="2"/>
  <c r="Q24" i="2" s="1"/>
  <c r="Q31" i="2"/>
  <c r="N21" i="2"/>
  <c r="N23" i="2" s="1"/>
  <c r="N24" i="2" s="1"/>
  <c r="R19" i="2"/>
  <c r="N31" i="2"/>
  <c r="AU14" i="2" l="1"/>
  <c r="AT18" i="2"/>
  <c r="AT19" i="2" s="1"/>
  <c r="AP24" i="2"/>
  <c r="AP33" i="2"/>
  <c r="AV25" i="2"/>
  <c r="U23" i="2"/>
  <c r="U24" i="2" s="1"/>
  <c r="U31" i="2"/>
  <c r="Z23" i="2"/>
  <c r="Z31" i="2"/>
  <c r="X51" i="2"/>
  <c r="X24" i="2"/>
  <c r="V23" i="2"/>
  <c r="V24" i="2" s="1"/>
  <c r="V31" i="2"/>
  <c r="W51" i="2"/>
  <c r="W24" i="2"/>
  <c r="Y23" i="2"/>
  <c r="Y31" i="2"/>
  <c r="R30" i="2"/>
  <c r="R21" i="2"/>
  <c r="AV14" i="2" l="1"/>
  <c r="AU18" i="2"/>
  <c r="AU19" i="2" s="1"/>
  <c r="AQ20" i="2"/>
  <c r="AQ21" i="2" s="1"/>
  <c r="AW25" i="2"/>
  <c r="Y24" i="2"/>
  <c r="Y51" i="2"/>
  <c r="Z24" i="2"/>
  <c r="Z51" i="2"/>
  <c r="R31" i="2"/>
  <c r="R23" i="2"/>
  <c r="R24" i="2" s="1"/>
  <c r="AV18" i="2" l="1"/>
  <c r="AV19" i="2" s="1"/>
  <c r="AW14" i="2"/>
  <c r="AQ22" i="2"/>
  <c r="AQ31" i="2" s="1"/>
  <c r="AQ23" i="2"/>
  <c r="AX25" i="2"/>
  <c r="AX14" i="2" l="1"/>
  <c r="AX18" i="2" s="1"/>
  <c r="AX19" i="2" s="1"/>
  <c r="AW18" i="2"/>
  <c r="AW19" i="2" s="1"/>
  <c r="AQ24" i="2"/>
  <c r="AQ33" i="2"/>
  <c r="AR20" i="2" l="1"/>
  <c r="AR21" i="2" s="1"/>
  <c r="AR22" i="2" l="1"/>
  <c r="AR31" i="2" s="1"/>
  <c r="AR23" i="2" l="1"/>
  <c r="AR24" i="2" l="1"/>
  <c r="AR33" i="2"/>
  <c r="AS20" i="2" l="1"/>
  <c r="AS21" i="2" s="1"/>
  <c r="AS22" i="2" l="1"/>
  <c r="AS31" i="2" s="1"/>
  <c r="AS23" i="2"/>
  <c r="AS24" i="2" l="1"/>
  <c r="AS33" i="2"/>
  <c r="AT20" i="2" l="1"/>
  <c r="AT21" i="2" s="1"/>
  <c r="AT22" i="2" l="1"/>
  <c r="AT31" i="2" s="1"/>
  <c r="AT23" i="2" l="1"/>
  <c r="AT24" i="2" l="1"/>
  <c r="AT33" i="2"/>
  <c r="AU20" i="2" l="1"/>
  <c r="AU21" i="2" s="1"/>
  <c r="AU22" i="2" l="1"/>
  <c r="AU31" i="2" s="1"/>
  <c r="AU23" i="2"/>
  <c r="AU24" i="2" l="1"/>
  <c r="AU33" i="2"/>
  <c r="AV20" i="2" l="1"/>
  <c r="AV21" i="2" s="1"/>
  <c r="AV22" i="2" l="1"/>
  <c r="AV31" i="2" s="1"/>
  <c r="AV23" i="2" l="1"/>
  <c r="AV24" i="2" l="1"/>
  <c r="AV33" i="2"/>
  <c r="AW20" i="2" l="1"/>
  <c r="AW21" i="2" s="1"/>
  <c r="AW22" i="2" l="1"/>
  <c r="AW31" i="2" s="1"/>
  <c r="AW23" i="2" l="1"/>
  <c r="AW24" i="2" l="1"/>
  <c r="AW33" i="2"/>
  <c r="AX20" i="2" l="1"/>
  <c r="AX21" i="2" s="1"/>
  <c r="AX22" i="2" l="1"/>
  <c r="AX31" i="2" s="1"/>
  <c r="AX23" i="2" l="1"/>
  <c r="AX24" i="2" l="1"/>
  <c r="AX33" i="2"/>
</calcChain>
</file>

<file path=xl/sharedStrings.xml><?xml version="1.0" encoding="utf-8"?>
<sst xmlns="http://schemas.openxmlformats.org/spreadsheetml/2006/main" count="128" uniqueCount="108">
  <si>
    <t>Price</t>
  </si>
  <si>
    <t>Shares</t>
  </si>
  <si>
    <t>MC</t>
  </si>
  <si>
    <t>Cash</t>
  </si>
  <si>
    <t>Debt</t>
  </si>
  <si>
    <t>EV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</si>
  <si>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</si>
  <si>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</si>
  <si>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</si>
  <si>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</si>
  <si>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</si>
  <si>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</si>
  <si>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</si>
  <si>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</si>
  <si>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</si>
  <si>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</si>
  <si>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</si>
  <si>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</si>
  <si>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</si>
  <si>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</si>
  <si>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</si>
  <si>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</si>
  <si>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</si>
  <si>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</si>
  <si>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</si>
  <si>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</si>
  <si>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</si>
  <si>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Main</t>
  </si>
  <si>
    <t>Revenue y/y</t>
  </si>
  <si>
    <t>Gross Margin</t>
  </si>
  <si>
    <t>COGS</t>
  </si>
  <si>
    <t>Losses</t>
  </si>
  <si>
    <t>Operating Expenses</t>
  </si>
  <si>
    <t>Operating Income</t>
  </si>
  <si>
    <t>Customer Service</t>
  </si>
  <si>
    <t>S&amp;M</t>
  </si>
  <si>
    <t>R&amp;D</t>
  </si>
  <si>
    <t>G&amp;A</t>
  </si>
  <si>
    <t>EPS</t>
  </si>
  <si>
    <t>Net Income</t>
  </si>
  <si>
    <t>Taxes</t>
  </si>
  <si>
    <t>Pretax</t>
  </si>
  <si>
    <t>Operating Margin</t>
  </si>
  <si>
    <t>Tax Rate</t>
  </si>
  <si>
    <t>Assets</t>
  </si>
  <si>
    <t>AR</t>
  </si>
  <si>
    <t>Loans</t>
  </si>
  <si>
    <t>Funds</t>
  </si>
  <si>
    <t>Prepaids</t>
  </si>
  <si>
    <t>PP&amp;E</t>
  </si>
  <si>
    <t>Goodwill</t>
  </si>
  <si>
    <t>Other</t>
  </si>
  <si>
    <t>Net Cash</t>
  </si>
  <si>
    <t>AP</t>
  </si>
  <si>
    <t>SE</t>
  </si>
  <si>
    <t>TPV</t>
  </si>
  <si>
    <t>Q124</t>
  </si>
  <si>
    <t>Q224</t>
  </si>
  <si>
    <t>Q324</t>
  </si>
  <si>
    <t>Q424</t>
  </si>
  <si>
    <t>TPV y/y</t>
  </si>
  <si>
    <t>Model NI</t>
  </si>
  <si>
    <t>Reported NI</t>
  </si>
  <si>
    <t>Credit Losses</t>
  </si>
  <si>
    <t>D&amp;A</t>
  </si>
  <si>
    <t>SBC</t>
  </si>
  <si>
    <t>DT</t>
  </si>
  <si>
    <t>Strategic</t>
  </si>
  <si>
    <t>Discount on Investments</t>
  </si>
  <si>
    <t>Loan Adjustments</t>
  </si>
  <si>
    <t>Originations</t>
  </si>
  <si>
    <t>Repayments</t>
  </si>
  <si>
    <t>CFFO</t>
  </si>
  <si>
    <t>Investments</t>
  </si>
  <si>
    <t>Funds Receivable</t>
  </si>
  <si>
    <t>Collateral</t>
  </si>
  <si>
    <t>CFFI</t>
  </si>
  <si>
    <t>Issuance</t>
  </si>
  <si>
    <t>Buyback</t>
  </si>
  <si>
    <t>Tax Withholdings</t>
  </si>
  <si>
    <t>Financing Arragements</t>
  </si>
  <si>
    <t>Customer Funds</t>
  </si>
  <si>
    <t>CFFF</t>
  </si>
  <si>
    <t>FX</t>
  </si>
  <si>
    <t>CIC</t>
  </si>
  <si>
    <t>Transactions</t>
  </si>
  <si>
    <t>Tranasction Revenue</t>
  </si>
  <si>
    <t>VAS Revenue</t>
  </si>
  <si>
    <t>Accounts</t>
  </si>
  <si>
    <t>L+SE</t>
  </si>
  <si>
    <t>Q125</t>
  </si>
  <si>
    <t>Q225</t>
  </si>
  <si>
    <t>Q325</t>
  </si>
  <si>
    <t>Q425</t>
  </si>
  <si>
    <t>FCF</t>
  </si>
  <si>
    <t xml:space="preserve">  TTM</t>
  </si>
  <si>
    <t>PayPal Everywhere</t>
  </si>
  <si>
    <t>PSP (unbranded card processing) (35% of TPV)</t>
  </si>
  <si>
    <t>Branded Checkout (30% of TPV)</t>
  </si>
  <si>
    <t>Venmo (17% of TPV)</t>
  </si>
  <si>
    <t>P2P ex-Venmo (8% of TPV)</t>
  </si>
  <si>
    <t>eBay (2% of TPV)</t>
  </si>
  <si>
    <t>Other Merchant (9% of TPV)</t>
  </si>
  <si>
    <t>Interest Expense</t>
  </si>
  <si>
    <t>ROIC</t>
  </si>
  <si>
    <t>Maturity</t>
  </si>
  <si>
    <t>Discount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</si>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</sst>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9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9" fontId="0" fillId="0" borderId="0" xfId="0" applyNumberFormat="1" applyAlignment="1">
      <alignment horizontal="right"/>
    </xf>
    <xf numFmtId="9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7A44FBD-EC87-45E1-BBBE-6A63EE7502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10018</xdr:colOff>
      <xdr:row>0</xdr:row>
      <xdr:rowOff>12051</xdr:rowOff>
    </xdr:from>
    <xdr:to>
      <xdr:col>26</xdr:col>
      <xdr:colOff>10018</xdr:colOff>
      <xdr:row>94</xdr:row>
      <xdr:rowOff>148828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CC3EBC1-B683-130A-9C99-2C18DCF1CF0A}"/>
            </a:ext>
          </a:extLst>
        </xdr:cNvPr>
        <xdr:cNvCxnSpPr/>
      </xdr:nvCxnSpPr>
      <xdr:spPr>
        <a:xfrm>
          <a:off x="16166799" y="12051"/>
          <a:ext cx="0" cy="155672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C1F2-1B95-4A2D-94EF-7F01AC3D39CD}">
  <dimension ref="B2:N8"/>
  <sheetViews>
    <sheetView zoomScaleNormal="100" workbookViewId="0">
      <selection activeCell="B9" sqref="B9"/>
    </sheetView>
  </sheetViews>
  <sheetFormatPr defaultRowHeight="12.75" x14ac:dyDescent="0.2"/>
  <sheetData>
    <row r="2" spans="2:14" x14ac:dyDescent="0.2">
      <c r="B2" t="s">
        <v>99</v>
      </c>
      <c r="L2" t="s">
        <v>0</v>
      </c>
      <c r="M2">
        <v>59.35</v>
      </c>
    </row>
    <row r="3" spans="2:14" x14ac:dyDescent="0.2">
      <c r="B3" t="s">
        <v>96</v>
      </c>
      <c r="L3" t="s">
        <v>1</v>
      </c>
      <c r="M3" s="4">
        <v>1014</v>
      </c>
      <c r="N3" s="1" t="s">
        <v>59</v>
      </c>
    </row>
    <row r="4" spans="2:14" x14ac:dyDescent="0.2">
      <c r="B4" t="s">
        <v>97</v>
      </c>
      <c r="L4" t="s">
        <v>2</v>
      </c>
      <c r="M4" s="4">
        <f>M2*M3</f>
        <v>60180.9</v>
      </c>
    </row>
    <row r="5" spans="2:14" x14ac:dyDescent="0.2">
      <c r="B5" t="s">
        <v>98</v>
      </c>
      <c r="L5" t="s">
        <v>3</v>
      </c>
      <c r="M5" s="4">
        <v>15406</v>
      </c>
      <c r="N5" s="1" t="s">
        <v>59</v>
      </c>
    </row>
    <row r="6" spans="2:14" x14ac:dyDescent="0.2">
      <c r="B6" t="s">
        <v>100</v>
      </c>
      <c r="L6" t="s">
        <v>4</v>
      </c>
      <c r="M6" s="4">
        <v>9879</v>
      </c>
      <c r="N6" s="1" t="s">
        <v>59</v>
      </c>
    </row>
    <row r="7" spans="2:14" x14ac:dyDescent="0.2">
      <c r="B7" t="s">
        <v>101</v>
      </c>
      <c r="L7" t="s">
        <v>5</v>
      </c>
      <c r="M7" s="4">
        <f>M4-M5+M6</f>
        <v>54653.9</v>
      </c>
    </row>
    <row r="8" spans="2:14" x14ac:dyDescent="0.2">
      <c r="B8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DD04-3742-4652-B3CF-AD5D3283DE29}">
  <dimension ref="A1:DL89"/>
  <sheetViews>
    <sheetView tabSelected="1" zoomScale="115" zoomScaleNormal="115" workbookViewId="0">
      <pane xSplit="2" ySplit="2" topLeftCell="AN3" activePane="bottomRight" state="frozen"/>
      <selection pane="topRight" activeCell="C1" sqref="C1"/>
      <selection pane="bottomLeft" activeCell="A3" sqref="A3"/>
      <selection pane="bottomRight" activeCell="AN10" sqref="AN10"/>
    </sheetView>
  </sheetViews>
  <sheetFormatPr defaultRowHeight="12.75" x14ac:dyDescent="0.2"/>
  <cols>
    <col min="1" max="1" width="5" bestFit="1" customWidth="1"/>
    <col min="2" max="2" width="18.7109375" customWidth="1"/>
    <col min="3" max="14" width="9.140625" style="1"/>
    <col min="52" max="52" width="9.42578125" customWidth="1"/>
    <col min="53" max="53" width="9.140625" customWidth="1"/>
  </cols>
  <sheetData>
    <row r="1" spans="1:57" x14ac:dyDescent="0.2">
      <c r="A1" s="2" t="s">
        <v>27</v>
      </c>
    </row>
    <row r="2" spans="1:57" x14ac:dyDescent="0.2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90</v>
      </c>
      <c r="AB2" s="1" t="s">
        <v>91</v>
      </c>
      <c r="AC2" s="1" t="s">
        <v>92</v>
      </c>
      <c r="AD2" s="1" t="s">
        <v>93</v>
      </c>
      <c r="AI2">
        <v>2020</v>
      </c>
      <c r="AJ2">
        <f>+AI2+1</f>
        <v>2021</v>
      </c>
      <c r="AK2">
        <f t="shared" ref="AK2:BE2" si="0">+AJ2+1</f>
        <v>2022</v>
      </c>
      <c r="AL2">
        <f t="shared" si="0"/>
        <v>2023</v>
      </c>
      <c r="AM2">
        <f t="shared" si="0"/>
        <v>2024</v>
      </c>
      <c r="AN2">
        <f t="shared" si="0"/>
        <v>2025</v>
      </c>
      <c r="AO2">
        <f t="shared" si="0"/>
        <v>2026</v>
      </c>
      <c r="AP2">
        <f t="shared" si="0"/>
        <v>2027</v>
      </c>
      <c r="AQ2">
        <f t="shared" si="0"/>
        <v>2028</v>
      </c>
      <c r="AR2">
        <f t="shared" si="0"/>
        <v>2029</v>
      </c>
      <c r="AS2">
        <f t="shared" si="0"/>
        <v>2030</v>
      </c>
      <c r="AT2">
        <f t="shared" si="0"/>
        <v>2031</v>
      </c>
      <c r="AU2">
        <f t="shared" si="0"/>
        <v>2032</v>
      </c>
      <c r="AV2">
        <f t="shared" si="0"/>
        <v>2033</v>
      </c>
      <c r="AW2">
        <f t="shared" si="0"/>
        <v>2034</v>
      </c>
      <c r="AX2">
        <f t="shared" si="0"/>
        <v>2035</v>
      </c>
      <c r="AY2">
        <f t="shared" si="0"/>
        <v>2036</v>
      </c>
      <c r="AZ2">
        <f t="shared" si="0"/>
        <v>2037</v>
      </c>
      <c r="BA2">
        <f t="shared" si="0"/>
        <v>2038</v>
      </c>
      <c r="BB2">
        <f t="shared" si="0"/>
        <v>2039</v>
      </c>
      <c r="BC2">
        <f t="shared" si="0"/>
        <v>2040</v>
      </c>
      <c r="BD2">
        <f t="shared" si="0"/>
        <v>2041</v>
      </c>
      <c r="BE2">
        <f t="shared" si="0"/>
        <v>2042</v>
      </c>
    </row>
    <row r="3" spans="1:57" s="4" customFormat="1" x14ac:dyDescent="0.2">
      <c r="B3" s="4" t="s">
        <v>55</v>
      </c>
      <c r="C3" s="11"/>
      <c r="D3" s="11"/>
      <c r="E3" s="11"/>
      <c r="F3" s="11"/>
      <c r="G3" s="11"/>
      <c r="H3" s="11"/>
      <c r="I3" s="11"/>
      <c r="J3" s="11"/>
      <c r="K3" s="11"/>
      <c r="L3" s="11">
        <v>310992</v>
      </c>
      <c r="M3" s="11">
        <v>309910</v>
      </c>
      <c r="N3" s="11">
        <v>339530</v>
      </c>
      <c r="O3" s="11">
        <v>322981</v>
      </c>
      <c r="P3" s="11">
        <v>339791</v>
      </c>
      <c r="Q3" s="11">
        <v>336973</v>
      </c>
      <c r="R3" s="11">
        <v>357378</v>
      </c>
      <c r="S3" s="11">
        <v>354508</v>
      </c>
      <c r="T3" s="4">
        <v>376538</v>
      </c>
      <c r="U3" s="11">
        <v>387701</v>
      </c>
      <c r="V3" s="11">
        <v>409832</v>
      </c>
      <c r="W3" s="4">
        <v>403860</v>
      </c>
      <c r="X3" s="4">
        <v>416814</v>
      </c>
      <c r="Y3" s="4">
        <v>422641</v>
      </c>
      <c r="Z3" s="4">
        <v>437836</v>
      </c>
      <c r="AK3" s="4">
        <f>SUM(O3:R3)</f>
        <v>1357123</v>
      </c>
      <c r="AL3" s="4">
        <f>SUM(S3:V3)</f>
        <v>1528579</v>
      </c>
      <c r="AM3" s="4">
        <f>SUM(W3:Z3)</f>
        <v>1681151</v>
      </c>
    </row>
    <row r="4" spans="1:57" s="4" customForma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57" s="4" customFormat="1" x14ac:dyDescent="0.2">
      <c r="B5" s="4" t="s">
        <v>88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>
        <v>429</v>
      </c>
      <c r="P5" s="11">
        <v>429</v>
      </c>
      <c r="Q5" s="11">
        <v>432</v>
      </c>
      <c r="R5" s="11">
        <v>435</v>
      </c>
      <c r="S5" s="11">
        <v>433</v>
      </c>
      <c r="T5" s="11">
        <v>431</v>
      </c>
      <c r="U5" s="11">
        <v>428</v>
      </c>
      <c r="V5" s="11">
        <v>426</v>
      </c>
      <c r="W5" s="4">
        <v>427</v>
      </c>
      <c r="X5" s="4">
        <v>429</v>
      </c>
      <c r="Y5" s="4">
        <v>432</v>
      </c>
      <c r="Z5" s="4">
        <v>434</v>
      </c>
    </row>
    <row r="6" spans="1:57" s="4" customFormat="1" x14ac:dyDescent="0.2">
      <c r="B6" s="4" t="s">
        <v>85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>
        <v>5161</v>
      </c>
      <c r="P6" s="11">
        <v>5513</v>
      </c>
      <c r="Q6" s="11">
        <v>5643</v>
      </c>
      <c r="R6" s="11">
        <v>6032</v>
      </c>
      <c r="S6" s="11">
        <v>5835</v>
      </c>
      <c r="T6" s="11">
        <v>6074</v>
      </c>
      <c r="U6" s="11">
        <v>6275</v>
      </c>
      <c r="V6" s="11">
        <v>6798</v>
      </c>
      <c r="W6" s="4">
        <v>6505</v>
      </c>
      <c r="X6" s="4">
        <v>6580</v>
      </c>
      <c r="Y6" s="4">
        <v>6631</v>
      </c>
      <c r="Z6" s="4">
        <v>6619</v>
      </c>
    </row>
    <row r="7" spans="1:57" x14ac:dyDescent="0.2">
      <c r="O7" s="1"/>
      <c r="P7" s="1"/>
      <c r="Q7" s="1"/>
      <c r="R7" s="1"/>
      <c r="S7" s="1"/>
      <c r="T7" s="1"/>
      <c r="U7" s="1"/>
      <c r="V7" s="1"/>
    </row>
    <row r="8" spans="1:57" s="4" customFormat="1" x14ac:dyDescent="0.2">
      <c r="B8" s="4" t="s">
        <v>86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>
        <v>6556</v>
      </c>
      <c r="U8" s="11">
        <v>6654</v>
      </c>
      <c r="V8" s="11">
        <v>7283</v>
      </c>
      <c r="W8" s="4">
        <v>7034</v>
      </c>
      <c r="X8" s="4">
        <v>7153</v>
      </c>
      <c r="Y8" s="4">
        <v>7067</v>
      </c>
      <c r="Z8" s="4">
        <v>7588</v>
      </c>
      <c r="AN8" s="4">
        <f>SUM(AA8:AD8)</f>
        <v>0</v>
      </c>
    </row>
    <row r="9" spans="1:57" s="4" customFormat="1" x14ac:dyDescent="0.2">
      <c r="B9" s="4" t="s">
        <v>87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>
        <v>731</v>
      </c>
      <c r="U9" s="11">
        <v>764</v>
      </c>
      <c r="V9" s="11">
        <v>743</v>
      </c>
      <c r="W9" s="11">
        <v>665</v>
      </c>
      <c r="X9" s="11">
        <v>732</v>
      </c>
      <c r="Y9" s="4">
        <v>780</v>
      </c>
      <c r="Z9" s="4">
        <v>778</v>
      </c>
      <c r="AN9" s="4">
        <f>SUM(AA9:AD9)</f>
        <v>0</v>
      </c>
    </row>
    <row r="10" spans="1:57" s="8" customFormat="1" x14ac:dyDescent="0.2">
      <c r="B10" s="8" t="s">
        <v>6</v>
      </c>
      <c r="C10" s="12"/>
      <c r="D10" s="12"/>
      <c r="E10" s="12"/>
      <c r="F10" s="12"/>
      <c r="G10" s="12"/>
      <c r="H10" s="12"/>
      <c r="I10" s="12"/>
      <c r="J10" s="12"/>
      <c r="K10" s="12"/>
      <c r="L10" s="12">
        <v>6238</v>
      </c>
      <c r="M10" s="12">
        <v>6182</v>
      </c>
      <c r="N10" s="8">
        <v>6918</v>
      </c>
      <c r="O10" s="8">
        <v>6483</v>
      </c>
      <c r="P10" s="8">
        <v>6806</v>
      </c>
      <c r="Q10" s="8">
        <v>6846</v>
      </c>
      <c r="R10" s="8">
        <v>7383</v>
      </c>
      <c r="S10" s="8">
        <v>7040</v>
      </c>
      <c r="T10" s="8">
        <f t="shared" ref="T10:Z10" si="1">+T8+T9</f>
        <v>7287</v>
      </c>
      <c r="U10" s="8">
        <f t="shared" si="1"/>
        <v>7418</v>
      </c>
      <c r="V10" s="8">
        <f t="shared" si="1"/>
        <v>8026</v>
      </c>
      <c r="W10" s="8">
        <f t="shared" si="1"/>
        <v>7699</v>
      </c>
      <c r="X10" s="8">
        <f t="shared" si="1"/>
        <v>7885</v>
      </c>
      <c r="Y10" s="8">
        <f t="shared" si="1"/>
        <v>7847</v>
      </c>
      <c r="Z10" s="8">
        <f t="shared" si="1"/>
        <v>8366</v>
      </c>
      <c r="AA10" s="8">
        <f>+W10*1.05</f>
        <v>8083.9500000000007</v>
      </c>
      <c r="AB10" s="8">
        <f>+X10*1.05</f>
        <v>8279.25</v>
      </c>
      <c r="AC10" s="8">
        <f>+Y10*1.05</f>
        <v>8239.35</v>
      </c>
      <c r="AD10" s="8">
        <f>+Z10*1.05</f>
        <v>8784.3000000000011</v>
      </c>
      <c r="AN10" s="8">
        <f>SUM(AA10:AD10)</f>
        <v>33386.850000000006</v>
      </c>
      <c r="AO10" s="8">
        <f>+AN10*1.03</f>
        <v>34388.455500000004</v>
      </c>
      <c r="AP10" s="8">
        <f t="shared" ref="AP10:AX10" si="2">+AO10*1.03</f>
        <v>35420.109165000002</v>
      </c>
      <c r="AQ10" s="8">
        <f t="shared" si="2"/>
        <v>36482.712439950003</v>
      </c>
      <c r="AR10" s="8">
        <f t="shared" si="2"/>
        <v>37577.1938131485</v>
      </c>
      <c r="AS10" s="8">
        <f t="shared" si="2"/>
        <v>38704.509627542953</v>
      </c>
      <c r="AT10" s="8">
        <f t="shared" si="2"/>
        <v>39865.644916369245</v>
      </c>
      <c r="AU10" s="8">
        <f t="shared" si="2"/>
        <v>41061.614263860327</v>
      </c>
      <c r="AV10" s="8">
        <f t="shared" si="2"/>
        <v>42293.462691776134</v>
      </c>
      <c r="AW10" s="8">
        <f t="shared" si="2"/>
        <v>43562.266572529421</v>
      </c>
      <c r="AX10" s="8">
        <f t="shared" si="2"/>
        <v>44869.134569705304</v>
      </c>
    </row>
    <row r="11" spans="1:57" s="4" customFormat="1" x14ac:dyDescent="0.2">
      <c r="B11" s="4" t="s">
        <v>30</v>
      </c>
      <c r="C11" s="11"/>
      <c r="D11" s="11"/>
      <c r="E11" s="11"/>
      <c r="F11" s="11"/>
      <c r="G11" s="11"/>
      <c r="H11" s="11"/>
      <c r="I11" s="11"/>
      <c r="J11" s="11"/>
      <c r="K11" s="11"/>
      <c r="L11" s="11">
        <v>2524</v>
      </c>
      <c r="M11" s="4">
        <v>2564</v>
      </c>
      <c r="N11" s="4">
        <v>2952</v>
      </c>
      <c r="O11" s="4">
        <v>2817</v>
      </c>
      <c r="P11" s="4">
        <v>3044</v>
      </c>
      <c r="Q11" s="4">
        <v>2988</v>
      </c>
      <c r="R11" s="4">
        <v>3324</v>
      </c>
      <c r="S11" s="4">
        <v>3283</v>
      </c>
      <c r="T11" s="4">
        <v>3541</v>
      </c>
      <c r="U11" s="4">
        <v>3603</v>
      </c>
      <c r="V11" s="4">
        <v>3958</v>
      </c>
      <c r="W11" s="4">
        <v>3917</v>
      </c>
      <c r="X11" s="4">
        <v>3942</v>
      </c>
      <c r="Y11" s="4">
        <v>3841</v>
      </c>
      <c r="Z11" s="4">
        <v>3997</v>
      </c>
    </row>
    <row r="12" spans="1:57" s="4" customFormat="1" x14ac:dyDescent="0.2">
      <c r="B12" s="4" t="s">
        <v>31</v>
      </c>
      <c r="C12" s="11"/>
      <c r="D12" s="11"/>
      <c r="E12" s="11"/>
      <c r="F12" s="11"/>
      <c r="G12" s="11"/>
      <c r="H12" s="11"/>
      <c r="I12" s="11"/>
      <c r="J12" s="11"/>
      <c r="K12" s="11"/>
      <c r="L12" s="11">
        <v>169</v>
      </c>
      <c r="M12" s="4">
        <v>268</v>
      </c>
      <c r="N12" s="4">
        <v>350</v>
      </c>
      <c r="O12" s="4">
        <v>369</v>
      </c>
      <c r="P12" s="4">
        <v>448</v>
      </c>
      <c r="Q12" s="4">
        <v>367</v>
      </c>
      <c r="R12" s="4">
        <v>388</v>
      </c>
      <c r="S12" s="11">
        <v>442</v>
      </c>
      <c r="T12" s="4">
        <v>398</v>
      </c>
      <c r="U12" s="4">
        <v>446</v>
      </c>
      <c r="V12" s="4">
        <v>396</v>
      </c>
      <c r="W12" s="4">
        <v>321</v>
      </c>
      <c r="X12" s="4">
        <v>335</v>
      </c>
      <c r="Y12" s="4">
        <v>352</v>
      </c>
      <c r="Z12" s="4">
        <v>434</v>
      </c>
    </row>
    <row r="13" spans="1:57" x14ac:dyDescent="0.2">
      <c r="B13" t="s">
        <v>29</v>
      </c>
      <c r="L13" s="4">
        <f t="shared" ref="L13:S13" si="3">L10-L11-L12</f>
        <v>3545</v>
      </c>
      <c r="M13" s="4">
        <f t="shared" si="3"/>
        <v>3350</v>
      </c>
      <c r="N13" s="4">
        <f t="shared" si="3"/>
        <v>3616</v>
      </c>
      <c r="O13" s="4">
        <f t="shared" si="3"/>
        <v>3297</v>
      </c>
      <c r="P13" s="4">
        <f t="shared" si="3"/>
        <v>3314</v>
      </c>
      <c r="Q13" s="4">
        <f t="shared" si="3"/>
        <v>3491</v>
      </c>
      <c r="R13" s="4">
        <f t="shared" si="3"/>
        <v>3671</v>
      </c>
      <c r="S13" s="4">
        <f t="shared" si="3"/>
        <v>3315</v>
      </c>
      <c r="T13" s="4">
        <f t="shared" ref="T13:W13" si="4">+T10-T11-T12</f>
        <v>3348</v>
      </c>
      <c r="U13" s="4">
        <f t="shared" si="4"/>
        <v>3369</v>
      </c>
      <c r="V13" s="4">
        <f t="shared" si="4"/>
        <v>3672</v>
      </c>
      <c r="W13" s="4">
        <f t="shared" si="4"/>
        <v>3461</v>
      </c>
      <c r="X13" s="4">
        <f>+X10-X11-X12</f>
        <v>3608</v>
      </c>
      <c r="Y13" s="4">
        <f>+Y10-Y11-Y12</f>
        <v>3654</v>
      </c>
      <c r="Z13" s="4">
        <f>+Z10-Z11-Z12</f>
        <v>3935</v>
      </c>
      <c r="AA13" s="4">
        <v>3625</v>
      </c>
      <c r="AB13" s="4">
        <f>+X13*1.05</f>
        <v>3788.4</v>
      </c>
      <c r="AC13" s="4">
        <f>+Y13*1.05</f>
        <v>3836.7000000000003</v>
      </c>
      <c r="AD13" s="4">
        <f>+Z13*1.05</f>
        <v>4131.75</v>
      </c>
      <c r="AN13" s="4">
        <f>SUM(AA13:AD13)</f>
        <v>15381.85</v>
      </c>
      <c r="AO13" s="4">
        <f t="shared" ref="AO13:AX13" si="5">+AO10*0.46</f>
        <v>15818.689530000001</v>
      </c>
      <c r="AP13" s="4">
        <f t="shared" si="5"/>
        <v>16293.250215900001</v>
      </c>
      <c r="AQ13" s="4">
        <f t="shared" si="5"/>
        <v>16782.047722377003</v>
      </c>
      <c r="AR13" s="4">
        <f t="shared" si="5"/>
        <v>17285.509154048312</v>
      </c>
      <c r="AS13" s="4">
        <f t="shared" si="5"/>
        <v>17804.074428669759</v>
      </c>
      <c r="AT13" s="4">
        <f t="shared" si="5"/>
        <v>18338.196661529855</v>
      </c>
      <c r="AU13" s="4">
        <f t="shared" si="5"/>
        <v>18888.34256137575</v>
      </c>
      <c r="AV13" s="4">
        <f t="shared" si="5"/>
        <v>19454.992838217022</v>
      </c>
      <c r="AW13" s="4">
        <f t="shared" si="5"/>
        <v>20038.642623363536</v>
      </c>
      <c r="AX13" s="4">
        <f t="shared" si="5"/>
        <v>20639.801902064442</v>
      </c>
    </row>
    <row r="14" spans="1:57" x14ac:dyDescent="0.2">
      <c r="B14" t="s">
        <v>34</v>
      </c>
      <c r="L14" s="1">
        <v>521</v>
      </c>
      <c r="M14" s="4">
        <v>504</v>
      </c>
      <c r="N14" s="4">
        <v>532</v>
      </c>
      <c r="O14" s="4">
        <v>534</v>
      </c>
      <c r="P14" s="4">
        <v>536</v>
      </c>
      <c r="Q14" s="4">
        <v>509</v>
      </c>
      <c r="R14" s="4">
        <v>541</v>
      </c>
      <c r="S14" s="4">
        <v>488</v>
      </c>
      <c r="T14" s="4">
        <v>492</v>
      </c>
      <c r="U14" s="4">
        <v>474</v>
      </c>
      <c r="V14" s="4">
        <v>465</v>
      </c>
      <c r="W14" s="4">
        <v>454</v>
      </c>
      <c r="X14" s="4">
        <v>436</v>
      </c>
      <c r="Y14" s="4">
        <v>427</v>
      </c>
      <c r="Z14" s="4">
        <v>451</v>
      </c>
      <c r="AA14" s="4">
        <f>+W14</f>
        <v>454</v>
      </c>
      <c r="AB14" s="4">
        <f t="shared" ref="AB14:AD17" si="6">+X14</f>
        <v>436</v>
      </c>
      <c r="AC14" s="4">
        <f t="shared" si="6"/>
        <v>427</v>
      </c>
      <c r="AD14" s="4">
        <f t="shared" si="6"/>
        <v>451</v>
      </c>
      <c r="AN14" s="4">
        <f>SUM(AA14:AD14)</f>
        <v>1768</v>
      </c>
      <c r="AO14" s="4">
        <f>+AN14*1.01</f>
        <v>1785.68</v>
      </c>
      <c r="AP14" s="4">
        <f t="shared" ref="AP14:AX14" si="7">+AO14*1.01</f>
        <v>1803.5368000000001</v>
      </c>
      <c r="AQ14" s="4">
        <f t="shared" si="7"/>
        <v>1821.5721680000001</v>
      </c>
      <c r="AR14" s="4">
        <f t="shared" si="7"/>
        <v>1839.7878896800003</v>
      </c>
      <c r="AS14" s="4">
        <f t="shared" si="7"/>
        <v>1858.1857685768002</v>
      </c>
      <c r="AT14" s="4">
        <f t="shared" si="7"/>
        <v>1876.7676262625682</v>
      </c>
      <c r="AU14" s="4">
        <f t="shared" si="7"/>
        <v>1895.5353025251939</v>
      </c>
      <c r="AV14" s="4">
        <f t="shared" si="7"/>
        <v>1914.4906555504458</v>
      </c>
      <c r="AW14" s="4">
        <f t="shared" si="7"/>
        <v>1933.6355621059504</v>
      </c>
      <c r="AX14" s="4">
        <f t="shared" si="7"/>
        <v>1952.9719177270099</v>
      </c>
    </row>
    <row r="15" spans="1:57" x14ac:dyDescent="0.2">
      <c r="B15" t="s">
        <v>35</v>
      </c>
      <c r="L15" s="1">
        <v>628</v>
      </c>
      <c r="M15" s="4">
        <v>549</v>
      </c>
      <c r="N15" s="4">
        <v>666</v>
      </c>
      <c r="O15" s="4">
        <v>594</v>
      </c>
      <c r="P15" s="4">
        <v>595</v>
      </c>
      <c r="Q15" s="4">
        <v>544</v>
      </c>
      <c r="R15" s="4">
        <v>524</v>
      </c>
      <c r="S15" s="4">
        <v>436</v>
      </c>
      <c r="T15" s="4">
        <v>465</v>
      </c>
      <c r="U15" s="4">
        <v>442</v>
      </c>
      <c r="V15" s="4">
        <v>466</v>
      </c>
      <c r="W15" s="4">
        <v>421</v>
      </c>
      <c r="X15" s="4">
        <v>446</v>
      </c>
      <c r="Y15" s="4">
        <v>508</v>
      </c>
      <c r="Z15" s="4">
        <v>626</v>
      </c>
      <c r="AA15" s="4">
        <f>+W15</f>
        <v>421</v>
      </c>
      <c r="AB15" s="4">
        <f t="shared" si="6"/>
        <v>446</v>
      </c>
      <c r="AC15" s="4">
        <f t="shared" si="6"/>
        <v>508</v>
      </c>
      <c r="AD15" s="4">
        <f t="shared" si="6"/>
        <v>626</v>
      </c>
      <c r="AN15" s="4">
        <f>SUM(AA15:AD15)</f>
        <v>2001</v>
      </c>
      <c r="AO15" s="4">
        <f t="shared" ref="AO15:AX15" si="8">+AN15*1.01</f>
        <v>2021.01</v>
      </c>
      <c r="AP15" s="4">
        <f t="shared" si="8"/>
        <v>2041.2201</v>
      </c>
      <c r="AQ15" s="4">
        <f t="shared" si="8"/>
        <v>2061.6323010000001</v>
      </c>
      <c r="AR15" s="4">
        <f t="shared" si="8"/>
        <v>2082.2486240100002</v>
      </c>
      <c r="AS15" s="4">
        <f t="shared" si="8"/>
        <v>2103.0711102501</v>
      </c>
      <c r="AT15" s="4">
        <f t="shared" si="8"/>
        <v>2124.1018213526008</v>
      </c>
      <c r="AU15" s="4">
        <f t="shared" si="8"/>
        <v>2145.3428395661267</v>
      </c>
      <c r="AV15" s="4">
        <f t="shared" si="8"/>
        <v>2166.7962679617881</v>
      </c>
      <c r="AW15" s="4">
        <f t="shared" si="8"/>
        <v>2188.4642306414062</v>
      </c>
      <c r="AX15" s="4">
        <f t="shared" si="8"/>
        <v>2210.3488729478204</v>
      </c>
    </row>
    <row r="16" spans="1:57" x14ac:dyDescent="0.2">
      <c r="B16" t="s">
        <v>36</v>
      </c>
      <c r="L16" s="1">
        <v>746</v>
      </c>
      <c r="M16" s="4">
        <v>755</v>
      </c>
      <c r="N16" s="4">
        <v>796</v>
      </c>
      <c r="O16" s="4">
        <v>815</v>
      </c>
      <c r="P16" s="4">
        <v>815</v>
      </c>
      <c r="Q16" s="4">
        <v>801</v>
      </c>
      <c r="R16" s="4">
        <v>822</v>
      </c>
      <c r="S16" s="4">
        <v>721</v>
      </c>
      <c r="T16" s="4">
        <v>743</v>
      </c>
      <c r="U16" s="4">
        <v>739</v>
      </c>
      <c r="V16" s="4">
        <v>770</v>
      </c>
      <c r="W16" s="4">
        <v>742</v>
      </c>
      <c r="X16" s="4">
        <v>718</v>
      </c>
      <c r="Y16" s="4">
        <v>746</v>
      </c>
      <c r="Z16" s="4">
        <v>773</v>
      </c>
      <c r="AA16" s="4">
        <f>+W16</f>
        <v>742</v>
      </c>
      <c r="AB16" s="4">
        <f t="shared" si="6"/>
        <v>718</v>
      </c>
      <c r="AC16" s="4">
        <f t="shared" si="6"/>
        <v>746</v>
      </c>
      <c r="AD16" s="4">
        <f t="shared" si="6"/>
        <v>773</v>
      </c>
      <c r="AN16" s="4">
        <f>SUM(AA16:AD16)</f>
        <v>2979</v>
      </c>
      <c r="AO16" s="4">
        <f t="shared" ref="AO16:AX16" si="9">+AN16*1.01</f>
        <v>3008.79</v>
      </c>
      <c r="AP16" s="4">
        <f t="shared" si="9"/>
        <v>3038.8779</v>
      </c>
      <c r="AQ16" s="4">
        <f t="shared" si="9"/>
        <v>3069.2666789999998</v>
      </c>
      <c r="AR16" s="4">
        <f t="shared" si="9"/>
        <v>3099.95934579</v>
      </c>
      <c r="AS16" s="4">
        <f t="shared" si="9"/>
        <v>3130.9589392479002</v>
      </c>
      <c r="AT16" s="4">
        <f t="shared" si="9"/>
        <v>3162.2685286403794</v>
      </c>
      <c r="AU16" s="4">
        <f t="shared" si="9"/>
        <v>3193.8912139267832</v>
      </c>
      <c r="AV16" s="4">
        <f t="shared" si="9"/>
        <v>3225.830126066051</v>
      </c>
      <c r="AW16" s="4">
        <f t="shared" si="9"/>
        <v>3258.0884273267116</v>
      </c>
      <c r="AX16" s="4">
        <f t="shared" si="9"/>
        <v>3290.6693115999788</v>
      </c>
    </row>
    <row r="17" spans="2:116" x14ac:dyDescent="0.2">
      <c r="B17" t="s">
        <v>37</v>
      </c>
      <c r="L17" s="1">
        <v>522</v>
      </c>
      <c r="M17" s="4">
        <v>498</v>
      </c>
      <c r="N17" s="4">
        <v>570</v>
      </c>
      <c r="O17" s="4">
        <v>607</v>
      </c>
      <c r="P17" s="4">
        <v>514</v>
      </c>
      <c r="Q17" s="4">
        <v>463</v>
      </c>
      <c r="R17" s="4">
        <v>515</v>
      </c>
      <c r="S17" s="4">
        <v>507</v>
      </c>
      <c r="T17" s="4">
        <v>491</v>
      </c>
      <c r="U17" s="4">
        <v>507</v>
      </c>
      <c r="V17" s="4">
        <v>554</v>
      </c>
      <c r="W17" s="4">
        <v>464</v>
      </c>
      <c r="X17" s="4">
        <v>570</v>
      </c>
      <c r="Y17" s="4">
        <v>519</v>
      </c>
      <c r="Z17" s="4">
        <v>594</v>
      </c>
      <c r="AA17" s="4">
        <f>+W17</f>
        <v>464</v>
      </c>
      <c r="AB17" s="4">
        <f t="shared" si="6"/>
        <v>570</v>
      </c>
      <c r="AC17" s="4">
        <f t="shared" si="6"/>
        <v>519</v>
      </c>
      <c r="AD17" s="4">
        <f t="shared" si="6"/>
        <v>594</v>
      </c>
      <c r="AN17" s="4">
        <f>SUM(AA17:AD17)</f>
        <v>2147</v>
      </c>
      <c r="AO17" s="4">
        <f t="shared" ref="AO17:AX17" si="10">+AN17*1.01</f>
        <v>2168.4699999999998</v>
      </c>
      <c r="AP17" s="4">
        <f t="shared" si="10"/>
        <v>2190.1546999999996</v>
      </c>
      <c r="AQ17" s="4">
        <f t="shared" si="10"/>
        <v>2212.0562469999995</v>
      </c>
      <c r="AR17" s="4">
        <f t="shared" si="10"/>
        <v>2234.1768094699996</v>
      </c>
      <c r="AS17" s="4">
        <f t="shared" si="10"/>
        <v>2256.5185775646996</v>
      </c>
      <c r="AT17" s="4">
        <f t="shared" si="10"/>
        <v>2279.0837633403466</v>
      </c>
      <c r="AU17" s="4">
        <f t="shared" si="10"/>
        <v>2301.8746009737501</v>
      </c>
      <c r="AV17" s="4">
        <f t="shared" si="10"/>
        <v>2324.8933469834878</v>
      </c>
      <c r="AW17" s="4">
        <f t="shared" si="10"/>
        <v>2348.1422804533227</v>
      </c>
      <c r="AX17" s="4">
        <f t="shared" si="10"/>
        <v>2371.6237032578561</v>
      </c>
    </row>
    <row r="18" spans="2:116" x14ac:dyDescent="0.2">
      <c r="B18" t="s">
        <v>32</v>
      </c>
      <c r="L18" s="4">
        <f t="shared" ref="L18" si="11">SUM(L14:L17)</f>
        <v>2417</v>
      </c>
      <c r="M18" s="4">
        <f>SUM(M14:M17)</f>
        <v>2306</v>
      </c>
      <c r="N18" s="4">
        <f>SUM(N14:N17)</f>
        <v>2564</v>
      </c>
      <c r="O18" s="4">
        <f>SUM(O14:O17)</f>
        <v>2550</v>
      </c>
      <c r="P18" s="4">
        <f t="shared" ref="P18" si="12">SUM(P14:P17)</f>
        <v>2460</v>
      </c>
      <c r="Q18" s="4">
        <f>SUM(Q14:Q17)</f>
        <v>2317</v>
      </c>
      <c r="R18" s="4">
        <f>SUM(R14:R17)</f>
        <v>2402</v>
      </c>
      <c r="S18" s="4">
        <f>SUM(S14:S17)</f>
        <v>2152</v>
      </c>
      <c r="T18" s="4">
        <f t="shared" ref="T18:Y18" si="13">SUM(T14:T17)</f>
        <v>2191</v>
      </c>
      <c r="U18" s="4">
        <f t="shared" si="13"/>
        <v>2162</v>
      </c>
      <c r="V18" s="4">
        <f t="shared" si="13"/>
        <v>2255</v>
      </c>
      <c r="W18" s="4">
        <f t="shared" si="13"/>
        <v>2081</v>
      </c>
      <c r="X18" s="4">
        <f t="shared" si="13"/>
        <v>2170</v>
      </c>
      <c r="Y18" s="4">
        <f t="shared" si="13"/>
        <v>2200</v>
      </c>
      <c r="Z18" s="4">
        <f t="shared" ref="Z18:AA18" si="14">SUM(Z14:Z17)</f>
        <v>2444</v>
      </c>
      <c r="AA18" s="4">
        <f t="shared" si="14"/>
        <v>2081</v>
      </c>
      <c r="AB18" s="4">
        <f t="shared" ref="AB18:AD18" si="15">SUM(AB14:AB17)</f>
        <v>2170</v>
      </c>
      <c r="AC18" s="4">
        <f t="shared" si="15"/>
        <v>2200</v>
      </c>
      <c r="AD18" s="4">
        <f t="shared" si="15"/>
        <v>2444</v>
      </c>
      <c r="AN18" s="4">
        <f>SUM(AN14:AN17)</f>
        <v>8895</v>
      </c>
      <c r="AO18" s="4">
        <f t="shared" ref="AO18:AX18" si="16">SUM(AO14:AO17)</f>
        <v>8983.9499999999989</v>
      </c>
      <c r="AP18" s="4">
        <f t="shared" si="16"/>
        <v>9073.789499999999</v>
      </c>
      <c r="AQ18" s="4">
        <f t="shared" si="16"/>
        <v>9164.527395000001</v>
      </c>
      <c r="AR18" s="4">
        <f t="shared" si="16"/>
        <v>9256.172668950001</v>
      </c>
      <c r="AS18" s="4">
        <f t="shared" si="16"/>
        <v>9348.7343956394998</v>
      </c>
      <c r="AT18" s="4">
        <f t="shared" si="16"/>
        <v>9442.2217395958942</v>
      </c>
      <c r="AU18" s="4">
        <f t="shared" si="16"/>
        <v>9536.643956991853</v>
      </c>
      <c r="AV18" s="4">
        <f t="shared" si="16"/>
        <v>9632.0103965617727</v>
      </c>
      <c r="AW18" s="4">
        <f t="shared" si="16"/>
        <v>9728.3305005273905</v>
      </c>
      <c r="AX18" s="4">
        <f t="shared" si="16"/>
        <v>9825.6138055326646</v>
      </c>
    </row>
    <row r="19" spans="2:116" x14ac:dyDescent="0.2">
      <c r="B19" t="s">
        <v>33</v>
      </c>
      <c r="L19" s="4">
        <f t="shared" ref="L19" si="17">L13-L18</f>
        <v>1128</v>
      </c>
      <c r="M19" s="4">
        <f>M13-M18</f>
        <v>1044</v>
      </c>
      <c r="N19" s="4">
        <f>N13-N18</f>
        <v>1052</v>
      </c>
      <c r="O19" s="4">
        <f>O13-O18</f>
        <v>747</v>
      </c>
      <c r="P19" s="4">
        <f t="shared" ref="P19" si="18">P13-P18</f>
        <v>854</v>
      </c>
      <c r="Q19" s="4">
        <f>Q13-Q18</f>
        <v>1174</v>
      </c>
      <c r="R19" s="4">
        <f>R13-R18</f>
        <v>1269</v>
      </c>
      <c r="S19" s="4">
        <f>S13-S18</f>
        <v>1163</v>
      </c>
      <c r="T19" s="4">
        <f t="shared" ref="T19:Y19" si="19">T13-T18</f>
        <v>1157</v>
      </c>
      <c r="U19" s="4">
        <f t="shared" si="19"/>
        <v>1207</v>
      </c>
      <c r="V19" s="4">
        <f t="shared" si="19"/>
        <v>1417</v>
      </c>
      <c r="W19" s="4">
        <f t="shared" si="19"/>
        <v>1380</v>
      </c>
      <c r="X19" s="4">
        <f t="shared" si="19"/>
        <v>1438</v>
      </c>
      <c r="Y19" s="4">
        <f t="shared" si="19"/>
        <v>1454</v>
      </c>
      <c r="Z19" s="4">
        <f t="shared" ref="Z19:AA19" si="20">Z13-Z18</f>
        <v>1491</v>
      </c>
      <c r="AA19" s="4">
        <f t="shared" si="20"/>
        <v>1544</v>
      </c>
      <c r="AB19" s="4">
        <f t="shared" ref="AB19:AD19" si="21">AB13-AB18</f>
        <v>1618.4</v>
      </c>
      <c r="AC19" s="4">
        <f t="shared" si="21"/>
        <v>1636.7000000000003</v>
      </c>
      <c r="AD19" s="4">
        <f t="shared" si="21"/>
        <v>1687.75</v>
      </c>
      <c r="AN19" s="4">
        <f>AN13-AN18</f>
        <v>6486.85</v>
      </c>
      <c r="AO19" s="4">
        <f t="shared" ref="AO19:AX19" si="22">AO13-AO18</f>
        <v>6834.7395300000026</v>
      </c>
      <c r="AP19" s="4">
        <f t="shared" si="22"/>
        <v>7219.4607159000025</v>
      </c>
      <c r="AQ19" s="4">
        <f t="shared" si="22"/>
        <v>7617.5203273770021</v>
      </c>
      <c r="AR19" s="4">
        <f t="shared" si="22"/>
        <v>8029.3364850983107</v>
      </c>
      <c r="AS19" s="4">
        <f t="shared" si="22"/>
        <v>8455.3400330302593</v>
      </c>
      <c r="AT19" s="4">
        <f t="shared" si="22"/>
        <v>8895.974921933961</v>
      </c>
      <c r="AU19" s="4">
        <f t="shared" si="22"/>
        <v>9351.698604383897</v>
      </c>
      <c r="AV19" s="4">
        <f t="shared" si="22"/>
        <v>9822.9824416552492</v>
      </c>
      <c r="AW19" s="4">
        <f t="shared" si="22"/>
        <v>10310.312122836145</v>
      </c>
      <c r="AX19" s="4">
        <f t="shared" si="22"/>
        <v>10814.188096531778</v>
      </c>
    </row>
    <row r="20" spans="2:116" x14ac:dyDescent="0.2">
      <c r="B20" t="s">
        <v>103</v>
      </c>
      <c r="L20" s="1">
        <v>229</v>
      </c>
      <c r="M20" s="1">
        <v>122</v>
      </c>
      <c r="N20" s="1">
        <v>-344</v>
      </c>
      <c r="O20" s="4">
        <v>-82</v>
      </c>
      <c r="P20" s="4">
        <v>-715</v>
      </c>
      <c r="Q20" s="4">
        <v>460</v>
      </c>
      <c r="R20" s="4">
        <v>-134</v>
      </c>
      <c r="S20" s="4">
        <v>75</v>
      </c>
      <c r="T20" s="4">
        <v>170</v>
      </c>
      <c r="U20" s="4">
        <v>73</v>
      </c>
      <c r="V20" s="4">
        <v>65</v>
      </c>
      <c r="W20" s="4">
        <v>41</v>
      </c>
      <c r="X20" s="4">
        <v>74</v>
      </c>
      <c r="Y20" s="4">
        <v>-80</v>
      </c>
      <c r="Z20" s="4">
        <v>-31</v>
      </c>
      <c r="AA20" s="4">
        <f>+Z20</f>
        <v>-31</v>
      </c>
      <c r="AB20" s="4">
        <f t="shared" ref="AB20:AD20" si="23">+AA20</f>
        <v>-31</v>
      </c>
      <c r="AC20" s="4">
        <f t="shared" si="23"/>
        <v>-31</v>
      </c>
      <c r="AD20" s="4">
        <f t="shared" si="23"/>
        <v>-31</v>
      </c>
      <c r="AN20" s="4">
        <f>SUM(AA20:AD20)</f>
        <v>-124</v>
      </c>
      <c r="AO20" s="4">
        <f>+AN33*$BA$29</f>
        <v>318.51839999999999</v>
      </c>
      <c r="AP20" s="4">
        <f t="shared" ref="AP20:AX20" si="24">+AO33*$BA$29</f>
        <v>490.19659032000004</v>
      </c>
      <c r="AQ20" s="4">
        <f t="shared" si="24"/>
        <v>675.22836566928004</v>
      </c>
      <c r="AR20" s="4">
        <f t="shared" si="24"/>
        <v>874.25433430239082</v>
      </c>
      <c r="AS20" s="4">
        <f t="shared" si="24"/>
        <v>1087.9405139680077</v>
      </c>
      <c r="AT20" s="4">
        <f t="shared" si="24"/>
        <v>1316.979247095966</v>
      </c>
      <c r="AU20" s="4">
        <f t="shared" si="24"/>
        <v>1562.0901471526843</v>
      </c>
      <c r="AV20" s="4">
        <f t="shared" si="24"/>
        <v>1824.0210771895622</v>
      </c>
      <c r="AW20" s="4">
        <f t="shared" si="24"/>
        <v>2103.5491616418376</v>
      </c>
      <c r="AX20" s="4">
        <f t="shared" si="24"/>
        <v>2401.4818324693092</v>
      </c>
    </row>
    <row r="21" spans="2:116" x14ac:dyDescent="0.2">
      <c r="B21" t="s">
        <v>41</v>
      </c>
      <c r="L21" s="4">
        <f t="shared" ref="L21:S21" si="25">L19+L20</f>
        <v>1357</v>
      </c>
      <c r="M21" s="4">
        <f t="shared" si="25"/>
        <v>1166</v>
      </c>
      <c r="N21" s="4">
        <f t="shared" si="25"/>
        <v>708</v>
      </c>
      <c r="O21" s="4">
        <f t="shared" si="25"/>
        <v>665</v>
      </c>
      <c r="P21" s="4">
        <f t="shared" si="25"/>
        <v>139</v>
      </c>
      <c r="Q21" s="4">
        <f t="shared" si="25"/>
        <v>1634</v>
      </c>
      <c r="R21" s="4">
        <f t="shared" si="25"/>
        <v>1135</v>
      </c>
      <c r="S21" s="4">
        <f t="shared" si="25"/>
        <v>1238</v>
      </c>
      <c r="T21" s="4">
        <f t="shared" ref="T21:W21" si="26">+T19+T20</f>
        <v>1327</v>
      </c>
      <c r="U21" s="4">
        <f t="shared" si="26"/>
        <v>1280</v>
      </c>
      <c r="V21" s="4">
        <f t="shared" si="26"/>
        <v>1482</v>
      </c>
      <c r="W21" s="4">
        <f t="shared" si="26"/>
        <v>1421</v>
      </c>
      <c r="X21" s="4">
        <f>+X19+X20</f>
        <v>1512</v>
      </c>
      <c r="Y21" s="4">
        <f>+Y19+Y20</f>
        <v>1374</v>
      </c>
      <c r="Z21" s="4">
        <f>+Z19+Z20</f>
        <v>1460</v>
      </c>
      <c r="AA21" s="4">
        <f>+AA19+AA20</f>
        <v>1513</v>
      </c>
      <c r="AB21" s="4">
        <f t="shared" ref="AB21:AD21" si="27">+AB19+AB20</f>
        <v>1587.4</v>
      </c>
      <c r="AC21" s="4">
        <f t="shared" si="27"/>
        <v>1605.7000000000003</v>
      </c>
      <c r="AD21" s="4">
        <f t="shared" si="27"/>
        <v>1656.75</v>
      </c>
      <c r="AN21" s="4">
        <f>+AN19+AN20</f>
        <v>6362.85</v>
      </c>
      <c r="AO21" s="4">
        <f t="shared" ref="AO21:AX21" si="28">+AO19+AO20</f>
        <v>7153.2579300000025</v>
      </c>
      <c r="AP21" s="4">
        <f t="shared" si="28"/>
        <v>7709.6573062200023</v>
      </c>
      <c r="AQ21" s="4">
        <f t="shared" si="28"/>
        <v>8292.7486930462819</v>
      </c>
      <c r="AR21" s="4">
        <f t="shared" si="28"/>
        <v>8903.5908194007025</v>
      </c>
      <c r="AS21" s="4">
        <f t="shared" si="28"/>
        <v>9543.2805469982668</v>
      </c>
      <c r="AT21" s="4">
        <f t="shared" si="28"/>
        <v>10212.954169029927</v>
      </c>
      <c r="AU21" s="4">
        <f t="shared" si="28"/>
        <v>10913.788751536582</v>
      </c>
      <c r="AV21" s="4">
        <f t="shared" si="28"/>
        <v>11647.003518844811</v>
      </c>
      <c r="AW21" s="4">
        <f t="shared" si="28"/>
        <v>12413.861284477982</v>
      </c>
      <c r="AX21" s="4">
        <f t="shared" si="28"/>
        <v>13215.669929001087</v>
      </c>
    </row>
    <row r="22" spans="2:116" x14ac:dyDescent="0.2">
      <c r="B22" t="s">
        <v>40</v>
      </c>
      <c r="L22" s="1">
        <v>172</v>
      </c>
      <c r="M22">
        <v>78</v>
      </c>
      <c r="N22">
        <v>0</v>
      </c>
      <c r="O22">
        <v>120</v>
      </c>
      <c r="P22">
        <v>390</v>
      </c>
      <c r="Q22">
        <v>248</v>
      </c>
      <c r="R22">
        <v>189</v>
      </c>
      <c r="S22">
        <v>279</v>
      </c>
      <c r="T22" s="4">
        <v>274</v>
      </c>
      <c r="U22" s="4">
        <v>221</v>
      </c>
      <c r="V22" s="4">
        <v>391</v>
      </c>
      <c r="W22" s="4">
        <v>321</v>
      </c>
      <c r="X22" s="4">
        <v>271</v>
      </c>
      <c r="Y22" s="4">
        <v>301</v>
      </c>
      <c r="Z22">
        <v>289</v>
      </c>
      <c r="AA22" s="4">
        <f>+AA21*0.2</f>
        <v>302.60000000000002</v>
      </c>
      <c r="AB22" s="4">
        <f t="shared" ref="AB22:AD22" si="29">+AB21*0.2</f>
        <v>317.48</v>
      </c>
      <c r="AC22" s="4">
        <f t="shared" si="29"/>
        <v>321.1400000000001</v>
      </c>
      <c r="AD22" s="4">
        <f t="shared" si="29"/>
        <v>331.35</v>
      </c>
      <c r="AN22" s="4">
        <f>SUM(AA22:AD22)</f>
        <v>1272.5700000000002</v>
      </c>
      <c r="AO22" s="4">
        <f>+AO21*0.2</f>
        <v>1430.6515860000006</v>
      </c>
      <c r="AP22" s="4">
        <f t="shared" ref="AP22:AX22" si="30">+AP21*0.2</f>
        <v>1541.9314612440005</v>
      </c>
      <c r="AQ22" s="4">
        <f t="shared" si="30"/>
        <v>1658.5497386092566</v>
      </c>
      <c r="AR22" s="4">
        <f t="shared" si="30"/>
        <v>1780.7181638801405</v>
      </c>
      <c r="AS22" s="4">
        <f t="shared" si="30"/>
        <v>1908.6561093996534</v>
      </c>
      <c r="AT22" s="4">
        <f t="shared" si="30"/>
        <v>2042.5908338059853</v>
      </c>
      <c r="AU22" s="4">
        <f t="shared" si="30"/>
        <v>2182.7577503073167</v>
      </c>
      <c r="AV22" s="4">
        <f t="shared" si="30"/>
        <v>2329.4007037689621</v>
      </c>
      <c r="AW22" s="4">
        <f t="shared" si="30"/>
        <v>2482.7722568955965</v>
      </c>
      <c r="AX22" s="4">
        <f t="shared" si="30"/>
        <v>2643.1339858002175</v>
      </c>
    </row>
    <row r="23" spans="2:116" s="6" customFormat="1" x14ac:dyDescent="0.2">
      <c r="B23" s="6" t="s">
        <v>39</v>
      </c>
      <c r="C23" s="7"/>
      <c r="D23" s="7"/>
      <c r="E23" s="7"/>
      <c r="F23" s="7"/>
      <c r="G23" s="7"/>
      <c r="H23" s="7"/>
      <c r="I23" s="7"/>
      <c r="J23" s="7"/>
      <c r="K23" s="7"/>
      <c r="L23" s="8">
        <f t="shared" ref="L23:S23" si="31">L21-L22</f>
        <v>1185</v>
      </c>
      <c r="M23" s="8">
        <f t="shared" si="31"/>
        <v>1088</v>
      </c>
      <c r="N23" s="8">
        <f t="shared" si="31"/>
        <v>708</v>
      </c>
      <c r="O23" s="8">
        <f t="shared" si="31"/>
        <v>545</v>
      </c>
      <c r="P23" s="8">
        <f t="shared" si="31"/>
        <v>-251</v>
      </c>
      <c r="Q23" s="8">
        <f t="shared" si="31"/>
        <v>1386</v>
      </c>
      <c r="R23" s="8">
        <f t="shared" si="31"/>
        <v>946</v>
      </c>
      <c r="S23" s="8">
        <f t="shared" si="31"/>
        <v>959</v>
      </c>
      <c r="T23" s="8">
        <f t="shared" ref="T23:W23" si="32">+T21-T22</f>
        <v>1053</v>
      </c>
      <c r="U23" s="8">
        <f t="shared" si="32"/>
        <v>1059</v>
      </c>
      <c r="V23" s="8">
        <f t="shared" si="32"/>
        <v>1091</v>
      </c>
      <c r="W23" s="8">
        <f t="shared" si="32"/>
        <v>1100</v>
      </c>
      <c r="X23" s="8">
        <f t="shared" ref="X23:AD23" si="33">+X21-X22</f>
        <v>1241</v>
      </c>
      <c r="Y23" s="8">
        <f t="shared" si="33"/>
        <v>1073</v>
      </c>
      <c r="Z23" s="8">
        <f t="shared" si="33"/>
        <v>1171</v>
      </c>
      <c r="AA23" s="8">
        <f t="shared" si="33"/>
        <v>1210.4000000000001</v>
      </c>
      <c r="AB23" s="8">
        <f t="shared" si="33"/>
        <v>1269.92</v>
      </c>
      <c r="AC23" s="8">
        <f t="shared" si="33"/>
        <v>1284.5600000000002</v>
      </c>
      <c r="AD23" s="8">
        <f t="shared" si="33"/>
        <v>1325.4</v>
      </c>
      <c r="AN23" s="8">
        <f>+AN21-AN22</f>
        <v>5090.2800000000007</v>
      </c>
      <c r="AO23" s="8">
        <f t="shared" ref="AO23:AX23" si="34">+AO21-AO22</f>
        <v>5722.6063440000016</v>
      </c>
      <c r="AP23" s="8">
        <f t="shared" si="34"/>
        <v>6167.725844976002</v>
      </c>
      <c r="AQ23" s="8">
        <f t="shared" si="34"/>
        <v>6634.1989544370253</v>
      </c>
      <c r="AR23" s="8">
        <f t="shared" si="34"/>
        <v>7122.8726555205621</v>
      </c>
      <c r="AS23" s="8">
        <f t="shared" si="34"/>
        <v>7634.6244375986134</v>
      </c>
      <c r="AT23" s="8">
        <f t="shared" si="34"/>
        <v>8170.3633352239412</v>
      </c>
      <c r="AU23" s="8">
        <f t="shared" si="34"/>
        <v>8731.0310012292648</v>
      </c>
      <c r="AV23" s="8">
        <f t="shared" si="34"/>
        <v>9317.6028150758484</v>
      </c>
      <c r="AW23" s="8">
        <f t="shared" si="34"/>
        <v>9931.0890275823858</v>
      </c>
      <c r="AX23" s="8">
        <f t="shared" si="34"/>
        <v>10572.53594320087</v>
      </c>
      <c r="AY23" s="8">
        <f>+AX23*(1+$BA$30)</f>
        <v>10678.261302632878</v>
      </c>
      <c r="AZ23" s="8">
        <f t="shared" ref="AZ23:DK23" si="35">+AY23*(1+$BA$30)</f>
        <v>10785.043915659207</v>
      </c>
      <c r="BA23" s="8">
        <f t="shared" si="35"/>
        <v>10892.8943548158</v>
      </c>
      <c r="BB23" s="8">
        <f t="shared" si="35"/>
        <v>11001.823298363959</v>
      </c>
      <c r="BC23" s="8">
        <f t="shared" si="35"/>
        <v>11111.841531347598</v>
      </c>
      <c r="BD23" s="8">
        <f t="shared" si="35"/>
        <v>11222.959946661074</v>
      </c>
      <c r="BE23" s="8">
        <f t="shared" si="35"/>
        <v>11335.189546127685</v>
      </c>
      <c r="BF23" s="8">
        <f t="shared" si="35"/>
        <v>11448.541441588963</v>
      </c>
      <c r="BG23" s="8">
        <f t="shared" si="35"/>
        <v>11563.026856004852</v>
      </c>
      <c r="BH23" s="8">
        <f t="shared" si="35"/>
        <v>11678.657124564901</v>
      </c>
      <c r="BI23" s="8">
        <f t="shared" si="35"/>
        <v>11795.443695810551</v>
      </c>
      <c r="BJ23" s="8">
        <f t="shared" si="35"/>
        <v>11913.398132768656</v>
      </c>
      <c r="BK23" s="8">
        <f t="shared" si="35"/>
        <v>12032.532114096342</v>
      </c>
      <c r="BL23" s="8">
        <f t="shared" si="35"/>
        <v>12152.857435237305</v>
      </c>
      <c r="BM23" s="8">
        <f t="shared" si="35"/>
        <v>12274.386009589678</v>
      </c>
      <c r="BN23" s="8">
        <f t="shared" si="35"/>
        <v>12397.129869685576</v>
      </c>
      <c r="BO23" s="8">
        <f t="shared" si="35"/>
        <v>12521.101168382431</v>
      </c>
      <c r="BP23" s="8">
        <f t="shared" si="35"/>
        <v>12646.312180066256</v>
      </c>
      <c r="BQ23" s="8">
        <f t="shared" si="35"/>
        <v>12772.775301866919</v>
      </c>
      <c r="BR23" s="8">
        <f t="shared" si="35"/>
        <v>12900.503054885588</v>
      </c>
      <c r="BS23" s="8">
        <f t="shared" si="35"/>
        <v>13029.508085434445</v>
      </c>
      <c r="BT23" s="8">
        <f t="shared" si="35"/>
        <v>13159.80316628879</v>
      </c>
      <c r="BU23" s="8">
        <f t="shared" si="35"/>
        <v>13291.401197951678</v>
      </c>
      <c r="BV23" s="8">
        <f t="shared" si="35"/>
        <v>13424.315209931196</v>
      </c>
      <c r="BW23" s="8">
        <f t="shared" si="35"/>
        <v>13558.558362030508</v>
      </c>
      <c r="BX23" s="8">
        <f t="shared" si="35"/>
        <v>13694.143945650812</v>
      </c>
      <c r="BY23" s="8">
        <f t="shared" si="35"/>
        <v>13831.085385107321</v>
      </c>
      <c r="BZ23" s="8">
        <f t="shared" si="35"/>
        <v>13969.396238958394</v>
      </c>
      <c r="CA23" s="8">
        <f t="shared" si="35"/>
        <v>14109.090201347977</v>
      </c>
      <c r="CB23" s="8">
        <f t="shared" si="35"/>
        <v>14250.181103361458</v>
      </c>
      <c r="CC23" s="8">
        <f t="shared" si="35"/>
        <v>14392.682914395073</v>
      </c>
      <c r="CD23" s="8">
        <f t="shared" si="35"/>
        <v>14536.609743539024</v>
      </c>
      <c r="CE23" s="8">
        <f t="shared" si="35"/>
        <v>14681.975840974414</v>
      </c>
      <c r="CF23" s="8">
        <f t="shared" si="35"/>
        <v>14828.795599384157</v>
      </c>
      <c r="CG23" s="8">
        <f t="shared" si="35"/>
        <v>14977.083555377998</v>
      </c>
      <c r="CH23" s="8">
        <f t="shared" si="35"/>
        <v>15126.854390931778</v>
      </c>
      <c r="CI23" s="8">
        <f t="shared" si="35"/>
        <v>15278.122934841096</v>
      </c>
      <c r="CJ23" s="8">
        <f t="shared" si="35"/>
        <v>15430.904164189507</v>
      </c>
      <c r="CK23" s="8">
        <f t="shared" si="35"/>
        <v>15585.213205831402</v>
      </c>
      <c r="CL23" s="8">
        <f t="shared" si="35"/>
        <v>15741.065337889717</v>
      </c>
      <c r="CM23" s="8">
        <f t="shared" si="35"/>
        <v>15898.475991268615</v>
      </c>
      <c r="CN23" s="8">
        <f t="shared" si="35"/>
        <v>16057.460751181301</v>
      </c>
      <c r="CO23" s="8">
        <f t="shared" si="35"/>
        <v>16218.035358693114</v>
      </c>
      <c r="CP23" s="8">
        <f t="shared" si="35"/>
        <v>16380.215712280045</v>
      </c>
      <c r="CQ23" s="8">
        <f t="shared" si="35"/>
        <v>16544.017869402847</v>
      </c>
      <c r="CR23" s="8">
        <f t="shared" si="35"/>
        <v>16709.458048096876</v>
      </c>
      <c r="CS23" s="8">
        <f t="shared" si="35"/>
        <v>16876.552628577843</v>
      </c>
      <c r="CT23" s="8">
        <f t="shared" si="35"/>
        <v>17045.31815486362</v>
      </c>
      <c r="CU23" s="8">
        <f t="shared" si="35"/>
        <v>17215.771336412257</v>
      </c>
      <c r="CV23" s="8">
        <f t="shared" si="35"/>
        <v>17387.92904977638</v>
      </c>
      <c r="CW23" s="8">
        <f t="shared" si="35"/>
        <v>17561.808340274143</v>
      </c>
      <c r="CX23" s="8">
        <f t="shared" si="35"/>
        <v>17737.426423676883</v>
      </c>
      <c r="CY23" s="8">
        <f t="shared" si="35"/>
        <v>17914.800687913652</v>
      </c>
      <c r="CZ23" s="8">
        <f t="shared" si="35"/>
        <v>18093.948694792787</v>
      </c>
      <c r="DA23" s="8">
        <f t="shared" si="35"/>
        <v>18274.888181740716</v>
      </c>
      <c r="DB23" s="8">
        <f t="shared" si="35"/>
        <v>18457.637063558122</v>
      </c>
      <c r="DC23" s="8">
        <f t="shared" si="35"/>
        <v>18642.213434193705</v>
      </c>
      <c r="DD23" s="8">
        <f t="shared" si="35"/>
        <v>18828.635568535643</v>
      </c>
      <c r="DE23" s="8">
        <f t="shared" si="35"/>
        <v>19016.921924220998</v>
      </c>
      <c r="DF23" s="8">
        <f t="shared" si="35"/>
        <v>19207.091143463207</v>
      </c>
      <c r="DG23" s="8">
        <f t="shared" si="35"/>
        <v>19399.162054897839</v>
      </c>
      <c r="DH23" s="8">
        <f t="shared" si="35"/>
        <v>19593.153675446818</v>
      </c>
      <c r="DI23" s="8">
        <f t="shared" si="35"/>
        <v>19789.085212201288</v>
      </c>
      <c r="DJ23" s="8">
        <f t="shared" si="35"/>
        <v>19986.976064323302</v>
      </c>
      <c r="DK23" s="8">
        <f t="shared" si="35"/>
        <v>20186.845824966535</v>
      </c>
      <c r="DL23" s="8">
        <f t="shared" ref="DL23" si="36">+DK23*(1+$BA$30)</f>
        <v>20388.714283216199</v>
      </c>
    </row>
    <row r="24" spans="2:116" x14ac:dyDescent="0.2">
      <c r="B24" t="s">
        <v>38</v>
      </c>
      <c r="L24" s="5">
        <f t="shared" ref="L24:S24" si="37">L23/L25</f>
        <v>0.99915682967959529</v>
      </c>
      <c r="M24" s="5">
        <f t="shared" si="37"/>
        <v>0.91659646166807074</v>
      </c>
      <c r="N24" s="5">
        <f t="shared" si="37"/>
        <v>0.59847844463229083</v>
      </c>
      <c r="O24" s="5">
        <f t="shared" si="37"/>
        <v>0.46501706484641636</v>
      </c>
      <c r="P24" s="5">
        <f t="shared" si="37"/>
        <v>-0.21675302245250433</v>
      </c>
      <c r="Q24" s="5">
        <f t="shared" si="37"/>
        <v>1.1979256698357823</v>
      </c>
      <c r="R24" s="5">
        <f t="shared" si="37"/>
        <v>0.82692307692307687</v>
      </c>
      <c r="S24" s="5">
        <f t="shared" si="37"/>
        <v>0.84567901234567899</v>
      </c>
      <c r="T24" s="5">
        <f t="shared" ref="T24:W24" si="38">T23/T25</f>
        <v>0.94524236983842014</v>
      </c>
      <c r="U24" s="5">
        <f t="shared" si="38"/>
        <v>0.96448087431693985</v>
      </c>
      <c r="V24" s="5">
        <f t="shared" si="38"/>
        <v>1.0064575645756457</v>
      </c>
      <c r="W24" s="5">
        <f t="shared" si="38"/>
        <v>1.0261194029850746</v>
      </c>
      <c r="X24" s="5">
        <f t="shared" ref="X24:AD24" si="39">X23/X25</f>
        <v>1.1852913085004775</v>
      </c>
      <c r="Y24" s="5">
        <f t="shared" si="39"/>
        <v>1.0478515625</v>
      </c>
      <c r="Z24" s="5">
        <f t="shared" si="39"/>
        <v>1.1548323471400395</v>
      </c>
      <c r="AA24" s="5">
        <f t="shared" si="39"/>
        <v>1.1936883629191322</v>
      </c>
      <c r="AB24" s="5">
        <f t="shared" si="39"/>
        <v>1.2523865877712033</v>
      </c>
      <c r="AC24" s="5">
        <f t="shared" si="39"/>
        <v>1.2668244575936884</v>
      </c>
      <c r="AD24" s="5">
        <f t="shared" si="39"/>
        <v>1.3071005917159764</v>
      </c>
      <c r="AN24">
        <f>+AN23/AN25</f>
        <v>5.0200000000000005</v>
      </c>
      <c r="AO24" s="13">
        <f>+AO23/AO25</f>
        <v>5.6435960000000014</v>
      </c>
      <c r="AP24" s="13">
        <f t="shared" ref="AP24:AX24" si="40">+AP23/AP25</f>
        <v>6.082569866840239</v>
      </c>
      <c r="AQ24" s="13">
        <f t="shared" si="40"/>
        <v>6.5426025191686641</v>
      </c>
      <c r="AR24" s="13">
        <f t="shared" si="40"/>
        <v>7.0245292460755051</v>
      </c>
      <c r="AS24" s="13">
        <f t="shared" si="40"/>
        <v>7.529215421694885</v>
      </c>
      <c r="AT24" s="13">
        <f t="shared" si="40"/>
        <v>8.0575575298066475</v>
      </c>
      <c r="AU24" s="13">
        <f t="shared" si="40"/>
        <v>8.6104842221195899</v>
      </c>
      <c r="AV24" s="13">
        <f t="shared" si="40"/>
        <v>9.1889574113174053</v>
      </c>
      <c r="AW24" s="13">
        <f t="shared" si="40"/>
        <v>9.7939733999826295</v>
      </c>
      <c r="AX24" s="13">
        <f t="shared" si="40"/>
        <v>10.426564046549181</v>
      </c>
    </row>
    <row r="25" spans="2:116" x14ac:dyDescent="0.2">
      <c r="B25" t="s">
        <v>1</v>
      </c>
      <c r="L25" s="1">
        <v>1186</v>
      </c>
      <c r="M25" s="4">
        <v>1187</v>
      </c>
      <c r="N25" s="4">
        <v>1183</v>
      </c>
      <c r="O25" s="4">
        <v>1172</v>
      </c>
      <c r="P25" s="4">
        <v>1158</v>
      </c>
      <c r="Q25" s="4">
        <v>1157</v>
      </c>
      <c r="R25" s="4">
        <v>1144</v>
      </c>
      <c r="S25" s="4">
        <v>1134</v>
      </c>
      <c r="T25" s="4">
        <v>1114</v>
      </c>
      <c r="U25" s="4">
        <v>1098</v>
      </c>
      <c r="V25" s="4">
        <v>1084</v>
      </c>
      <c r="W25" s="4">
        <v>1072</v>
      </c>
      <c r="X25" s="4">
        <v>1047</v>
      </c>
      <c r="Y25" s="4">
        <v>1024</v>
      </c>
      <c r="Z25" s="4">
        <v>1014</v>
      </c>
      <c r="AA25" s="4">
        <f>+Z25</f>
        <v>1014</v>
      </c>
      <c r="AB25" s="4">
        <f>+AA25</f>
        <v>1014</v>
      </c>
      <c r="AC25" s="4">
        <f>+AB25</f>
        <v>1014</v>
      </c>
      <c r="AD25" s="4">
        <f>+AC25</f>
        <v>1014</v>
      </c>
      <c r="AN25" s="4">
        <f>AVERAGE(AA25:AD25)</f>
        <v>1014</v>
      </c>
      <c r="AO25" s="4">
        <f>+AN25</f>
        <v>1014</v>
      </c>
      <c r="AP25" s="4">
        <f t="shared" ref="AP25:AX25" si="41">+AO25</f>
        <v>1014</v>
      </c>
      <c r="AQ25" s="4">
        <f t="shared" si="41"/>
        <v>1014</v>
      </c>
      <c r="AR25" s="4">
        <f t="shared" si="41"/>
        <v>1014</v>
      </c>
      <c r="AS25" s="4">
        <f t="shared" si="41"/>
        <v>1014</v>
      </c>
      <c r="AT25" s="4">
        <f t="shared" si="41"/>
        <v>1014</v>
      </c>
      <c r="AU25" s="4">
        <f t="shared" si="41"/>
        <v>1014</v>
      </c>
      <c r="AV25" s="4">
        <f t="shared" si="41"/>
        <v>1014</v>
      </c>
      <c r="AW25" s="4">
        <f t="shared" si="41"/>
        <v>1014</v>
      </c>
      <c r="AX25" s="4">
        <f t="shared" si="41"/>
        <v>1014</v>
      </c>
    </row>
    <row r="27" spans="2:116" s="6" customFormat="1" x14ac:dyDescent="0.2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P27" s="10">
        <f>P10/L10-1</f>
        <v>9.105482526450781E-2</v>
      </c>
      <c r="Q27" s="10">
        <f>Q10/M10-1</f>
        <v>0.10740860562924626</v>
      </c>
      <c r="R27" s="10">
        <f>R10/N10-1</f>
        <v>6.7215958369470918E-2</v>
      </c>
      <c r="S27" s="10">
        <f>S10/O10-1</f>
        <v>8.5917013728212144E-2</v>
      </c>
      <c r="T27" s="10">
        <f>T10/P10-1</f>
        <v>7.0672935645019086E-2</v>
      </c>
      <c r="U27" s="10">
        <f t="shared" ref="U27:Z27" si="42">+U10/Q10-1</f>
        <v>8.3552439380660148E-2</v>
      </c>
      <c r="V27" s="10">
        <f t="shared" si="42"/>
        <v>8.7091968034674228E-2</v>
      </c>
      <c r="W27" s="10">
        <f t="shared" si="42"/>
        <v>9.3607954545454453E-2</v>
      </c>
      <c r="X27" s="10">
        <f t="shared" si="42"/>
        <v>8.2063949499108002E-2</v>
      </c>
      <c r="Y27" s="10">
        <f t="shared" si="42"/>
        <v>5.7832299811269916E-2</v>
      </c>
      <c r="Z27" s="10">
        <f t="shared" si="42"/>
        <v>4.2362322452030865E-2</v>
      </c>
      <c r="AA27" s="10"/>
    </row>
    <row r="28" spans="2:116" s="6" customFormat="1" x14ac:dyDescent="0.2">
      <c r="B28" s="6" t="s">
        <v>60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P28" s="10">
        <v>0.1</v>
      </c>
      <c r="Q28" s="10">
        <f t="shared" ref="Q28:Z28" si="43">+Q3/M3-1</f>
        <v>8.7325352521699928E-2</v>
      </c>
      <c r="R28" s="10">
        <f t="shared" si="43"/>
        <v>5.2566783494831126E-2</v>
      </c>
      <c r="S28" s="10">
        <f t="shared" si="43"/>
        <v>9.7612553060396845E-2</v>
      </c>
      <c r="T28" s="10">
        <f t="shared" si="43"/>
        <v>0.10814588967924399</v>
      </c>
      <c r="U28" s="10">
        <f t="shared" si="43"/>
        <v>0.15054025099933832</v>
      </c>
      <c r="V28" s="10">
        <f t="shared" si="43"/>
        <v>0.14677456362730767</v>
      </c>
      <c r="W28" s="10">
        <f t="shared" si="43"/>
        <v>0.1392126552856352</v>
      </c>
      <c r="X28" s="10">
        <f t="shared" si="43"/>
        <v>0.10696397176380601</v>
      </c>
      <c r="Y28" s="10">
        <f t="shared" si="43"/>
        <v>9.0120995303081486E-2</v>
      </c>
      <c r="Z28" s="10">
        <f t="shared" si="43"/>
        <v>6.8330437837943458E-2</v>
      </c>
    </row>
    <row r="29" spans="2:116" x14ac:dyDescent="0.2">
      <c r="B29" t="s">
        <v>29</v>
      </c>
      <c r="L29" s="3">
        <f t="shared" ref="L29:Q29" si="44">L13/L10</f>
        <v>0.56829111894838091</v>
      </c>
      <c r="M29" s="3">
        <f t="shared" si="44"/>
        <v>0.54189582659333546</v>
      </c>
      <c r="N29" s="3">
        <f t="shared" si="44"/>
        <v>0.52269442035270308</v>
      </c>
      <c r="O29" s="3">
        <f t="shared" si="44"/>
        <v>0.5085608514576585</v>
      </c>
      <c r="P29" s="3">
        <f t="shared" si="44"/>
        <v>0.48692330296796943</v>
      </c>
      <c r="Q29" s="3">
        <f t="shared" si="44"/>
        <v>0.50993280747881975</v>
      </c>
      <c r="R29" s="3">
        <f t="shared" ref="R29:Z29" si="45">+R13/R10</f>
        <v>0.49722335094135173</v>
      </c>
      <c r="S29" s="3">
        <f t="shared" si="45"/>
        <v>0.47088068181818182</v>
      </c>
      <c r="T29" s="3">
        <f t="shared" si="45"/>
        <v>0.45944833264717994</v>
      </c>
      <c r="U29" s="3">
        <f t="shared" si="45"/>
        <v>0.45416554327311942</v>
      </c>
      <c r="V29" s="3">
        <f t="shared" si="45"/>
        <v>0.45751308248193373</v>
      </c>
      <c r="W29" s="3">
        <f t="shared" si="45"/>
        <v>0.44953890115599426</v>
      </c>
      <c r="X29" s="3">
        <f t="shared" si="45"/>
        <v>0.45757767913760306</v>
      </c>
      <c r="Y29" s="3">
        <f t="shared" si="45"/>
        <v>0.46565566458519181</v>
      </c>
      <c r="Z29" s="3">
        <f t="shared" si="45"/>
        <v>0.47035620368156827</v>
      </c>
      <c r="AA29" s="3"/>
      <c r="AN29" s="3">
        <f>+AN13/AN10</f>
        <v>0.46071582074978618</v>
      </c>
      <c r="AO29" s="3">
        <f>+AO13/AO10</f>
        <v>0.46</v>
      </c>
      <c r="AP29" s="3">
        <f t="shared" ref="AP29:AX29" si="46">+AP13/AP10</f>
        <v>0.46</v>
      </c>
      <c r="AQ29" s="3">
        <f t="shared" si="46"/>
        <v>0.46000000000000008</v>
      </c>
      <c r="AR29" s="3">
        <f t="shared" si="46"/>
        <v>0.46</v>
      </c>
      <c r="AS29" s="3">
        <f t="shared" si="46"/>
        <v>0.46</v>
      </c>
      <c r="AT29" s="3">
        <f t="shared" si="46"/>
        <v>0.46000000000000008</v>
      </c>
      <c r="AU29" s="3">
        <f t="shared" si="46"/>
        <v>0.45999999999999996</v>
      </c>
      <c r="AV29" s="3">
        <f t="shared" si="46"/>
        <v>0.46</v>
      </c>
      <c r="AW29" s="3">
        <f t="shared" si="46"/>
        <v>0.46</v>
      </c>
      <c r="AX29" s="3">
        <f t="shared" si="46"/>
        <v>0.46000000000000008</v>
      </c>
      <c r="AZ29" t="s">
        <v>104</v>
      </c>
      <c r="BA29" s="3">
        <v>0.03</v>
      </c>
    </row>
    <row r="30" spans="2:116" x14ac:dyDescent="0.2">
      <c r="B30" t="s">
        <v>42</v>
      </c>
      <c r="L30" s="9">
        <f t="shared" ref="L30:Z30" si="47">L19/L10</f>
        <v>0.18082718820134658</v>
      </c>
      <c r="M30" s="9">
        <f t="shared" si="47"/>
        <v>0.16887738595923649</v>
      </c>
      <c r="N30" s="9">
        <f t="shared" si="47"/>
        <v>0.15206707140792136</v>
      </c>
      <c r="O30" s="9">
        <f t="shared" si="47"/>
        <v>0.11522443313280889</v>
      </c>
      <c r="P30" s="9">
        <f t="shared" si="47"/>
        <v>0.12547751983543931</v>
      </c>
      <c r="Q30" s="9">
        <f t="shared" si="47"/>
        <v>0.17148699970785861</v>
      </c>
      <c r="R30" s="9">
        <f t="shared" si="47"/>
        <v>0.1718813490451036</v>
      </c>
      <c r="S30" s="9">
        <f t="shared" si="47"/>
        <v>0.16519886363636363</v>
      </c>
      <c r="T30" s="9">
        <f t="shared" si="47"/>
        <v>0.15877590229175242</v>
      </c>
      <c r="U30" s="9">
        <f t="shared" si="47"/>
        <v>0.16271232138042599</v>
      </c>
      <c r="V30" s="9">
        <f t="shared" si="47"/>
        <v>0.17655120857214054</v>
      </c>
      <c r="W30" s="9">
        <f t="shared" si="47"/>
        <v>0.17924405766982726</v>
      </c>
      <c r="X30" s="9">
        <f t="shared" si="47"/>
        <v>0.18237159162967659</v>
      </c>
      <c r="Y30" s="9">
        <f t="shared" si="47"/>
        <v>0.18529374283165542</v>
      </c>
      <c r="Z30" s="9">
        <f t="shared" si="47"/>
        <v>0.1782213722208941</v>
      </c>
      <c r="AA30" s="9"/>
      <c r="AZ30" t="s">
        <v>105</v>
      </c>
      <c r="BA30" s="3">
        <v>0.01</v>
      </c>
    </row>
    <row r="31" spans="2:116" x14ac:dyDescent="0.2">
      <c r="B31" t="s">
        <v>43</v>
      </c>
      <c r="L31" s="3">
        <f t="shared" ref="L31:Z31" si="48">L22/L21</f>
        <v>0.12675018422991893</v>
      </c>
      <c r="M31" s="3">
        <f t="shared" si="48"/>
        <v>6.6895368782161235E-2</v>
      </c>
      <c r="N31" s="3">
        <f t="shared" si="48"/>
        <v>0</v>
      </c>
      <c r="O31" s="3">
        <f t="shared" si="48"/>
        <v>0.18045112781954886</v>
      </c>
      <c r="P31" s="3">
        <f t="shared" si="48"/>
        <v>2.8057553956834531</v>
      </c>
      <c r="Q31" s="3">
        <f t="shared" si="48"/>
        <v>0.15177478580171358</v>
      </c>
      <c r="R31" s="3">
        <f t="shared" si="48"/>
        <v>0.16651982378854627</v>
      </c>
      <c r="S31" s="3">
        <f t="shared" si="48"/>
        <v>0.22536348949919224</v>
      </c>
      <c r="T31" s="3">
        <f t="shared" si="48"/>
        <v>0.20648078372268275</v>
      </c>
      <c r="U31" s="3">
        <f t="shared" si="48"/>
        <v>0.17265625000000001</v>
      </c>
      <c r="V31" s="3">
        <f t="shared" si="48"/>
        <v>0.26383265856950067</v>
      </c>
      <c r="W31" s="3">
        <f t="shared" si="48"/>
        <v>0.22589725545390571</v>
      </c>
      <c r="X31" s="3">
        <f t="shared" si="48"/>
        <v>0.17923280423280424</v>
      </c>
      <c r="Y31" s="3">
        <f t="shared" si="48"/>
        <v>0.2190684133915575</v>
      </c>
      <c r="Z31" s="3">
        <f t="shared" si="48"/>
        <v>0.19794520547945205</v>
      </c>
      <c r="AN31" s="3">
        <f>+AN22/AN21</f>
        <v>0.2</v>
      </c>
      <c r="AO31" s="3">
        <f t="shared" ref="AO31:AX31" si="49">+AO22/AO21</f>
        <v>0.2</v>
      </c>
      <c r="AP31" s="3">
        <f t="shared" si="49"/>
        <v>0.2</v>
      </c>
      <c r="AQ31" s="3">
        <f t="shared" si="49"/>
        <v>0.2</v>
      </c>
      <c r="AR31" s="3">
        <f t="shared" si="49"/>
        <v>0.2</v>
      </c>
      <c r="AS31" s="3">
        <f t="shared" si="49"/>
        <v>0.2</v>
      </c>
      <c r="AT31" s="3">
        <f t="shared" si="49"/>
        <v>0.2</v>
      </c>
      <c r="AU31" s="3">
        <f t="shared" si="49"/>
        <v>0.20000000000000004</v>
      </c>
      <c r="AV31" s="3">
        <f t="shared" si="49"/>
        <v>0.19999999999999998</v>
      </c>
      <c r="AW31" s="3">
        <f t="shared" si="49"/>
        <v>0.2</v>
      </c>
      <c r="AX31" s="3">
        <f t="shared" si="49"/>
        <v>0.2</v>
      </c>
      <c r="AZ31" t="s">
        <v>106</v>
      </c>
      <c r="BA31" s="3">
        <v>0.08</v>
      </c>
    </row>
    <row r="32" spans="2:116" x14ac:dyDescent="0.2">
      <c r="AZ32" t="s">
        <v>107</v>
      </c>
      <c r="BA32" s="8">
        <f>NPV(BA31,AO23:DL23)</f>
        <v>121237.41169202272</v>
      </c>
    </row>
    <row r="33" spans="2:116" s="4" customFormat="1" x14ac:dyDescent="0.2">
      <c r="B33" s="4" t="s">
        <v>52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R33" s="4">
        <f>R34-R47</f>
        <v>5469</v>
      </c>
      <c r="S33" s="4">
        <f>S34-S47</f>
        <v>0</v>
      </c>
      <c r="T33" s="4">
        <f t="shared" ref="T33:U33" si="50">T34-T47</f>
        <v>0</v>
      </c>
      <c r="U33" s="4">
        <f t="shared" si="50"/>
        <v>4762</v>
      </c>
      <c r="V33" s="4">
        <f>V34-V47</f>
        <v>7657</v>
      </c>
      <c r="W33" s="4">
        <f>W34-W47</f>
        <v>8044</v>
      </c>
      <c r="X33" s="4">
        <f>X34-X47</f>
        <v>8542</v>
      </c>
      <c r="Y33" s="4">
        <f>Y34-Y47</f>
        <v>6225</v>
      </c>
      <c r="Z33" s="4">
        <f>Z34-Z47</f>
        <v>5527</v>
      </c>
      <c r="AM33" s="4">
        <f>+Z33</f>
        <v>5527</v>
      </c>
      <c r="AN33" s="4">
        <f>+AM33+AN23</f>
        <v>10617.28</v>
      </c>
      <c r="AO33" s="4">
        <f t="shared" ref="AO33:AX33" si="51">+AN33+AO23</f>
        <v>16339.886344000002</v>
      </c>
      <c r="AP33" s="4">
        <f t="shared" si="51"/>
        <v>22507.612188976003</v>
      </c>
      <c r="AQ33" s="4">
        <f t="shared" si="51"/>
        <v>29141.81114341303</v>
      </c>
      <c r="AR33" s="4">
        <f t="shared" si="51"/>
        <v>36264.683798933591</v>
      </c>
      <c r="AS33" s="4">
        <f t="shared" si="51"/>
        <v>43899.308236532204</v>
      </c>
      <c r="AT33" s="4">
        <f t="shared" si="51"/>
        <v>52069.671571756146</v>
      </c>
      <c r="AU33" s="4">
        <f t="shared" si="51"/>
        <v>60800.702572985407</v>
      </c>
      <c r="AV33" s="4">
        <f t="shared" si="51"/>
        <v>70118.305388061257</v>
      </c>
      <c r="AW33" s="4">
        <f t="shared" si="51"/>
        <v>80049.394415643648</v>
      </c>
      <c r="AX33" s="4">
        <f t="shared" si="51"/>
        <v>90621.930358844518</v>
      </c>
      <c r="AZ33" s="4" t="s">
        <v>107</v>
      </c>
      <c r="BA33" s="8">
        <f>NPV(BA31,AN35:DL35)</f>
        <v>107274.13054769285</v>
      </c>
    </row>
    <row r="34" spans="2:116" s="4" customFormat="1" x14ac:dyDescent="0.2">
      <c r="B34" s="4" t="s">
        <v>3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R34" s="4">
        <f>7776+3092+5018</f>
        <v>15886</v>
      </c>
      <c r="U34" s="4">
        <f>6816+4731+3855</f>
        <v>15402</v>
      </c>
      <c r="V34" s="4">
        <f>9081+4979+3273</f>
        <v>17333</v>
      </c>
      <c r="W34" s="4">
        <f>9693+4625+3409</f>
        <v>17727</v>
      </c>
      <c r="X34" s="4">
        <f>7701+5915+4653</f>
        <v>18269</v>
      </c>
      <c r="Y34" s="4">
        <f>7272+4647+4282</f>
        <v>16201</v>
      </c>
      <c r="Z34" s="4">
        <f>6561+4262+4583</f>
        <v>15406</v>
      </c>
    </row>
    <row r="35" spans="2:116" s="4" customFormat="1" x14ac:dyDescent="0.2">
      <c r="B35" s="4" t="s">
        <v>45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R35" s="4">
        <v>963</v>
      </c>
      <c r="U35" s="4">
        <v>988</v>
      </c>
      <c r="V35" s="4">
        <v>1069</v>
      </c>
      <c r="W35" s="4">
        <v>1108</v>
      </c>
      <c r="X35" s="4">
        <v>987</v>
      </c>
      <c r="Y35" s="4">
        <v>1038</v>
      </c>
      <c r="Z35" s="4">
        <v>984</v>
      </c>
      <c r="AN35" s="4">
        <f>5090.28/2</f>
        <v>2545.14</v>
      </c>
      <c r="AO35" s="4">
        <f>5722.606344/2</f>
        <v>2861.3031719999999</v>
      </c>
      <c r="AP35" s="4">
        <f>6167.725844976/2</f>
        <v>3083.8629224880001</v>
      </c>
      <c r="AQ35" s="4">
        <f>6634.19895443703/2</f>
        <v>3317.0994772185149</v>
      </c>
      <c r="AR35" s="4">
        <v>7122.8726555205621</v>
      </c>
      <c r="AS35" s="4">
        <v>7634.6244375986134</v>
      </c>
      <c r="AT35" s="4">
        <v>8170.3633352239412</v>
      </c>
      <c r="AU35" s="4">
        <v>8731.0310012292648</v>
      </c>
      <c r="AV35" s="4">
        <v>9317.6028150758484</v>
      </c>
      <c r="AW35" s="4">
        <v>9931.0890275823858</v>
      </c>
      <c r="AX35" s="4">
        <v>10572.53594320087</v>
      </c>
      <c r="AY35" s="4">
        <v>10678.261302632878</v>
      </c>
      <c r="AZ35" s="4">
        <v>10785.043915659207</v>
      </c>
      <c r="BA35" s="4">
        <v>10892.8943548158</v>
      </c>
      <c r="BB35" s="4">
        <v>11001.823298363959</v>
      </c>
      <c r="BC35" s="4">
        <v>11111.841531347598</v>
      </c>
      <c r="BD35" s="4">
        <v>11222.959946661074</v>
      </c>
      <c r="BE35" s="4">
        <v>11335.189546127685</v>
      </c>
      <c r="BF35" s="4">
        <v>11448.541441588963</v>
      </c>
      <c r="BG35" s="4">
        <v>11563.026856004852</v>
      </c>
      <c r="BH35" s="4">
        <v>11678.657124564901</v>
      </c>
      <c r="BI35" s="4">
        <v>11795.443695810551</v>
      </c>
      <c r="BJ35" s="4">
        <v>11913.398132768656</v>
      </c>
      <c r="BK35" s="4">
        <v>12032.532114096342</v>
      </c>
      <c r="BL35" s="4">
        <v>12152.857435237305</v>
      </c>
      <c r="BM35" s="4">
        <v>12274.386009589678</v>
      </c>
      <c r="BN35" s="4">
        <v>12397.129869685576</v>
      </c>
      <c r="BO35" s="4">
        <v>12521.101168382431</v>
      </c>
      <c r="BP35" s="4">
        <v>12646.312180066256</v>
      </c>
      <c r="BQ35" s="4">
        <v>12772.775301866919</v>
      </c>
      <c r="BR35" s="4">
        <v>12900.503054885588</v>
      </c>
      <c r="BS35" s="4">
        <v>13029.508085434445</v>
      </c>
      <c r="BT35" s="4">
        <v>13159.80316628879</v>
      </c>
      <c r="BU35" s="4">
        <v>13291.401197951678</v>
      </c>
      <c r="BV35" s="4">
        <v>13424.315209931196</v>
      </c>
      <c r="BW35" s="4">
        <v>13558.558362030508</v>
      </c>
      <c r="BX35" s="4">
        <v>13694.143945650812</v>
      </c>
      <c r="BY35" s="4">
        <v>13831.085385107321</v>
      </c>
      <c r="BZ35" s="4">
        <v>13969.396238958394</v>
      </c>
      <c r="CA35" s="4">
        <v>14109.090201347977</v>
      </c>
      <c r="CB35" s="4">
        <v>14250.181103361458</v>
      </c>
      <c r="CC35" s="4">
        <v>14392.682914395073</v>
      </c>
      <c r="CD35" s="4">
        <v>14536.609743539024</v>
      </c>
      <c r="CE35" s="4">
        <v>14681.975840974414</v>
      </c>
      <c r="CF35" s="4">
        <v>14828.795599384157</v>
      </c>
      <c r="CG35" s="4">
        <v>14977.083555377998</v>
      </c>
      <c r="CH35" s="4">
        <v>15126.854390931778</v>
      </c>
      <c r="CI35" s="4">
        <v>15278.122934841096</v>
      </c>
      <c r="CJ35" s="4">
        <v>15430.904164189507</v>
      </c>
      <c r="CK35" s="4">
        <v>15585.213205831402</v>
      </c>
      <c r="CL35" s="4">
        <v>15741.065337889717</v>
      </c>
      <c r="CM35" s="4">
        <v>15898.475991268615</v>
      </c>
      <c r="CN35" s="4">
        <v>16057.460751181301</v>
      </c>
      <c r="CO35" s="4">
        <v>16218.035358693114</v>
      </c>
      <c r="CP35" s="4">
        <v>16380.215712280045</v>
      </c>
      <c r="CQ35" s="4">
        <v>16544.017869402847</v>
      </c>
      <c r="CR35" s="4">
        <v>16709.458048096876</v>
      </c>
      <c r="CS35" s="4">
        <v>16876.552628577843</v>
      </c>
      <c r="CT35" s="4">
        <v>17045.31815486362</v>
      </c>
      <c r="CU35" s="4">
        <v>17215.771336412257</v>
      </c>
      <c r="CV35" s="4">
        <v>17387.92904977638</v>
      </c>
      <c r="CW35" s="4">
        <v>17561.808340274143</v>
      </c>
      <c r="CX35" s="4">
        <v>17737.426423676883</v>
      </c>
      <c r="CY35" s="4">
        <v>17914.800687913652</v>
      </c>
      <c r="CZ35" s="4">
        <v>18093.948694792787</v>
      </c>
      <c r="DA35" s="4">
        <v>18274.888181740716</v>
      </c>
      <c r="DB35" s="4">
        <v>18457.637063558122</v>
      </c>
      <c r="DC35" s="4">
        <v>18642.213434193705</v>
      </c>
      <c r="DD35" s="4">
        <v>18828.635568535643</v>
      </c>
      <c r="DE35" s="4">
        <v>19016.921924220998</v>
      </c>
      <c r="DF35" s="4">
        <v>19207.091143463207</v>
      </c>
      <c r="DG35" s="4">
        <v>19399.162054897839</v>
      </c>
      <c r="DH35" s="4">
        <v>19593.153675446818</v>
      </c>
      <c r="DI35" s="4">
        <v>19789.085212201288</v>
      </c>
      <c r="DJ35" s="4">
        <v>19986.976064323302</v>
      </c>
      <c r="DK35" s="4">
        <v>20186.845824966535</v>
      </c>
      <c r="DL35" s="4">
        <v>20388.714283216199</v>
      </c>
    </row>
    <row r="36" spans="2:116" s="4" customFormat="1" x14ac:dyDescent="0.2">
      <c r="B36" s="4" t="s">
        <v>46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R36" s="4">
        <v>7431</v>
      </c>
      <c r="U36" s="4">
        <f>2165+5066</f>
        <v>7231</v>
      </c>
      <c r="V36" s="4">
        <f>563+5433</f>
        <v>5996</v>
      </c>
      <c r="W36" s="4">
        <f>307+5202</f>
        <v>5509</v>
      </c>
      <c r="X36" s="4">
        <f>369+5319</f>
        <v>5688</v>
      </c>
      <c r="Y36" s="4">
        <f>471+6003</f>
        <v>6474</v>
      </c>
      <c r="Z36" s="4">
        <f>541+6422</f>
        <v>6963</v>
      </c>
    </row>
    <row r="37" spans="2:116" s="4" customFormat="1" x14ac:dyDescent="0.2">
      <c r="B37" s="4" t="s">
        <v>47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R37" s="4">
        <v>36357</v>
      </c>
      <c r="U37" s="4">
        <v>34641</v>
      </c>
      <c r="V37" s="4">
        <v>38935</v>
      </c>
      <c r="W37" s="4">
        <v>38353</v>
      </c>
      <c r="X37" s="4">
        <v>38727</v>
      </c>
      <c r="Y37" s="4">
        <v>39182</v>
      </c>
      <c r="Z37" s="4">
        <v>37671</v>
      </c>
    </row>
    <row r="38" spans="2:116" s="4" customFormat="1" x14ac:dyDescent="0.2">
      <c r="B38" s="4" t="s">
        <v>48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R38" s="4">
        <v>1898</v>
      </c>
      <c r="U38" s="4">
        <v>2228</v>
      </c>
      <c r="V38" s="4">
        <v>2509</v>
      </c>
      <c r="W38" s="4">
        <v>4418</v>
      </c>
      <c r="X38" s="4">
        <v>3954</v>
      </c>
      <c r="Y38" s="4">
        <v>4060</v>
      </c>
      <c r="Z38" s="4">
        <v>4651</v>
      </c>
    </row>
    <row r="39" spans="2:116" s="4" customFormat="1" x14ac:dyDescent="0.2">
      <c r="B39" s="4" t="s">
        <v>49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R39" s="4">
        <v>1730</v>
      </c>
      <c r="U39" s="4">
        <v>1529</v>
      </c>
      <c r="V39" s="4">
        <v>1488</v>
      </c>
      <c r="W39" s="4">
        <v>1426</v>
      </c>
      <c r="X39" s="4">
        <v>1459</v>
      </c>
      <c r="Y39" s="4">
        <v>1496</v>
      </c>
      <c r="Z39" s="4">
        <v>1508</v>
      </c>
    </row>
    <row r="40" spans="2:116" s="4" customFormat="1" x14ac:dyDescent="0.2">
      <c r="B40" s="4" t="s">
        <v>50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R40" s="4">
        <f>11209+788</f>
        <v>11997</v>
      </c>
      <c r="U40" s="4">
        <f>10935+564</f>
        <v>11499</v>
      </c>
      <c r="V40" s="4">
        <f>11026+537</f>
        <v>11563</v>
      </c>
      <c r="W40" s="4">
        <f>10916+465</f>
        <v>11381</v>
      </c>
      <c r="X40" s="4">
        <f>10816+403</f>
        <v>11219</v>
      </c>
      <c r="Y40" s="4">
        <f>10996+393</f>
        <v>11389</v>
      </c>
      <c r="Z40" s="4">
        <f>10837+326</f>
        <v>11163</v>
      </c>
    </row>
    <row r="41" spans="2:116" s="4" customFormat="1" x14ac:dyDescent="0.2">
      <c r="B41" s="4" t="s">
        <v>51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R41" s="4">
        <v>2455</v>
      </c>
      <c r="U41" s="4">
        <v>2922</v>
      </c>
      <c r="V41" s="4">
        <v>3273</v>
      </c>
      <c r="W41" s="4">
        <v>3425</v>
      </c>
      <c r="X41" s="4">
        <v>3713</v>
      </c>
      <c r="Y41" s="4">
        <v>3671</v>
      </c>
      <c r="Z41" s="4">
        <v>3265</v>
      </c>
    </row>
    <row r="42" spans="2:116" s="4" customFormat="1" x14ac:dyDescent="0.2">
      <c r="B42" s="4" t="s">
        <v>44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R42" s="4">
        <f>SUM(R34:R41)</f>
        <v>78717</v>
      </c>
      <c r="U42" s="4">
        <f t="shared" ref="U42:Z42" si="52">SUM(U34:U41)</f>
        <v>76440</v>
      </c>
      <c r="V42" s="4">
        <f t="shared" si="52"/>
        <v>82166</v>
      </c>
      <c r="W42" s="4">
        <f t="shared" si="52"/>
        <v>83347</v>
      </c>
      <c r="X42" s="4">
        <f t="shared" si="52"/>
        <v>84016</v>
      </c>
      <c r="Y42" s="4">
        <f t="shared" si="52"/>
        <v>83511</v>
      </c>
      <c r="Z42" s="4">
        <f t="shared" si="52"/>
        <v>81611</v>
      </c>
    </row>
    <row r="44" spans="2:116" s="4" customFormat="1" x14ac:dyDescent="0.2">
      <c r="B44" s="4" t="s">
        <v>53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R44" s="4">
        <f>126+4055</f>
        <v>4181</v>
      </c>
      <c r="U44" s="4">
        <f>131+3533</f>
        <v>3664</v>
      </c>
      <c r="V44" s="4">
        <f>139+6392</f>
        <v>6531</v>
      </c>
      <c r="W44" s="4">
        <f>108+8385</f>
        <v>8493</v>
      </c>
      <c r="X44" s="4">
        <f>133+8853</f>
        <v>8986</v>
      </c>
      <c r="Y44" s="4">
        <f>165+8921</f>
        <v>9086</v>
      </c>
      <c r="Z44" s="4">
        <f>227+8478</f>
        <v>8705</v>
      </c>
    </row>
    <row r="45" spans="2:116" s="4" customFormat="1" x14ac:dyDescent="0.2">
      <c r="B45" s="4" t="s">
        <v>47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R45" s="4">
        <v>40107</v>
      </c>
      <c r="U45" s="4">
        <v>38641</v>
      </c>
      <c r="V45" s="4">
        <v>41935</v>
      </c>
      <c r="W45" s="4">
        <v>41353</v>
      </c>
      <c r="X45" s="4">
        <v>41727</v>
      </c>
      <c r="Y45" s="4">
        <v>41182</v>
      </c>
      <c r="Z45" s="4">
        <v>39671</v>
      </c>
    </row>
    <row r="46" spans="2:116" s="4" customFormat="1" x14ac:dyDescent="0.2">
      <c r="B46" s="4" t="s">
        <v>40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R46" s="4">
        <f>813+2925</f>
        <v>3738</v>
      </c>
      <c r="U46" s="4">
        <f>2618+1137</f>
        <v>3755</v>
      </c>
      <c r="V46" s="4">
        <v>2973</v>
      </c>
      <c r="W46" s="4">
        <v>3116</v>
      </c>
      <c r="X46" s="4">
        <v>2954</v>
      </c>
      <c r="Y46" s="4">
        <v>3093</v>
      </c>
      <c r="Z46" s="4">
        <v>2939</v>
      </c>
    </row>
    <row r="47" spans="2:116" s="4" customFormat="1" x14ac:dyDescent="0.2">
      <c r="B47" s="4" t="s">
        <v>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R47" s="4">
        <v>10417</v>
      </c>
      <c r="U47" s="4">
        <v>10640</v>
      </c>
      <c r="V47" s="4">
        <v>9676</v>
      </c>
      <c r="W47" s="4">
        <v>9683</v>
      </c>
      <c r="X47" s="4">
        <v>9727</v>
      </c>
      <c r="Y47" s="4">
        <v>9976</v>
      </c>
      <c r="Z47" s="4">
        <v>9879</v>
      </c>
    </row>
    <row r="48" spans="2:116" s="4" customFormat="1" x14ac:dyDescent="0.2">
      <c r="B48" s="4" t="s">
        <v>54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R48" s="4">
        <v>20274</v>
      </c>
      <c r="U48" s="4">
        <v>19740</v>
      </c>
      <c r="V48" s="4">
        <v>21051</v>
      </c>
      <c r="W48" s="4">
        <v>20702</v>
      </c>
      <c r="X48" s="4">
        <v>20622</v>
      </c>
      <c r="Y48" s="4">
        <v>20174</v>
      </c>
      <c r="Z48" s="4">
        <v>20417</v>
      </c>
    </row>
    <row r="49" spans="2:26" s="4" customFormat="1" x14ac:dyDescent="0.2">
      <c r="B49" s="4" t="s">
        <v>89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R49" s="4">
        <f>SUM(R44:R48)</f>
        <v>78717</v>
      </c>
      <c r="U49" s="4">
        <f t="shared" ref="U49:Z49" si="53">SUM(U44:U48)</f>
        <v>76440</v>
      </c>
      <c r="V49" s="4">
        <f t="shared" si="53"/>
        <v>82166</v>
      </c>
      <c r="W49" s="4">
        <f t="shared" si="53"/>
        <v>83347</v>
      </c>
      <c r="X49" s="4">
        <f t="shared" si="53"/>
        <v>84016</v>
      </c>
      <c r="Y49" s="4">
        <f t="shared" si="53"/>
        <v>83511</v>
      </c>
      <c r="Z49" s="4">
        <f t="shared" si="53"/>
        <v>81611</v>
      </c>
    </row>
    <row r="51" spans="2:26" s="4" customFormat="1" x14ac:dyDescent="0.2">
      <c r="B51" s="4" t="s">
        <v>61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U51" s="4">
        <f t="shared" ref="U51" si="54">+U23</f>
        <v>1059</v>
      </c>
      <c r="V51" s="4">
        <f>+V23</f>
        <v>1091</v>
      </c>
      <c r="W51" s="4">
        <f>+W23</f>
        <v>1100</v>
      </c>
      <c r="X51" s="4">
        <f>+X23</f>
        <v>1241</v>
      </c>
      <c r="Y51" s="4">
        <f>+Y23</f>
        <v>1073</v>
      </c>
      <c r="Z51" s="4">
        <f>+Z23</f>
        <v>1171</v>
      </c>
    </row>
    <row r="52" spans="2:26" s="4" customFormat="1" x14ac:dyDescent="0.2">
      <c r="B52" s="4" t="s">
        <v>62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U52" s="4">
        <v>1020</v>
      </c>
      <c r="V52" s="4">
        <v>1402</v>
      </c>
      <c r="W52" s="4">
        <v>888</v>
      </c>
      <c r="X52" s="4">
        <v>1128</v>
      </c>
      <c r="Y52" s="4">
        <v>1010</v>
      </c>
      <c r="Z52" s="4">
        <v>1121</v>
      </c>
    </row>
    <row r="53" spans="2:26" s="4" customFormat="1" x14ac:dyDescent="0.2">
      <c r="B53" s="4" t="s">
        <v>63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U53" s="4">
        <v>446</v>
      </c>
      <c r="V53" s="4">
        <v>396</v>
      </c>
      <c r="W53" s="4">
        <v>321</v>
      </c>
      <c r="X53" s="4">
        <v>335</v>
      </c>
      <c r="Y53" s="4">
        <v>352</v>
      </c>
      <c r="Z53" s="4">
        <v>434</v>
      </c>
    </row>
    <row r="54" spans="2:26" s="4" customFormat="1" x14ac:dyDescent="0.2">
      <c r="B54" s="4" t="s">
        <v>64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U54" s="4">
        <v>270</v>
      </c>
      <c r="V54" s="4">
        <v>263</v>
      </c>
      <c r="W54" s="4">
        <v>265</v>
      </c>
      <c r="X54" s="4">
        <v>263</v>
      </c>
      <c r="Y54" s="4">
        <v>255</v>
      </c>
      <c r="Z54" s="4">
        <v>249</v>
      </c>
    </row>
    <row r="55" spans="2:26" s="4" customFormat="1" x14ac:dyDescent="0.2">
      <c r="B55" s="4" t="s">
        <v>65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U55" s="4">
        <v>379</v>
      </c>
      <c r="V55" s="4">
        <v>388</v>
      </c>
      <c r="W55" s="4">
        <v>365</v>
      </c>
      <c r="X55" s="4">
        <v>298</v>
      </c>
      <c r="Y55" s="4">
        <v>284</v>
      </c>
      <c r="Z55" s="4">
        <v>283</v>
      </c>
    </row>
    <row r="56" spans="2:26" s="4" customFormat="1" x14ac:dyDescent="0.2">
      <c r="B56" s="4" t="s">
        <v>66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U56" s="4">
        <v>-293</v>
      </c>
      <c r="V56" s="4">
        <v>-229</v>
      </c>
      <c r="W56" s="4">
        <v>52</v>
      </c>
      <c r="X56" s="4">
        <v>-23</v>
      </c>
      <c r="Y56" s="4">
        <v>-21</v>
      </c>
      <c r="Z56" s="4">
        <v>223</v>
      </c>
    </row>
    <row r="57" spans="2:26" s="4" customFormat="1" x14ac:dyDescent="0.2">
      <c r="B57" s="4" t="s">
        <v>67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U57" s="4">
        <v>-24</v>
      </c>
      <c r="V57" s="4">
        <f>4-356</f>
        <v>-352</v>
      </c>
      <c r="W57" s="4">
        <v>49</v>
      </c>
      <c r="X57" s="4">
        <v>6</v>
      </c>
      <c r="Y57" s="4">
        <v>171</v>
      </c>
      <c r="Z57" s="4">
        <v>59</v>
      </c>
    </row>
    <row r="58" spans="2:26" s="4" customFormat="1" x14ac:dyDescent="0.2">
      <c r="B58" s="4" t="s">
        <v>68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U58" s="4">
        <v>0</v>
      </c>
      <c r="V58" s="4">
        <v>-102</v>
      </c>
      <c r="W58" s="4">
        <v>-75</v>
      </c>
      <c r="X58" s="4">
        <v>-122</v>
      </c>
      <c r="Y58" s="4">
        <v>-93</v>
      </c>
      <c r="Z58" s="4">
        <v>-45</v>
      </c>
    </row>
    <row r="59" spans="2:26" s="4" customFormat="1" x14ac:dyDescent="0.2">
      <c r="B59" s="4" t="s">
        <v>69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U59" s="4">
        <v>15</v>
      </c>
      <c r="V59" s="4">
        <v>4</v>
      </c>
      <c r="W59" s="4">
        <v>37</v>
      </c>
      <c r="X59" s="4">
        <v>27</v>
      </c>
      <c r="Y59" s="4">
        <v>28</v>
      </c>
      <c r="Z59" s="4">
        <v>33</v>
      </c>
    </row>
    <row r="60" spans="2:26" s="4" customFormat="1" x14ac:dyDescent="0.2">
      <c r="B60" s="4" t="s">
        <v>51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U60" s="4">
        <v>9</v>
      </c>
      <c r="V60" s="4">
        <v>-102</v>
      </c>
      <c r="W60" s="4">
        <v>13</v>
      </c>
      <c r="X60" s="4">
        <v>-55</v>
      </c>
      <c r="Y60" s="4">
        <v>-96</v>
      </c>
      <c r="Z60" s="4">
        <v>135</v>
      </c>
    </row>
    <row r="61" spans="2:26" s="4" customFormat="1" x14ac:dyDescent="0.2">
      <c r="B61" s="4" t="s">
        <v>70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U61" s="4">
        <v>-4184</v>
      </c>
      <c r="V61" s="4">
        <v>-5765</v>
      </c>
      <c r="W61" s="4">
        <v>-5345</v>
      </c>
      <c r="X61" s="4">
        <v>-5720</v>
      </c>
      <c r="Y61" s="4">
        <v>-6108</v>
      </c>
      <c r="Z61" s="4">
        <v>-7325</v>
      </c>
    </row>
    <row r="62" spans="2:26" s="4" customFormat="1" x14ac:dyDescent="0.2">
      <c r="B62" s="4" t="s">
        <v>71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U62" s="4">
        <v>3374</v>
      </c>
      <c r="V62" s="4">
        <v>7119</v>
      </c>
      <c r="W62" s="4">
        <v>5232</v>
      </c>
      <c r="X62" s="4">
        <v>5943</v>
      </c>
      <c r="Y62" s="4">
        <v>5984</v>
      </c>
      <c r="Z62" s="4">
        <v>7193</v>
      </c>
    </row>
    <row r="63" spans="2:26" s="4" customFormat="1" x14ac:dyDescent="0.2">
      <c r="B63" s="4" t="s">
        <v>45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U63" s="4">
        <v>-71</v>
      </c>
      <c r="V63" s="4">
        <v>-79</v>
      </c>
      <c r="W63" s="4">
        <v>-39</v>
      </c>
      <c r="X63" s="4">
        <v>121</v>
      </c>
      <c r="Y63" s="4">
        <v>-51</v>
      </c>
      <c r="Z63" s="4">
        <v>54</v>
      </c>
    </row>
    <row r="64" spans="2:26" s="4" customFormat="1" x14ac:dyDescent="0.2">
      <c r="B64" s="4" t="s">
        <v>53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U64" s="4">
        <v>6</v>
      </c>
      <c r="V64" s="4">
        <v>13</v>
      </c>
      <c r="W64" s="4">
        <v>-22</v>
      </c>
      <c r="X64" s="4">
        <v>11</v>
      </c>
      <c r="Y64" s="4">
        <v>35</v>
      </c>
      <c r="Z64" s="4">
        <v>59</v>
      </c>
    </row>
    <row r="65" spans="2:26" s="4" customFormat="1" x14ac:dyDescent="0.2">
      <c r="B65" s="4" t="s">
        <v>51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U65" s="4">
        <f>295+17</f>
        <v>312</v>
      </c>
      <c r="V65" s="4">
        <v>-342</v>
      </c>
      <c r="W65" s="4">
        <v>176</v>
      </c>
      <c r="X65" s="4">
        <v>-687</v>
      </c>
      <c r="Y65" s="4">
        <v>-136</v>
      </c>
      <c r="Z65" s="4">
        <v>-79</v>
      </c>
    </row>
    <row r="66" spans="2:26" s="4" customFormat="1" x14ac:dyDescent="0.2">
      <c r="B66" s="4" t="s">
        <v>72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U66" s="4">
        <f t="shared" ref="U66" si="55">SUM(U52:U65)</f>
        <v>1259</v>
      </c>
      <c r="V66" s="4">
        <f>SUM(V52:V65)</f>
        <v>2614</v>
      </c>
      <c r="W66" s="4">
        <f>SUM(W52:W65)</f>
        <v>1917</v>
      </c>
      <c r="X66" s="4">
        <f>SUM(X52:X65)</f>
        <v>1525</v>
      </c>
      <c r="Y66" s="4">
        <f>SUM(Y52:Y65)</f>
        <v>1614</v>
      </c>
      <c r="Z66" s="4">
        <f>SUM(Z52:Z65)</f>
        <v>2394</v>
      </c>
    </row>
    <row r="67" spans="2:26" x14ac:dyDescent="0.2">
      <c r="W67" s="4"/>
      <c r="X67" s="4"/>
    </row>
    <row r="68" spans="2:26" s="4" customFormat="1" x14ac:dyDescent="0.2">
      <c r="B68" s="4" t="s">
        <v>49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U68" s="4">
        <f>-158+4</f>
        <v>-154</v>
      </c>
      <c r="V68" s="4">
        <f>-145+1</f>
        <v>-144</v>
      </c>
      <c r="W68" s="4">
        <v>-154</v>
      </c>
      <c r="X68" s="4">
        <v>-157</v>
      </c>
      <c r="Y68" s="4">
        <v>-169</v>
      </c>
      <c r="Z68" s="4">
        <f>-203+1</f>
        <v>-202</v>
      </c>
    </row>
    <row r="69" spans="2:26" s="4" customFormat="1" x14ac:dyDescent="0.2">
      <c r="B69" s="4" t="s">
        <v>70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U69" s="4">
        <v>-4635</v>
      </c>
      <c r="V69" s="4">
        <v>-5396</v>
      </c>
      <c r="W69" s="4">
        <v>-4779</v>
      </c>
      <c r="X69" s="4">
        <v>-5182</v>
      </c>
      <c r="Y69" s="4">
        <v>-5413</v>
      </c>
      <c r="Z69" s="4">
        <v>-6433</v>
      </c>
    </row>
    <row r="70" spans="2:26" s="4" customFormat="1" x14ac:dyDescent="0.2">
      <c r="B70" s="4" t="s">
        <v>71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U70" s="4">
        <v>5329</v>
      </c>
      <c r="V70" s="4">
        <v>5341</v>
      </c>
      <c r="W70" s="4">
        <v>4827</v>
      </c>
      <c r="X70" s="4">
        <v>4933</v>
      </c>
      <c r="Y70" s="4">
        <v>4945</v>
      </c>
      <c r="Z70" s="4">
        <v>5567</v>
      </c>
    </row>
    <row r="71" spans="2:26" s="4" customFormat="1" x14ac:dyDescent="0.2">
      <c r="B71" s="4" t="s">
        <v>73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U71" s="4">
        <f>-4452+5368</f>
        <v>916</v>
      </c>
      <c r="V71" s="4">
        <f>-7005+8185</f>
        <v>1180</v>
      </c>
      <c r="W71" s="4">
        <f>-7081+9242</f>
        <v>2161</v>
      </c>
      <c r="X71" s="4">
        <f>-8923+4999</f>
        <v>-3924</v>
      </c>
      <c r="Y71" s="4">
        <f t="shared" ref="Y71" si="56">-4815+6938</f>
        <v>2123</v>
      </c>
      <c r="Z71" s="4">
        <f>-5390+5783</f>
        <v>393</v>
      </c>
    </row>
    <row r="72" spans="2:26" s="4" customFormat="1" x14ac:dyDescent="0.2">
      <c r="B72" s="4" t="s">
        <v>74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U72" s="4">
        <v>-1775</v>
      </c>
      <c r="V72" s="4">
        <v>-1927</v>
      </c>
      <c r="W72" s="4">
        <v>-1169</v>
      </c>
      <c r="X72" s="4">
        <v>-198</v>
      </c>
      <c r="Y72" s="4">
        <v>1519</v>
      </c>
      <c r="Z72" s="4">
        <v>2756</v>
      </c>
    </row>
    <row r="73" spans="2:26" s="4" customFormat="1" x14ac:dyDescent="0.2">
      <c r="B73" s="4" t="s">
        <v>75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U73" s="4">
        <v>19</v>
      </c>
      <c r="V73" s="4">
        <v>-64</v>
      </c>
      <c r="W73" s="4">
        <v>74</v>
      </c>
      <c r="X73" s="4">
        <v>1</v>
      </c>
      <c r="Y73" s="4">
        <v>-133</v>
      </c>
      <c r="Z73" s="4">
        <v>131</v>
      </c>
    </row>
    <row r="74" spans="2:26" s="4" customFormat="1" x14ac:dyDescent="0.2">
      <c r="B74" s="4" t="s">
        <v>51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U74" s="4">
        <v>-7</v>
      </c>
      <c r="V74" s="4">
        <f>466+10</f>
        <v>476</v>
      </c>
      <c r="W74" s="4">
        <v>20</v>
      </c>
      <c r="X74" s="4">
        <v>-120</v>
      </c>
      <c r="Y74" s="4">
        <f t="shared" ref="Y74" si="57">-148+75</f>
        <v>-73</v>
      </c>
      <c r="Z74" s="4">
        <f>259-125+111</f>
        <v>245</v>
      </c>
    </row>
    <row r="75" spans="2:26" s="4" customFormat="1" x14ac:dyDescent="0.2">
      <c r="B75" s="4" t="s">
        <v>76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U75" s="4">
        <f>SUM(U68:U74)</f>
        <v>-307</v>
      </c>
      <c r="V75" s="4">
        <f>SUM(V68:V74)</f>
        <v>-534</v>
      </c>
      <c r="W75" s="4">
        <f>SUM(W68:W74)</f>
        <v>980</v>
      </c>
      <c r="X75" s="4">
        <f>SUM(X68:X74)</f>
        <v>-4647</v>
      </c>
      <c r="Y75" s="4">
        <f t="shared" ref="Y75" si="58">SUM(Y68:Y74)</f>
        <v>2799</v>
      </c>
      <c r="Z75" s="4">
        <f>SUM(Z68:Z74)</f>
        <v>2457</v>
      </c>
    </row>
    <row r="76" spans="2:26" s="4" customFormat="1" x14ac:dyDescent="0.2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2:26" s="4" customFormat="1" x14ac:dyDescent="0.2">
      <c r="B77" s="4" t="s">
        <v>77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U77" s="4">
        <v>0</v>
      </c>
      <c r="V77" s="4">
        <v>45</v>
      </c>
      <c r="W77" s="4">
        <v>0</v>
      </c>
      <c r="X77" s="4">
        <v>55</v>
      </c>
      <c r="Y77" s="4">
        <v>0</v>
      </c>
      <c r="Z77" s="4">
        <v>40</v>
      </c>
    </row>
    <row r="78" spans="2:26" s="4" customFormat="1" x14ac:dyDescent="0.2">
      <c r="B78" s="4" t="s">
        <v>78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U78" s="4">
        <v>-1434</v>
      </c>
      <c r="V78" s="4">
        <v>-607</v>
      </c>
      <c r="W78" s="4">
        <v>-1501</v>
      </c>
      <c r="X78" s="4">
        <v>-1501</v>
      </c>
      <c r="Y78" s="4">
        <v>-1776</v>
      </c>
      <c r="Z78" s="4">
        <v>-1269</v>
      </c>
    </row>
    <row r="79" spans="2:26" s="4" customFormat="1" x14ac:dyDescent="0.2">
      <c r="B79" s="4" t="s">
        <v>79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U79" s="4">
        <v>-25</v>
      </c>
      <c r="V79" s="4">
        <v>-32</v>
      </c>
      <c r="W79" s="4">
        <v>-167</v>
      </c>
      <c r="X79" s="4">
        <v>-63</v>
      </c>
      <c r="Y79" s="4">
        <v>-41</v>
      </c>
      <c r="Z79" s="4">
        <v>-80</v>
      </c>
    </row>
    <row r="80" spans="2:26" s="4" customFormat="1" x14ac:dyDescent="0.2">
      <c r="B80" s="4" t="s">
        <v>80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U80" s="4">
        <v>109</v>
      </c>
      <c r="V80" s="4">
        <f>699-111</f>
        <v>588</v>
      </c>
      <c r="W80" s="4">
        <f>115-359</f>
        <v>-244</v>
      </c>
      <c r="X80" s="4">
        <f>1299-52</f>
        <v>1247</v>
      </c>
      <c r="Y80" s="4">
        <v>132</v>
      </c>
      <c r="Z80" s="4">
        <v>-1250</v>
      </c>
    </row>
    <row r="81" spans="2:26" s="4" customFormat="1" x14ac:dyDescent="0.2">
      <c r="B81" s="4" t="s">
        <v>81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U81" s="4">
        <v>1301</v>
      </c>
      <c r="V81" s="4">
        <v>3138</v>
      </c>
      <c r="W81" s="4">
        <v>-483</v>
      </c>
      <c r="X81" s="4">
        <v>445</v>
      </c>
      <c r="Y81" s="4">
        <v>-733</v>
      </c>
      <c r="Z81" s="4">
        <v>-1183</v>
      </c>
    </row>
    <row r="82" spans="2:26" s="4" customFormat="1" x14ac:dyDescent="0.2">
      <c r="B82" s="4" t="s">
        <v>75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U82" s="4">
        <v>110</v>
      </c>
      <c r="V82" s="4">
        <v>-132</v>
      </c>
      <c r="W82" s="4">
        <v>33</v>
      </c>
      <c r="X82" s="4">
        <v>37</v>
      </c>
      <c r="Y82" s="4">
        <v>-71</v>
      </c>
      <c r="Z82" s="4">
        <v>157</v>
      </c>
    </row>
    <row r="83" spans="2:26" s="4" customFormat="1" x14ac:dyDescent="0.2">
      <c r="B83" s="4" t="s">
        <v>51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U83" s="4">
        <v>0</v>
      </c>
      <c r="V83" s="4">
        <v>0</v>
      </c>
      <c r="W83" s="4">
        <v>0</v>
      </c>
      <c r="X83" s="4">
        <v>-20</v>
      </c>
      <c r="Y83" s="4">
        <v>-40</v>
      </c>
      <c r="Z83" s="4">
        <v>0</v>
      </c>
    </row>
    <row r="84" spans="2:26" s="4" customFormat="1" x14ac:dyDescent="0.2">
      <c r="B84" s="4" t="s">
        <v>82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U84" s="4">
        <f>SUM(U77:U83)</f>
        <v>61</v>
      </c>
      <c r="V84" s="4">
        <f>SUM(V77:V83)</f>
        <v>3000</v>
      </c>
      <c r="W84" s="4">
        <f>SUM(W77:W83)</f>
        <v>-2362</v>
      </c>
      <c r="X84" s="4">
        <f>SUM(X77:X83)</f>
        <v>200</v>
      </c>
      <c r="Y84" s="4">
        <f t="shared" ref="Y84" si="59">SUM(Y77:Y83)</f>
        <v>-2529</v>
      </c>
      <c r="Z84" s="4">
        <f>SUM(Z77:Z83)</f>
        <v>-3585</v>
      </c>
    </row>
    <row r="85" spans="2:26" s="4" customFormat="1" x14ac:dyDescent="0.2">
      <c r="B85" s="4" t="s">
        <v>83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U85" s="4">
        <v>-45</v>
      </c>
      <c r="V85" s="4">
        <v>171</v>
      </c>
      <c r="W85" s="4">
        <v>-94</v>
      </c>
      <c r="X85" s="4">
        <v>5</v>
      </c>
      <c r="Y85" s="4">
        <v>192</v>
      </c>
      <c r="Z85" s="4">
        <v>-310</v>
      </c>
    </row>
    <row r="86" spans="2:26" s="4" customFormat="1" x14ac:dyDescent="0.2">
      <c r="B86" s="4" t="s">
        <v>84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U86" s="4">
        <f>U85+U84+U75+U66</f>
        <v>968</v>
      </c>
      <c r="V86" s="4">
        <f>V85+V84+V75+V66</f>
        <v>5251</v>
      </c>
      <c r="W86" s="4">
        <f>W85+W84+W75+W66</f>
        <v>441</v>
      </c>
      <c r="X86" s="4">
        <f>X85+X84+X75+X66</f>
        <v>-2917</v>
      </c>
      <c r="Y86" s="4">
        <f t="shared" ref="Y86" si="60">Y85+Y84+Y75+Y66</f>
        <v>2076</v>
      </c>
      <c r="Z86" s="4">
        <f>Z85+Z84+Z75+Z66</f>
        <v>956</v>
      </c>
    </row>
    <row r="88" spans="2:26" x14ac:dyDescent="0.2">
      <c r="B88" t="s">
        <v>94</v>
      </c>
      <c r="U88" s="4">
        <f t="shared" ref="U88:Z88" si="61">+U68+U66</f>
        <v>1105</v>
      </c>
      <c r="V88" s="4">
        <f t="shared" si="61"/>
        <v>2470</v>
      </c>
      <c r="W88" s="4">
        <f t="shared" si="61"/>
        <v>1763</v>
      </c>
      <c r="X88" s="4">
        <f t="shared" si="61"/>
        <v>1368</v>
      </c>
      <c r="Y88" s="4">
        <f t="shared" si="61"/>
        <v>1445</v>
      </c>
      <c r="Z88" s="4">
        <f t="shared" si="61"/>
        <v>2192</v>
      </c>
    </row>
    <row r="89" spans="2:26" x14ac:dyDescent="0.2">
      <c r="B89" t="s">
        <v>95</v>
      </c>
      <c r="X89" s="4">
        <f>SUM(U88:X88)</f>
        <v>6706</v>
      </c>
      <c r="Y89" s="4">
        <f>SUM(V88:Y88)</f>
        <v>7046</v>
      </c>
      <c r="Z89" s="4">
        <f>SUM(W88:Z88)</f>
        <v>6768</v>
      </c>
    </row>
  </sheetData>
  <hyperlinks>
    <hyperlink ref="A1" location="Main!A1" display="Main" xr:uid="{EA805598-A8D4-4ABC-A74E-4CF0B3A2B52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2023-05-05T02:28:37Z</dcterms:created>
  <dcterms:modified xsi:type="dcterms:W3CDTF">2025-04-09T19:13:39Z</dcterms:modified>
</cp:coreProperties>
</file>