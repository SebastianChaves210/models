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Real Estate/"/>
    </mc:Choice>
  </mc:AlternateContent>
  <xr:revisionPtr revIDLastSave="0" documentId="13_ncr:1_{D762EB8D-8A3E-49DF-A4A7-A4E89C0A6F0B}" xr6:coauthVersionLast="47" xr6:coauthVersionMax="47" xr10:uidLastSave="{00000000-0000-0000-0000-000000000000}"/>
  <bookViews>
    <workbookView xWindow="52080" yWindow="1770" windowWidth="19500" windowHeight="13240" activeTab="1" xr2:uid="{86A83B59-9E37-4F9C-9F7E-B57C067D500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1" i="2" l="1"/>
  <c r="AF11" i="2"/>
  <c r="AE11" i="2"/>
  <c r="AD11" i="2"/>
  <c r="AC11" i="2"/>
  <c r="AB11" i="2"/>
  <c r="AA11" i="2"/>
  <c r="Z11" i="2"/>
  <c r="Y11" i="2"/>
  <c r="X11" i="2"/>
  <c r="W11" i="2"/>
  <c r="AG9" i="2"/>
  <c r="AF9" i="2"/>
  <c r="AE9" i="2"/>
  <c r="AD9" i="2"/>
  <c r="AC9" i="2"/>
  <c r="AB9" i="2"/>
  <c r="AA9" i="2"/>
  <c r="Z9" i="2"/>
  <c r="Y9" i="2"/>
  <c r="X9" i="2"/>
  <c r="W9" i="2"/>
  <c r="X5" i="2"/>
  <c r="Y5" i="2" s="1"/>
  <c r="Z5" i="2" s="1"/>
  <c r="AA5" i="2" s="1"/>
  <c r="AB5" i="2" s="1"/>
  <c r="AC5" i="2" s="1"/>
  <c r="AD5" i="2" s="1"/>
  <c r="AE5" i="2" s="1"/>
  <c r="AF5" i="2" s="1"/>
  <c r="AG5" i="2" s="1"/>
  <c r="W5" i="2"/>
  <c r="AG3" i="2"/>
  <c r="AF3" i="2"/>
  <c r="AE3" i="2"/>
  <c r="AD3" i="2"/>
  <c r="AC3" i="2"/>
  <c r="AB3" i="2"/>
  <c r="AA3" i="2"/>
  <c r="Z3" i="2"/>
  <c r="Y3" i="2"/>
  <c r="X3" i="2"/>
  <c r="W3" i="2"/>
  <c r="V5" i="2"/>
  <c r="AB17" i="2"/>
  <c r="AC17" i="2" s="1"/>
  <c r="AD17" i="2" s="1"/>
  <c r="AE17" i="2" s="1"/>
  <c r="AF17" i="2" s="1"/>
  <c r="AG17" i="2" s="1"/>
  <c r="W14" i="2"/>
  <c r="W13" i="2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W12" i="2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X2" i="2"/>
  <c r="Y2" i="2" s="1"/>
  <c r="Z2" i="2" s="1"/>
  <c r="AA2" i="2" s="1"/>
  <c r="AB2" i="2" s="1"/>
  <c r="AC2" i="2" s="1"/>
  <c r="AD2" i="2" s="1"/>
  <c r="AE2" i="2" s="1"/>
  <c r="AF2" i="2" s="1"/>
  <c r="AG2" i="2" s="1"/>
  <c r="M22" i="2"/>
  <c r="N22" i="2" s="1"/>
  <c r="N17" i="2"/>
  <c r="M17" i="2"/>
  <c r="M12" i="2"/>
  <c r="N12" i="2" s="1"/>
  <c r="M13" i="2"/>
  <c r="N13" i="2" s="1"/>
  <c r="M14" i="2"/>
  <c r="N14" i="2" s="1"/>
  <c r="N9" i="2"/>
  <c r="N24" i="2" s="1"/>
  <c r="M9" i="2"/>
  <c r="M24" i="2" s="1"/>
  <c r="J24" i="2"/>
  <c r="F15" i="2"/>
  <c r="F11" i="2"/>
  <c r="F25" i="2" s="1"/>
  <c r="I11" i="2"/>
  <c r="I25" i="2" s="1"/>
  <c r="J11" i="2"/>
  <c r="J25" i="2" s="1"/>
  <c r="T24" i="2"/>
  <c r="S15" i="2"/>
  <c r="S11" i="2"/>
  <c r="S25" i="2" s="1"/>
  <c r="U67" i="2"/>
  <c r="U66" i="2"/>
  <c r="U63" i="2"/>
  <c r="U64" i="2" s="1"/>
  <c r="U60" i="2"/>
  <c r="V67" i="2"/>
  <c r="V68" i="2" s="1"/>
  <c r="V63" i="2"/>
  <c r="V64" i="2" s="1"/>
  <c r="V52" i="2"/>
  <c r="V60" i="2" s="1"/>
  <c r="U40" i="2"/>
  <c r="U39" i="2"/>
  <c r="U43" i="2" s="1"/>
  <c r="U34" i="2"/>
  <c r="U29" i="2"/>
  <c r="V42" i="2"/>
  <c r="V41" i="2"/>
  <c r="V38" i="2"/>
  <c r="V35" i="2"/>
  <c r="V34" i="2"/>
  <c r="V33" i="2"/>
  <c r="V32" i="2"/>
  <c r="V31" i="2"/>
  <c r="V30" i="2"/>
  <c r="U5" i="2"/>
  <c r="T5" i="2"/>
  <c r="U24" i="2"/>
  <c r="V24" i="2"/>
  <c r="V11" i="2"/>
  <c r="V25" i="2" s="1"/>
  <c r="U11" i="2"/>
  <c r="U25" i="2" s="1"/>
  <c r="V15" i="2"/>
  <c r="U15" i="2"/>
  <c r="T15" i="2"/>
  <c r="T11" i="2"/>
  <c r="T25" i="2" s="1"/>
  <c r="J40" i="2"/>
  <c r="V40" i="2" s="1"/>
  <c r="J39" i="2"/>
  <c r="V39" i="2" s="1"/>
  <c r="J29" i="2"/>
  <c r="L66" i="2"/>
  <c r="L63" i="2"/>
  <c r="L62" i="2"/>
  <c r="L58" i="2"/>
  <c r="L56" i="2"/>
  <c r="L55" i="2"/>
  <c r="L54" i="2"/>
  <c r="L59" i="2"/>
  <c r="L57" i="2"/>
  <c r="L53" i="2"/>
  <c r="L52" i="2"/>
  <c r="L51" i="2"/>
  <c r="L50" i="2"/>
  <c r="L49" i="2"/>
  <c r="L48" i="2"/>
  <c r="L47" i="2"/>
  <c r="L46" i="2"/>
  <c r="L40" i="2"/>
  <c r="L39" i="2"/>
  <c r="L43" i="2" s="1"/>
  <c r="L29" i="2"/>
  <c r="L36" i="2" s="1"/>
  <c r="K24" i="2"/>
  <c r="L24" i="2"/>
  <c r="K67" i="2"/>
  <c r="K68" i="2" s="1"/>
  <c r="K64" i="2"/>
  <c r="K60" i="2"/>
  <c r="L6" i="1"/>
  <c r="K39" i="2"/>
  <c r="K40" i="2"/>
  <c r="K29" i="2"/>
  <c r="K36" i="2" s="1"/>
  <c r="H17" i="2"/>
  <c r="L17" i="2"/>
  <c r="L15" i="2"/>
  <c r="H11" i="2"/>
  <c r="H25" i="2" s="1"/>
  <c r="L11" i="2"/>
  <c r="L25" i="2" s="1"/>
  <c r="L5" i="1"/>
  <c r="J15" i="2"/>
  <c r="I15" i="2"/>
  <c r="H15" i="2"/>
  <c r="G15" i="2"/>
  <c r="K15" i="2"/>
  <c r="G11" i="2"/>
  <c r="G25" i="2" s="1"/>
  <c r="K11" i="2"/>
  <c r="L4" i="1"/>
  <c r="L7" i="1" s="1"/>
  <c r="W22" i="2" l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X24" i="2"/>
  <c r="J28" i="2"/>
  <c r="J43" i="2"/>
  <c r="M15" i="2"/>
  <c r="I16" i="2"/>
  <c r="I18" i="2" s="1"/>
  <c r="I20" i="2" s="1"/>
  <c r="I21" i="2" s="1"/>
  <c r="J16" i="2"/>
  <c r="J18" i="2" s="1"/>
  <c r="J20" i="2" s="1"/>
  <c r="J21" i="2" s="1"/>
  <c r="L64" i="2"/>
  <c r="N11" i="2"/>
  <c r="N25" i="2" s="1"/>
  <c r="W15" i="2"/>
  <c r="F16" i="2"/>
  <c r="F18" i="2" s="1"/>
  <c r="F20" i="2" s="1"/>
  <c r="F21" i="2" s="1"/>
  <c r="M11" i="2"/>
  <c r="X14" i="2"/>
  <c r="N10" i="2"/>
  <c r="M16" i="2"/>
  <c r="M18" i="2" s="1"/>
  <c r="M20" i="2" s="1"/>
  <c r="M21" i="2" s="1"/>
  <c r="N15" i="2"/>
  <c r="N16" i="2" s="1"/>
  <c r="N18" i="2" s="1"/>
  <c r="N20" i="2" s="1"/>
  <c r="N21" i="2" s="1"/>
  <c r="V43" i="2"/>
  <c r="U28" i="2"/>
  <c r="V16" i="2"/>
  <c r="V18" i="2" s="1"/>
  <c r="V20" i="2" s="1"/>
  <c r="V21" i="2" s="1"/>
  <c r="U16" i="2"/>
  <c r="U18" i="2" s="1"/>
  <c r="U20" i="2" s="1"/>
  <c r="U21" i="2" s="1"/>
  <c r="S16" i="2"/>
  <c r="S18" i="2" s="1"/>
  <c r="S20" i="2" s="1"/>
  <c r="S21" i="2" s="1"/>
  <c r="U36" i="2"/>
  <c r="U45" i="2"/>
  <c r="V69" i="2"/>
  <c r="V29" i="2"/>
  <c r="U68" i="2"/>
  <c r="U69" i="2" s="1"/>
  <c r="T16" i="2"/>
  <c r="T18" i="2" s="1"/>
  <c r="T20" i="2" s="1"/>
  <c r="T21" i="2" s="1"/>
  <c r="J36" i="2"/>
  <c r="L28" i="2"/>
  <c r="L67" i="2"/>
  <c r="L68" i="2" s="1"/>
  <c r="L60" i="2"/>
  <c r="K28" i="2"/>
  <c r="K43" i="2"/>
  <c r="K69" i="2"/>
  <c r="K16" i="2"/>
  <c r="K18" i="2" s="1"/>
  <c r="K20" i="2" s="1"/>
  <c r="K45" i="2" s="1"/>
  <c r="G16" i="2"/>
  <c r="G18" i="2" s="1"/>
  <c r="G20" i="2" s="1"/>
  <c r="G21" i="2" s="1"/>
  <c r="K25" i="2"/>
  <c r="L16" i="2"/>
  <c r="L18" i="2" s="1"/>
  <c r="L20" i="2" s="1"/>
  <c r="H16" i="2"/>
  <c r="H18" i="2" s="1"/>
  <c r="H20" i="2" s="1"/>
  <c r="H21" i="2" s="1"/>
  <c r="W25" i="2" l="1"/>
  <c r="W24" i="2"/>
  <c r="X25" i="2"/>
  <c r="V45" i="2"/>
  <c r="M10" i="2"/>
  <c r="M25" i="2"/>
  <c r="W16" i="2"/>
  <c r="W18" i="2" s="1"/>
  <c r="W20" i="2" s="1"/>
  <c r="W21" i="2" s="1"/>
  <c r="W10" i="2"/>
  <c r="Y24" i="2"/>
  <c r="Y25" i="2"/>
  <c r="Y10" i="2"/>
  <c r="X15" i="2"/>
  <c r="Y14" i="2"/>
  <c r="K21" i="2"/>
  <c r="V28" i="2"/>
  <c r="V36" i="2"/>
  <c r="L69" i="2"/>
  <c r="L21" i="2"/>
  <c r="L45" i="2"/>
  <c r="X16" i="2" l="1"/>
  <c r="X18" i="2" s="1"/>
  <c r="X20" i="2" s="1"/>
  <c r="X21" i="2" s="1"/>
  <c r="X10" i="2"/>
  <c r="Z24" i="2"/>
  <c r="Z14" i="2"/>
  <c r="Y15" i="2"/>
  <c r="Y16" i="2" s="1"/>
  <c r="Y18" i="2" s="1"/>
  <c r="Y20" i="2" s="1"/>
  <c r="Y21" i="2" s="1"/>
  <c r="Z10" i="2" l="1"/>
  <c r="Z25" i="2"/>
  <c r="AA24" i="2"/>
  <c r="Z15" i="2"/>
  <c r="Z16" i="2" s="1"/>
  <c r="Z18" i="2" s="1"/>
  <c r="Z20" i="2" s="1"/>
  <c r="AA14" i="2"/>
  <c r="AB25" i="2" l="1"/>
  <c r="AB24" i="2"/>
  <c r="AA10" i="2"/>
  <c r="AA25" i="2"/>
  <c r="Z21" i="2"/>
  <c r="AA15" i="2"/>
  <c r="AA16" i="2" s="1"/>
  <c r="AA18" i="2" s="1"/>
  <c r="AB14" i="2"/>
  <c r="AB10" i="2" l="1"/>
  <c r="AC25" i="2"/>
  <c r="AC24" i="2"/>
  <c r="AA19" i="2"/>
  <c r="AA20" i="2" s="1"/>
  <c r="AB15" i="2"/>
  <c r="AB16" i="2" s="1"/>
  <c r="AB18" i="2" s="1"/>
  <c r="AC14" i="2"/>
  <c r="AC10" i="2" l="1"/>
  <c r="AD25" i="2"/>
  <c r="AD24" i="2"/>
  <c r="AA21" i="2"/>
  <c r="AB19" i="2"/>
  <c r="AB20" i="2" s="1"/>
  <c r="AC15" i="2"/>
  <c r="AC16" i="2" s="1"/>
  <c r="AC18" i="2" s="1"/>
  <c r="AD14" i="2"/>
  <c r="AD10" i="2" l="1"/>
  <c r="AE24" i="2"/>
  <c r="AE25" i="2"/>
  <c r="AB21" i="2"/>
  <c r="AC19" i="2"/>
  <c r="AC20" i="2" s="1"/>
  <c r="AE14" i="2"/>
  <c r="AD15" i="2"/>
  <c r="AD16" i="2" s="1"/>
  <c r="AD18" i="2" s="1"/>
  <c r="AE10" i="2" l="1"/>
  <c r="AF25" i="2"/>
  <c r="AF24" i="2"/>
  <c r="AF10" i="2"/>
  <c r="AC21" i="2"/>
  <c r="AD19" i="2"/>
  <c r="AD20" i="2" s="1"/>
  <c r="AD21" i="2" s="1"/>
  <c r="AF14" i="2"/>
  <c r="AE15" i="2"/>
  <c r="AE16" i="2" s="1"/>
  <c r="AE18" i="2" s="1"/>
  <c r="AG25" i="2" l="1"/>
  <c r="AG24" i="2"/>
  <c r="AG10" i="2"/>
  <c r="AE19" i="2"/>
  <c r="AE20" i="2" s="1"/>
  <c r="AG14" i="2"/>
  <c r="AG15" i="2" s="1"/>
  <c r="AG16" i="2" s="1"/>
  <c r="AG18" i="2" s="1"/>
  <c r="AF15" i="2"/>
  <c r="AF16" i="2" s="1"/>
  <c r="AF18" i="2" s="1"/>
  <c r="AE21" i="2" l="1"/>
  <c r="AF19" i="2"/>
  <c r="AF20" i="2" s="1"/>
  <c r="AF21" i="2" s="1"/>
  <c r="AG19" i="2"/>
  <c r="AG20" i="2" s="1"/>
  <c r="AG21" i="2" l="1"/>
  <c r="AH20" i="2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AJ25" i="2" s="1"/>
  <c r="AJ26" i="2" s="1"/>
</calcChain>
</file>

<file path=xl/sharedStrings.xml><?xml version="1.0" encoding="utf-8"?>
<sst xmlns="http://schemas.openxmlformats.org/spreadsheetml/2006/main" count="86" uniqueCount="74">
  <si>
    <t>Price</t>
  </si>
  <si>
    <t>Shares</t>
  </si>
  <si>
    <t>MC</t>
  </si>
  <si>
    <t>Cash</t>
  </si>
  <si>
    <t>Debt</t>
  </si>
  <si>
    <t>EV</t>
  </si>
  <si>
    <t>Main</t>
  </si>
  <si>
    <t>Revenue</t>
  </si>
  <si>
    <t>Q124</t>
  </si>
  <si>
    <t>Q224</t>
  </si>
  <si>
    <t>Q324</t>
  </si>
  <si>
    <t>Q424</t>
  </si>
  <si>
    <t>Q125</t>
  </si>
  <si>
    <t>Q225</t>
  </si>
  <si>
    <t>Q425</t>
  </si>
  <si>
    <t>Q325</t>
  </si>
  <si>
    <t>COGS</t>
  </si>
  <si>
    <t>Gross Profit</t>
  </si>
  <si>
    <t>Operating Expenses</t>
  </si>
  <si>
    <t>Operating Income</t>
  </si>
  <si>
    <t>S&amp;M</t>
  </si>
  <si>
    <t>G&amp;A</t>
  </si>
  <si>
    <t>R&amp;D</t>
  </si>
  <si>
    <t>Interest Expense</t>
  </si>
  <si>
    <t>Pretax Income</t>
  </si>
  <si>
    <t>Taxes</t>
  </si>
  <si>
    <t>Net Income</t>
  </si>
  <si>
    <t>EPS</t>
  </si>
  <si>
    <t>CFFO</t>
  </si>
  <si>
    <t>Gross Margin</t>
  </si>
  <si>
    <t>Reported NI</t>
  </si>
  <si>
    <t>Model NI</t>
  </si>
  <si>
    <t>Assets</t>
  </si>
  <si>
    <t>Other</t>
  </si>
  <si>
    <t>Goodwill</t>
  </si>
  <si>
    <t>ROA</t>
  </si>
  <si>
    <t>PP&amp;E</t>
  </si>
  <si>
    <t>OCA</t>
  </si>
  <si>
    <t>Real Estate</t>
  </si>
  <si>
    <t>L+SE</t>
  </si>
  <si>
    <t>SE</t>
  </si>
  <si>
    <t>AP</t>
  </si>
  <si>
    <t>Lease</t>
  </si>
  <si>
    <t>D&amp;A</t>
  </si>
  <si>
    <t>Amortization of ROU</t>
  </si>
  <si>
    <t>SBC</t>
  </si>
  <si>
    <t>Inventory Valuation</t>
  </si>
  <si>
    <t>Fair Value of Equities</t>
  </si>
  <si>
    <t>Escrow Receivable</t>
  </si>
  <si>
    <t>Real Estate Inventory</t>
  </si>
  <si>
    <t>Other Assets</t>
  </si>
  <si>
    <t>Investments</t>
  </si>
  <si>
    <t>CFFI</t>
  </si>
  <si>
    <t>CIC</t>
  </si>
  <si>
    <t>CFFF</t>
  </si>
  <si>
    <t>ESOP</t>
  </si>
  <si>
    <t>Revenue y/y</t>
  </si>
  <si>
    <t>Net Cash</t>
  </si>
  <si>
    <t>Gain on Debt</t>
  </si>
  <si>
    <t>Interest Payable</t>
  </si>
  <si>
    <t>Founded: 2014</t>
  </si>
  <si>
    <t>Homes Sold</t>
  </si>
  <si>
    <t>Homes Purchased</t>
  </si>
  <si>
    <t>Q123</t>
  </si>
  <si>
    <t>Q223</t>
  </si>
  <si>
    <t>Q323</t>
  </si>
  <si>
    <t>Q423</t>
  </si>
  <si>
    <t>ASP/Home Sold</t>
  </si>
  <si>
    <t>Take Rate?</t>
  </si>
  <si>
    <t>Discount</t>
  </si>
  <si>
    <t>Maturity</t>
  </si>
  <si>
    <t>NPV</t>
  </si>
  <si>
    <t>Share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</si>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</sst>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9" fontId="2" fillId="0" borderId="0" xfId="0" applyNumberFormat="1" applyFont="1" applyAlignment="1">
      <alignment horizontal="right"/>
    </xf>
    <xf numFmtId="9" fontId="2" fillId="0" borderId="0" xfId="0" applyNumberFormat="1" applyFont="1"/>
    <xf numFmtId="0" fontId="1" fillId="0" borderId="0" xfId="0" applyFont="1" applyBorder="1"/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61686</xdr:colOff>
      <xdr:row>0</xdr:row>
      <xdr:rowOff>50800</xdr:rowOff>
    </xdr:from>
    <xdr:to>
      <xdr:col>12</xdr:col>
      <xdr:colOff>61686</xdr:colOff>
      <xdr:row>77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DE11627-EB7A-DA97-FA06-08B1C67505EA}"/>
            </a:ext>
          </a:extLst>
        </xdr:cNvPr>
        <xdr:cNvCxnSpPr/>
      </xdr:nvCxnSpPr>
      <xdr:spPr>
        <a:xfrm>
          <a:off x="5363029" y="50800"/>
          <a:ext cx="0" cy="114445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A189-9A1C-4932-A8C2-D6FB444863BD}">
  <dimension ref="K2:M11"/>
  <sheetViews>
    <sheetView zoomScale="160" zoomScaleNormal="160" workbookViewId="0"/>
  </sheetViews>
  <sheetFormatPr defaultRowHeight="12.5" x14ac:dyDescent="0.25"/>
  <cols>
    <col min="1" max="16384" width="8.7265625" style="1"/>
  </cols>
  <sheetData>
    <row r="2" spans="11:13" x14ac:dyDescent="0.25">
      <c r="K2" s="1" t="s">
        <v>0</v>
      </c>
      <c r="L2" s="6">
        <v>10</v>
      </c>
    </row>
    <row r="3" spans="11:13" x14ac:dyDescent="0.25">
      <c r="K3" s="1" t="s">
        <v>1</v>
      </c>
      <c r="L3" s="3">
        <v>735.95418600000005</v>
      </c>
      <c r="M3" s="2" t="s">
        <v>13</v>
      </c>
    </row>
    <row r="4" spans="11:13" x14ac:dyDescent="0.25">
      <c r="K4" s="1" t="s">
        <v>2</v>
      </c>
      <c r="L4" s="3">
        <f>+L2*L3</f>
        <v>7359.5418600000003</v>
      </c>
    </row>
    <row r="5" spans="11:13" x14ac:dyDescent="0.25">
      <c r="K5" s="1" t="s">
        <v>3</v>
      </c>
      <c r="L5" s="3">
        <f>789+1530+396</f>
        <v>2715</v>
      </c>
      <c r="M5" s="2" t="s">
        <v>13</v>
      </c>
    </row>
    <row r="6" spans="11:13" x14ac:dyDescent="0.25">
      <c r="K6" s="1" t="s">
        <v>4</v>
      </c>
      <c r="L6" s="3">
        <f>1189+437+550+378</f>
        <v>2554</v>
      </c>
      <c r="M6" s="2" t="s">
        <v>13</v>
      </c>
    </row>
    <row r="7" spans="11:13" x14ac:dyDescent="0.25">
      <c r="K7" s="1" t="s">
        <v>5</v>
      </c>
      <c r="L7" s="3">
        <f>+L4-L5+L6</f>
        <v>7198.5418600000003</v>
      </c>
    </row>
    <row r="11" spans="11:13" x14ac:dyDescent="0.25">
      <c r="K11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BD22-38AE-475C-B880-534ADF71CFFF}">
  <dimension ref="A1:DR69"/>
  <sheetViews>
    <sheetView tabSelected="1" zoomScale="175" zoomScaleNormal="175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AJ11" sqref="AJ11"/>
    </sheetView>
  </sheetViews>
  <sheetFormatPr defaultRowHeight="12.5" x14ac:dyDescent="0.25"/>
  <cols>
    <col min="1" max="1" width="4.7265625" style="1" bestFit="1" customWidth="1"/>
    <col min="2" max="2" width="18.81640625" style="1" customWidth="1"/>
    <col min="3" max="14" width="8.7265625" style="2"/>
    <col min="15" max="35" width="8.7265625" style="1"/>
    <col min="36" max="36" width="10.54296875" style="1" bestFit="1" customWidth="1"/>
    <col min="37" max="16384" width="8.7265625" style="1"/>
  </cols>
  <sheetData>
    <row r="1" spans="1:33" x14ac:dyDescent="0.25">
      <c r="A1" s="1" t="s">
        <v>6</v>
      </c>
    </row>
    <row r="2" spans="1:33" x14ac:dyDescent="0.25">
      <c r="C2" s="2" t="s">
        <v>63</v>
      </c>
      <c r="D2" s="2" t="s">
        <v>64</v>
      </c>
      <c r="E2" s="2" t="s">
        <v>65</v>
      </c>
      <c r="F2" s="2" t="s">
        <v>66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15</v>
      </c>
      <c r="N2" s="2" t="s">
        <v>14</v>
      </c>
      <c r="Q2" s="1">
        <v>2019</v>
      </c>
      <c r="R2" s="1">
        <v>2020</v>
      </c>
      <c r="S2" s="1">
        <v>2021</v>
      </c>
      <c r="T2" s="1">
        <v>2022</v>
      </c>
      <c r="U2" s="1">
        <v>2023</v>
      </c>
      <c r="V2" s="1">
        <v>2024</v>
      </c>
      <c r="W2" s="1">
        <v>2025</v>
      </c>
      <c r="X2" s="1">
        <f t="shared" ref="X2:AG2" si="0">+W2+1</f>
        <v>2026</v>
      </c>
      <c r="Y2" s="1">
        <f t="shared" si="0"/>
        <v>2027</v>
      </c>
      <c r="Z2" s="1">
        <f t="shared" si="0"/>
        <v>2028</v>
      </c>
      <c r="AA2" s="1">
        <f t="shared" si="0"/>
        <v>2029</v>
      </c>
      <c r="AB2" s="1">
        <f t="shared" si="0"/>
        <v>2030</v>
      </c>
      <c r="AC2" s="1">
        <f t="shared" si="0"/>
        <v>2031</v>
      </c>
      <c r="AD2" s="1">
        <f t="shared" si="0"/>
        <v>2032</v>
      </c>
      <c r="AE2" s="1">
        <f t="shared" si="0"/>
        <v>2033</v>
      </c>
      <c r="AF2" s="1">
        <f t="shared" si="0"/>
        <v>2034</v>
      </c>
      <c r="AG2" s="1">
        <f t="shared" si="0"/>
        <v>2035</v>
      </c>
    </row>
    <row r="3" spans="1:33" x14ac:dyDescent="0.25">
      <c r="B3" s="1" t="s">
        <v>61</v>
      </c>
      <c r="T3" s="11">
        <v>39.183</v>
      </c>
      <c r="U3" s="11">
        <v>18.707999999999998</v>
      </c>
      <c r="V3" s="11">
        <v>13.5</v>
      </c>
      <c r="W3" s="3">
        <f>+V3*1.3</f>
        <v>17.55</v>
      </c>
      <c r="X3" s="3">
        <f>+W3*1.3</f>
        <v>22.815000000000001</v>
      </c>
      <c r="Y3" s="3">
        <f>+X3*1.3</f>
        <v>29.659500000000001</v>
      </c>
      <c r="Z3" s="3">
        <f>+Y3*1.3</f>
        <v>38.55735</v>
      </c>
      <c r="AA3" s="3">
        <f>+Z3*1.3</f>
        <v>50.124555000000001</v>
      </c>
      <c r="AB3" s="3">
        <f>+AA3*1.3</f>
        <v>65.161921500000005</v>
      </c>
      <c r="AC3" s="3">
        <f>+AB3*1.3</f>
        <v>84.710497950000004</v>
      </c>
      <c r="AD3" s="3">
        <f>+AC3*1.3</f>
        <v>110.12364733500002</v>
      </c>
      <c r="AE3" s="3">
        <f>+AD3*1.3</f>
        <v>143.16074153550002</v>
      </c>
      <c r="AF3" s="3">
        <f>+AE3*1.3</f>
        <v>186.10896399615004</v>
      </c>
      <c r="AG3" s="3">
        <f>+AF3*1.3</f>
        <v>241.94165319499507</v>
      </c>
    </row>
    <row r="4" spans="1:33" x14ac:dyDescent="0.25">
      <c r="B4" s="1" t="s">
        <v>62</v>
      </c>
      <c r="T4" s="11">
        <v>34.962000000000003</v>
      </c>
      <c r="U4" s="11">
        <v>11.246</v>
      </c>
      <c r="V4" s="11">
        <v>14.683999999999999</v>
      </c>
    </row>
    <row r="5" spans="1:33" x14ac:dyDescent="0.25">
      <c r="B5" s="1" t="s">
        <v>67</v>
      </c>
      <c r="T5" s="6">
        <f>T9/T3</f>
        <v>397.28964091570322</v>
      </c>
      <c r="U5" s="6">
        <f>U9/U3</f>
        <v>371.28501175967506</v>
      </c>
      <c r="V5" s="6">
        <f>V9/V3</f>
        <v>381.7037037037037</v>
      </c>
      <c r="W5" s="3">
        <f>+V5*1.03</f>
        <v>393.15481481481481</v>
      </c>
      <c r="X5" s="3">
        <f t="shared" ref="X5:AG5" si="1">+W5*1.03</f>
        <v>404.94945925925924</v>
      </c>
      <c r="Y5" s="3">
        <f t="shared" si="1"/>
        <v>417.09794303703706</v>
      </c>
      <c r="Z5" s="3">
        <f t="shared" si="1"/>
        <v>429.6108813281482</v>
      </c>
      <c r="AA5" s="3">
        <f t="shared" si="1"/>
        <v>442.49920776799263</v>
      </c>
      <c r="AB5" s="3">
        <f t="shared" si="1"/>
        <v>455.77418400103244</v>
      </c>
      <c r="AC5" s="3">
        <f t="shared" si="1"/>
        <v>469.44740952106343</v>
      </c>
      <c r="AD5" s="3">
        <f t="shared" si="1"/>
        <v>483.53083180669535</v>
      </c>
      <c r="AE5" s="3">
        <f t="shared" si="1"/>
        <v>498.0367567608962</v>
      </c>
      <c r="AF5" s="3">
        <f t="shared" si="1"/>
        <v>512.97785946372312</v>
      </c>
      <c r="AG5" s="3">
        <f t="shared" si="1"/>
        <v>528.36719524763487</v>
      </c>
    </row>
    <row r="6" spans="1:33" x14ac:dyDescent="0.25">
      <c r="B6" s="1" t="s">
        <v>68</v>
      </c>
      <c r="T6" s="3"/>
      <c r="U6" s="3"/>
      <c r="V6" s="3"/>
    </row>
    <row r="7" spans="1:33" x14ac:dyDescent="0.25">
      <c r="B7" s="1" t="s">
        <v>73</v>
      </c>
      <c r="T7" s="12"/>
      <c r="U7" s="12"/>
      <c r="V7" s="12"/>
    </row>
    <row r="8" spans="1:33" s="16" customFormat="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33" s="8" customFormat="1" ht="13" x14ac:dyDescent="0.3">
      <c r="B9" s="8" t="s">
        <v>7</v>
      </c>
      <c r="C9" s="9"/>
      <c r="D9" s="9"/>
      <c r="E9" s="9"/>
      <c r="F9" s="9">
        <v>870</v>
      </c>
      <c r="G9" s="9">
        <v>1181</v>
      </c>
      <c r="H9" s="9">
        <v>1511</v>
      </c>
      <c r="I9" s="9">
        <v>1377</v>
      </c>
      <c r="J9" s="9">
        <v>1084</v>
      </c>
      <c r="K9" s="9">
        <v>1153</v>
      </c>
      <c r="L9" s="9">
        <v>1567</v>
      </c>
      <c r="M9" s="9">
        <f>+I9</f>
        <v>1377</v>
      </c>
      <c r="N9" s="9">
        <f>+J9</f>
        <v>1084</v>
      </c>
      <c r="S9" s="8">
        <v>8021</v>
      </c>
      <c r="T9" s="8">
        <v>15567</v>
      </c>
      <c r="U9" s="8">
        <v>6946</v>
      </c>
      <c r="V9" s="8">
        <v>5153</v>
      </c>
      <c r="W9" s="8">
        <f>+W5*W3</f>
        <v>6899.8670000000002</v>
      </c>
      <c r="X9" s="8">
        <f t="shared" ref="X9:AG9" si="2">+X5*X3</f>
        <v>9238.9219130000001</v>
      </c>
      <c r="Y9" s="8">
        <f t="shared" si="2"/>
        <v>12370.916441507001</v>
      </c>
      <c r="Z9" s="8">
        <f t="shared" si="2"/>
        <v>16564.657115177873</v>
      </c>
      <c r="AA9" s="8">
        <f t="shared" si="2"/>
        <v>22180.075877223175</v>
      </c>
      <c r="AB9" s="8">
        <f t="shared" si="2"/>
        <v>29699.121599601833</v>
      </c>
      <c r="AC9" s="8">
        <f t="shared" si="2"/>
        <v>39767.123821866859</v>
      </c>
      <c r="AD9" s="8">
        <f t="shared" si="2"/>
        <v>53248.178797479726</v>
      </c>
      <c r="AE9" s="8">
        <f t="shared" si="2"/>
        <v>71299.311409825357</v>
      </c>
      <c r="AF9" s="8">
        <f t="shared" si="2"/>
        <v>95469.777977756166</v>
      </c>
      <c r="AG9" s="8">
        <f t="shared" si="2"/>
        <v>127834.03271221553</v>
      </c>
    </row>
    <row r="10" spans="1:33" s="3" customFormat="1" x14ac:dyDescent="0.25">
      <c r="B10" s="3" t="s">
        <v>16</v>
      </c>
      <c r="C10" s="4"/>
      <c r="D10" s="4"/>
      <c r="E10" s="4"/>
      <c r="F10" s="4">
        <v>798</v>
      </c>
      <c r="G10" s="4">
        <v>1067</v>
      </c>
      <c r="H10" s="4">
        <v>1382</v>
      </c>
      <c r="I10" s="4">
        <v>1272</v>
      </c>
      <c r="J10" s="4">
        <v>999</v>
      </c>
      <c r="K10" s="4">
        <v>1054</v>
      </c>
      <c r="L10" s="4">
        <v>1439</v>
      </c>
      <c r="M10" s="4">
        <f>+M9-M11</f>
        <v>1266.8399999999999</v>
      </c>
      <c r="N10" s="4">
        <f>+N9-N11</f>
        <v>997.28</v>
      </c>
      <c r="S10" s="3">
        <v>7291</v>
      </c>
      <c r="T10" s="3">
        <v>14900</v>
      </c>
      <c r="U10" s="3">
        <v>6459</v>
      </c>
      <c r="V10" s="3">
        <v>4720</v>
      </c>
      <c r="W10" s="3">
        <f>+W9-W11</f>
        <v>6761.8696600000003</v>
      </c>
      <c r="X10" s="3">
        <f t="shared" ref="X10:AG10" si="3">+X9-X11</f>
        <v>9054.1434747399999</v>
      </c>
      <c r="Y10" s="3">
        <f t="shared" si="3"/>
        <v>12123.498112676862</v>
      </c>
      <c r="Z10" s="3">
        <f t="shared" si="3"/>
        <v>16067.717401722537</v>
      </c>
      <c r="AA10" s="3">
        <f t="shared" si="3"/>
        <v>21514.673600906481</v>
      </c>
      <c r="AB10" s="3">
        <f t="shared" si="3"/>
        <v>28808.147951613777</v>
      </c>
      <c r="AC10" s="3">
        <f t="shared" si="3"/>
        <v>38574.11010721085</v>
      </c>
      <c r="AD10" s="3">
        <f t="shared" si="3"/>
        <v>51650.733433555331</v>
      </c>
      <c r="AE10" s="3">
        <f t="shared" si="3"/>
        <v>69160.332067530602</v>
      </c>
      <c r="AF10" s="3">
        <f t="shared" si="3"/>
        <v>92605.684638423481</v>
      </c>
      <c r="AG10" s="3">
        <f t="shared" si="3"/>
        <v>123999.01173084906</v>
      </c>
    </row>
    <row r="11" spans="1:33" s="8" customFormat="1" ht="13" x14ac:dyDescent="0.3">
      <c r="B11" s="8" t="s">
        <v>17</v>
      </c>
      <c r="C11" s="9"/>
      <c r="D11" s="9"/>
      <c r="E11" s="9"/>
      <c r="F11" s="9">
        <f t="shared" ref="F11:L11" si="4">+F9-F10</f>
        <v>72</v>
      </c>
      <c r="G11" s="9">
        <f t="shared" si="4"/>
        <v>114</v>
      </c>
      <c r="H11" s="9">
        <f t="shared" si="4"/>
        <v>129</v>
      </c>
      <c r="I11" s="9">
        <f t="shared" si="4"/>
        <v>105</v>
      </c>
      <c r="J11" s="9">
        <f t="shared" si="4"/>
        <v>85</v>
      </c>
      <c r="K11" s="9">
        <f t="shared" si="4"/>
        <v>99</v>
      </c>
      <c r="L11" s="9">
        <f t="shared" si="4"/>
        <v>128</v>
      </c>
      <c r="M11" s="9">
        <f>+M9*0.08</f>
        <v>110.16</v>
      </c>
      <c r="N11" s="9">
        <f>+N9*0.08</f>
        <v>86.72</v>
      </c>
      <c r="S11" s="8">
        <f>+S9-S10</f>
        <v>730</v>
      </c>
      <c r="T11" s="8">
        <f>+T9-T10</f>
        <v>667</v>
      </c>
      <c r="U11" s="8">
        <f>+U9-U10</f>
        <v>487</v>
      </c>
      <c r="V11" s="8">
        <f>+V9-V10</f>
        <v>433</v>
      </c>
      <c r="W11" s="8">
        <f>+W9*0.02</f>
        <v>137.99734000000001</v>
      </c>
      <c r="X11" s="8">
        <f t="shared" ref="X11:AG11" si="5">+X9*0.02</f>
        <v>184.77843826</v>
      </c>
      <c r="Y11" s="8">
        <f t="shared" si="5"/>
        <v>247.41832883014001</v>
      </c>
      <c r="Z11" s="8">
        <f>+Z9*0.03</f>
        <v>496.93971345533618</v>
      </c>
      <c r="AA11" s="8">
        <f t="shared" ref="AA11:AG11" si="6">+AA9*0.03</f>
        <v>665.40227631669518</v>
      </c>
      <c r="AB11" s="8">
        <f t="shared" si="6"/>
        <v>890.97364798805495</v>
      </c>
      <c r="AC11" s="8">
        <f t="shared" si="6"/>
        <v>1193.0137146560057</v>
      </c>
      <c r="AD11" s="8">
        <f t="shared" si="6"/>
        <v>1597.4453639243918</v>
      </c>
      <c r="AE11" s="8">
        <f t="shared" si="6"/>
        <v>2138.9793422947605</v>
      </c>
      <c r="AF11" s="8">
        <f t="shared" si="6"/>
        <v>2864.093339332685</v>
      </c>
      <c r="AG11" s="8">
        <f t="shared" si="6"/>
        <v>3835.0209813664655</v>
      </c>
    </row>
    <row r="12" spans="1:33" s="3" customFormat="1" x14ac:dyDescent="0.25">
      <c r="B12" s="3" t="s">
        <v>20</v>
      </c>
      <c r="C12" s="4"/>
      <c r="D12" s="4"/>
      <c r="E12" s="4"/>
      <c r="F12" s="4">
        <v>89</v>
      </c>
      <c r="G12" s="4">
        <v>113</v>
      </c>
      <c r="H12" s="4">
        <v>116</v>
      </c>
      <c r="I12" s="4">
        <v>96</v>
      </c>
      <c r="J12" s="4">
        <v>88</v>
      </c>
      <c r="K12" s="4">
        <v>98</v>
      </c>
      <c r="L12" s="4">
        <v>86</v>
      </c>
      <c r="M12" s="4">
        <f>+L12*0.5</f>
        <v>43</v>
      </c>
      <c r="N12" s="4">
        <f>+M12</f>
        <v>43</v>
      </c>
      <c r="S12" s="3">
        <v>544</v>
      </c>
      <c r="T12" s="3">
        <v>1006</v>
      </c>
      <c r="U12" s="3">
        <v>486</v>
      </c>
      <c r="V12" s="3">
        <v>413</v>
      </c>
      <c r="W12" s="3">
        <f>+V12*1.05</f>
        <v>433.65000000000003</v>
      </c>
      <c r="X12" s="3">
        <f t="shared" ref="X12:AG12" si="7">+W12*1.05</f>
        <v>455.33250000000004</v>
      </c>
      <c r="Y12" s="3">
        <f t="shared" si="7"/>
        <v>478.09912500000007</v>
      </c>
      <c r="Z12" s="3">
        <f t="shared" si="7"/>
        <v>502.00408125000007</v>
      </c>
      <c r="AA12" s="3">
        <f t="shared" si="7"/>
        <v>527.10428531250011</v>
      </c>
      <c r="AB12" s="3">
        <f t="shared" si="7"/>
        <v>553.45949957812513</v>
      </c>
      <c r="AC12" s="3">
        <f t="shared" si="7"/>
        <v>581.1324745570314</v>
      </c>
      <c r="AD12" s="3">
        <f t="shared" si="7"/>
        <v>610.18909828488302</v>
      </c>
      <c r="AE12" s="3">
        <f t="shared" si="7"/>
        <v>640.69855319912722</v>
      </c>
      <c r="AF12" s="3">
        <f t="shared" si="7"/>
        <v>672.73348085908356</v>
      </c>
      <c r="AG12" s="3">
        <f t="shared" si="7"/>
        <v>706.37015490203771</v>
      </c>
    </row>
    <row r="13" spans="1:33" s="3" customFormat="1" x14ac:dyDescent="0.25">
      <c r="B13" s="3" t="s">
        <v>21</v>
      </c>
      <c r="C13" s="4"/>
      <c r="D13" s="4"/>
      <c r="E13" s="4"/>
      <c r="F13" s="4">
        <v>48</v>
      </c>
      <c r="G13" s="4">
        <v>47</v>
      </c>
      <c r="H13" s="4">
        <v>48</v>
      </c>
      <c r="I13" s="4">
        <v>46</v>
      </c>
      <c r="J13" s="4">
        <v>41</v>
      </c>
      <c r="K13" s="4">
        <v>33</v>
      </c>
      <c r="L13" s="4">
        <v>28</v>
      </c>
      <c r="M13" s="4">
        <f t="shared" ref="M13:N13" si="8">+L13*0.5</f>
        <v>14</v>
      </c>
      <c r="N13" s="4">
        <f t="shared" si="8"/>
        <v>7</v>
      </c>
      <c r="S13" s="3">
        <v>620</v>
      </c>
      <c r="T13" s="3">
        <v>346</v>
      </c>
      <c r="U13" s="3">
        <v>206</v>
      </c>
      <c r="V13" s="3">
        <v>182</v>
      </c>
      <c r="W13" s="3">
        <f t="shared" ref="W13:AG13" si="9">+V13*1.05</f>
        <v>191.1</v>
      </c>
      <c r="X13" s="3">
        <f t="shared" si="9"/>
        <v>200.655</v>
      </c>
      <c r="Y13" s="3">
        <f t="shared" si="9"/>
        <v>210.68775000000002</v>
      </c>
      <c r="Z13" s="3">
        <f t="shared" si="9"/>
        <v>221.22213750000003</v>
      </c>
      <c r="AA13" s="3">
        <f t="shared" si="9"/>
        <v>232.28324437500004</v>
      </c>
      <c r="AB13" s="3">
        <f t="shared" si="9"/>
        <v>243.89740659375005</v>
      </c>
      <c r="AC13" s="3">
        <f t="shared" si="9"/>
        <v>256.09227692343757</v>
      </c>
      <c r="AD13" s="3">
        <f t="shared" si="9"/>
        <v>268.89689076960946</v>
      </c>
      <c r="AE13" s="3">
        <f t="shared" si="9"/>
        <v>282.34173530808994</v>
      </c>
      <c r="AF13" s="3">
        <f t="shared" si="9"/>
        <v>296.45882207349445</v>
      </c>
      <c r="AG13" s="3">
        <f t="shared" si="9"/>
        <v>311.28176317716918</v>
      </c>
    </row>
    <row r="14" spans="1:33" s="3" customFormat="1" x14ac:dyDescent="0.25">
      <c r="B14" s="3" t="s">
        <v>22</v>
      </c>
      <c r="C14" s="4"/>
      <c r="D14" s="4"/>
      <c r="E14" s="4"/>
      <c r="F14" s="4">
        <v>46</v>
      </c>
      <c r="G14" s="4">
        <v>41</v>
      </c>
      <c r="H14" s="4">
        <v>37</v>
      </c>
      <c r="I14" s="4">
        <v>30</v>
      </c>
      <c r="J14" s="4">
        <v>33</v>
      </c>
      <c r="K14" s="4">
        <v>21</v>
      </c>
      <c r="L14" s="4">
        <v>21</v>
      </c>
      <c r="M14" s="4">
        <f>+L14*0.5</f>
        <v>10.5</v>
      </c>
      <c r="N14" s="4">
        <f>+M14*0.5</f>
        <v>5.25</v>
      </c>
      <c r="S14" s="3">
        <v>134</v>
      </c>
      <c r="T14" s="3">
        <v>169</v>
      </c>
      <c r="U14" s="3">
        <v>167</v>
      </c>
      <c r="V14" s="3">
        <v>141</v>
      </c>
      <c r="W14" s="3">
        <f t="shared" ref="W14:AG14" si="10">+V14*1.05</f>
        <v>148.05000000000001</v>
      </c>
      <c r="X14" s="3">
        <f t="shared" si="10"/>
        <v>155.45250000000001</v>
      </c>
      <c r="Y14" s="3">
        <f t="shared" si="10"/>
        <v>163.22512500000002</v>
      </c>
      <c r="Z14" s="3">
        <f t="shared" si="10"/>
        <v>171.38638125000003</v>
      </c>
      <c r="AA14" s="3">
        <f t="shared" si="10"/>
        <v>179.95570031250003</v>
      </c>
      <c r="AB14" s="3">
        <f t="shared" si="10"/>
        <v>188.95348532812503</v>
      </c>
      <c r="AC14" s="3">
        <f t="shared" si="10"/>
        <v>198.40115959453129</v>
      </c>
      <c r="AD14" s="3">
        <f t="shared" si="10"/>
        <v>208.32121757425787</v>
      </c>
      <c r="AE14" s="3">
        <f t="shared" si="10"/>
        <v>218.73727845297077</v>
      </c>
      <c r="AF14" s="3">
        <f t="shared" si="10"/>
        <v>229.67414237561931</v>
      </c>
      <c r="AG14" s="3">
        <f t="shared" si="10"/>
        <v>241.1578494944003</v>
      </c>
    </row>
    <row r="15" spans="1:33" s="3" customFormat="1" x14ac:dyDescent="0.25">
      <c r="B15" s="3" t="s">
        <v>18</v>
      </c>
      <c r="C15" s="4"/>
      <c r="D15" s="4"/>
      <c r="E15" s="4"/>
      <c r="F15" s="4">
        <f t="shared" ref="F15" si="11">+F14+F13+F12</f>
        <v>183</v>
      </c>
      <c r="G15" s="4">
        <f t="shared" ref="G15:J15" si="12">+G14+G13+G12</f>
        <v>201</v>
      </c>
      <c r="H15" s="4">
        <f t="shared" si="12"/>
        <v>201</v>
      </c>
      <c r="I15" s="4">
        <f t="shared" si="12"/>
        <v>172</v>
      </c>
      <c r="J15" s="4">
        <f t="shared" si="12"/>
        <v>162</v>
      </c>
      <c r="K15" s="4">
        <f>+K14+K13+K12</f>
        <v>152</v>
      </c>
      <c r="L15" s="4">
        <f>+L14+L13+L12</f>
        <v>135</v>
      </c>
      <c r="M15" s="4">
        <f>+M14+M13+M12</f>
        <v>67.5</v>
      </c>
      <c r="N15" s="4">
        <f>+N14+N13+N12</f>
        <v>55.25</v>
      </c>
      <c r="S15" s="4">
        <f t="shared" ref="S15:V15" si="13">+S14+S13+S12</f>
        <v>1298</v>
      </c>
      <c r="T15" s="4">
        <f t="shared" si="13"/>
        <v>1521</v>
      </c>
      <c r="U15" s="4">
        <f t="shared" si="13"/>
        <v>859</v>
      </c>
      <c r="V15" s="4">
        <f t="shared" si="13"/>
        <v>736</v>
      </c>
      <c r="W15" s="4">
        <f t="shared" ref="W15:AG15" si="14">+W14+W13+W12</f>
        <v>772.8</v>
      </c>
      <c r="X15" s="4">
        <f t="shared" si="14"/>
        <v>811.44</v>
      </c>
      <c r="Y15" s="4">
        <f t="shared" si="14"/>
        <v>852.01200000000017</v>
      </c>
      <c r="Z15" s="4">
        <f t="shared" si="14"/>
        <v>894.61260000000016</v>
      </c>
      <c r="AA15" s="4">
        <f t="shared" si="14"/>
        <v>939.34323000000018</v>
      </c>
      <c r="AB15" s="4">
        <f t="shared" si="14"/>
        <v>986.31039150000015</v>
      </c>
      <c r="AC15" s="4">
        <f t="shared" si="14"/>
        <v>1035.6259110750002</v>
      </c>
      <c r="AD15" s="4">
        <f t="shared" si="14"/>
        <v>1087.4072066287504</v>
      </c>
      <c r="AE15" s="4">
        <f t="shared" si="14"/>
        <v>1141.7775669601879</v>
      </c>
      <c r="AF15" s="4">
        <f t="shared" si="14"/>
        <v>1198.8664453081974</v>
      </c>
      <c r="AG15" s="4">
        <f t="shared" si="14"/>
        <v>1258.8097675736071</v>
      </c>
    </row>
    <row r="16" spans="1:33" s="3" customFormat="1" ht="13" x14ac:dyDescent="0.3">
      <c r="B16" s="3" t="s">
        <v>19</v>
      </c>
      <c r="C16" s="4"/>
      <c r="D16" s="4"/>
      <c r="E16" s="4"/>
      <c r="F16" s="4">
        <f t="shared" ref="F16" si="15">+F11-F15</f>
        <v>-111</v>
      </c>
      <c r="G16" s="4">
        <f t="shared" ref="G16:J16" si="16">+G11-G15</f>
        <v>-87</v>
      </c>
      <c r="H16" s="4">
        <f t="shared" si="16"/>
        <v>-72</v>
      </c>
      <c r="I16" s="4">
        <f t="shared" si="16"/>
        <v>-67</v>
      </c>
      <c r="J16" s="4">
        <f t="shared" si="16"/>
        <v>-77</v>
      </c>
      <c r="K16" s="4">
        <f>+K11-K15</f>
        <v>-53</v>
      </c>
      <c r="L16" s="4">
        <f>+L11-L15</f>
        <v>-7</v>
      </c>
      <c r="M16" s="4">
        <f>+M11-M15</f>
        <v>42.66</v>
      </c>
      <c r="N16" s="9">
        <f>+N11-N15</f>
        <v>31.47</v>
      </c>
      <c r="S16" s="4">
        <f t="shared" ref="S16:V16" si="17">+S11-S15</f>
        <v>-568</v>
      </c>
      <c r="T16" s="4">
        <f t="shared" si="17"/>
        <v>-854</v>
      </c>
      <c r="U16" s="4">
        <f t="shared" si="17"/>
        <v>-372</v>
      </c>
      <c r="V16" s="4">
        <f t="shared" si="17"/>
        <v>-303</v>
      </c>
      <c r="W16" s="4">
        <f t="shared" ref="W16:AG16" si="18">+W11-W15</f>
        <v>-634.80265999999995</v>
      </c>
      <c r="X16" s="4">
        <f t="shared" si="18"/>
        <v>-626.66156174000002</v>
      </c>
      <c r="Y16" s="4">
        <f t="shared" si="18"/>
        <v>-604.59367116986016</v>
      </c>
      <c r="Z16" s="4">
        <f t="shared" si="18"/>
        <v>-397.67288654466398</v>
      </c>
      <c r="AA16" s="4">
        <f t="shared" si="18"/>
        <v>-273.940953683305</v>
      </c>
      <c r="AB16" s="4">
        <f t="shared" si="18"/>
        <v>-95.336743511945201</v>
      </c>
      <c r="AC16" s="4">
        <f t="shared" si="18"/>
        <v>157.38780358100553</v>
      </c>
      <c r="AD16" s="4">
        <f t="shared" si="18"/>
        <v>510.03815729564144</v>
      </c>
      <c r="AE16" s="4">
        <f t="shared" si="18"/>
        <v>997.20177533457263</v>
      </c>
      <c r="AF16" s="4">
        <f t="shared" si="18"/>
        <v>1665.2268940244876</v>
      </c>
      <c r="AG16" s="4">
        <f t="shared" si="18"/>
        <v>2576.2112137928584</v>
      </c>
    </row>
    <row r="17" spans="2:122" s="3" customFormat="1" x14ac:dyDescent="0.25">
      <c r="B17" s="3" t="s">
        <v>23</v>
      </c>
      <c r="C17" s="4"/>
      <c r="D17" s="4"/>
      <c r="E17" s="4"/>
      <c r="F17" s="4">
        <v>-37</v>
      </c>
      <c r="G17" s="4">
        <v>-37</v>
      </c>
      <c r="H17" s="4">
        <f>-30+12</f>
        <v>-18</v>
      </c>
      <c r="I17" s="4">
        <v>-34</v>
      </c>
      <c r="J17" s="4">
        <v>-32</v>
      </c>
      <c r="K17" s="4">
        <v>-33</v>
      </c>
      <c r="L17" s="4">
        <f>-36+10</f>
        <v>-26</v>
      </c>
      <c r="M17" s="4">
        <f>-36+10</f>
        <v>-26</v>
      </c>
      <c r="N17" s="4">
        <f>-36+10</f>
        <v>-26</v>
      </c>
      <c r="S17" s="3">
        <v>-143</v>
      </c>
      <c r="T17" s="3">
        <v>-385</v>
      </c>
      <c r="U17" s="3">
        <v>-211</v>
      </c>
      <c r="V17" s="3">
        <v>-133</v>
      </c>
      <c r="W17" s="3">
        <v>0</v>
      </c>
      <c r="X17" s="3">
        <v>0</v>
      </c>
      <c r="Y17" s="3">
        <v>0</v>
      </c>
      <c r="Z17" s="3">
        <v>0</v>
      </c>
      <c r="AA17" s="3">
        <v>20</v>
      </c>
      <c r="AB17" s="3">
        <f>+AA17*1.1</f>
        <v>22</v>
      </c>
      <c r="AC17" s="3">
        <f t="shared" ref="AC17:AG17" si="19">+AB17*1.1</f>
        <v>24.200000000000003</v>
      </c>
      <c r="AD17" s="3">
        <f t="shared" si="19"/>
        <v>26.620000000000005</v>
      </c>
      <c r="AE17" s="3">
        <f t="shared" si="19"/>
        <v>29.282000000000007</v>
      </c>
      <c r="AF17" s="3">
        <f t="shared" si="19"/>
        <v>32.210200000000007</v>
      </c>
      <c r="AG17" s="3">
        <f t="shared" si="19"/>
        <v>35.43122000000001</v>
      </c>
    </row>
    <row r="18" spans="2:122" s="3" customFormat="1" x14ac:dyDescent="0.25">
      <c r="B18" s="3" t="s">
        <v>24</v>
      </c>
      <c r="C18" s="4"/>
      <c r="D18" s="4"/>
      <c r="E18" s="4"/>
      <c r="F18" s="4">
        <f t="shared" ref="F18" si="20">+F17+F16</f>
        <v>-148</v>
      </c>
      <c r="G18" s="4">
        <f>+G17+G16</f>
        <v>-124</v>
      </c>
      <c r="H18" s="4">
        <f t="shared" ref="H18:N18" si="21">+H17+H16</f>
        <v>-90</v>
      </c>
      <c r="I18" s="4">
        <f t="shared" si="21"/>
        <v>-101</v>
      </c>
      <c r="J18" s="4">
        <f t="shared" si="21"/>
        <v>-109</v>
      </c>
      <c r="K18" s="4">
        <f t="shared" si="21"/>
        <v>-86</v>
      </c>
      <c r="L18" s="4">
        <f t="shared" si="21"/>
        <v>-33</v>
      </c>
      <c r="M18" s="4">
        <f t="shared" si="21"/>
        <v>16.659999999999997</v>
      </c>
      <c r="N18" s="4">
        <f t="shared" si="21"/>
        <v>5.4699999999999989</v>
      </c>
      <c r="S18" s="4">
        <f t="shared" ref="S18" si="22">+S17+S16</f>
        <v>-711</v>
      </c>
      <c r="T18" s="4">
        <f t="shared" ref="T18:AG18" si="23">+T17+T16</f>
        <v>-1239</v>
      </c>
      <c r="U18" s="4">
        <f t="shared" si="23"/>
        <v>-583</v>
      </c>
      <c r="V18" s="4">
        <f t="shared" si="23"/>
        <v>-436</v>
      </c>
      <c r="W18" s="4">
        <f t="shared" si="23"/>
        <v>-634.80265999999995</v>
      </c>
      <c r="X18" s="4">
        <f t="shared" si="23"/>
        <v>-626.66156174000002</v>
      </c>
      <c r="Y18" s="4">
        <f t="shared" si="23"/>
        <v>-604.59367116986016</v>
      </c>
      <c r="Z18" s="4">
        <f t="shared" si="23"/>
        <v>-397.67288654466398</v>
      </c>
      <c r="AA18" s="4">
        <f t="shared" si="23"/>
        <v>-253.940953683305</v>
      </c>
      <c r="AB18" s="4">
        <f t="shared" si="23"/>
        <v>-73.336743511945201</v>
      </c>
      <c r="AC18" s="4">
        <f t="shared" si="23"/>
        <v>181.58780358100552</v>
      </c>
      <c r="AD18" s="4">
        <f t="shared" si="23"/>
        <v>536.65815729564144</v>
      </c>
      <c r="AE18" s="4">
        <f t="shared" si="23"/>
        <v>1026.4837753345726</v>
      </c>
      <c r="AF18" s="4">
        <f t="shared" si="23"/>
        <v>1697.4370940244876</v>
      </c>
      <c r="AG18" s="4">
        <f t="shared" si="23"/>
        <v>2611.6424337928584</v>
      </c>
    </row>
    <row r="19" spans="2:122" s="3" customFormat="1" x14ac:dyDescent="0.25">
      <c r="B19" s="3" t="s">
        <v>25</v>
      </c>
      <c r="C19" s="4"/>
      <c r="D19" s="4"/>
      <c r="E19" s="4"/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f>+AA18*0.2</f>
        <v>-50.788190736661001</v>
      </c>
      <c r="AB19" s="3">
        <f>+AB18*0.35</f>
        <v>-25.667860229180818</v>
      </c>
      <c r="AC19" s="3">
        <f t="shared" ref="AC19:AG19" si="24">+AC18*0.35</f>
        <v>63.555731253351929</v>
      </c>
      <c r="AD19" s="3">
        <f t="shared" si="24"/>
        <v>187.83035505347451</v>
      </c>
      <c r="AE19" s="3">
        <f t="shared" si="24"/>
        <v>359.26932136710036</v>
      </c>
      <c r="AF19" s="3">
        <f t="shared" si="24"/>
        <v>594.10298290857065</v>
      </c>
      <c r="AG19" s="3">
        <f t="shared" si="24"/>
        <v>914.07485182750031</v>
      </c>
    </row>
    <row r="20" spans="2:122" s="3" customFormat="1" x14ac:dyDescent="0.25">
      <c r="B20" s="3" t="s">
        <v>26</v>
      </c>
      <c r="C20" s="4"/>
      <c r="D20" s="4"/>
      <c r="E20" s="4"/>
      <c r="F20" s="4">
        <f t="shared" ref="F20" si="25">+F18-F19</f>
        <v>-148</v>
      </c>
      <c r="G20" s="4">
        <f t="shared" ref="G20:N20" si="26">+G18-G19</f>
        <v>-124</v>
      </c>
      <c r="H20" s="4">
        <f t="shared" si="26"/>
        <v>-90</v>
      </c>
      <c r="I20" s="4">
        <f t="shared" si="26"/>
        <v>-101</v>
      </c>
      <c r="J20" s="4">
        <f t="shared" si="26"/>
        <v>-109</v>
      </c>
      <c r="K20" s="4">
        <f t="shared" si="26"/>
        <v>-86</v>
      </c>
      <c r="L20" s="4">
        <f t="shared" si="26"/>
        <v>-33</v>
      </c>
      <c r="M20" s="4">
        <f t="shared" si="26"/>
        <v>16.659999999999997</v>
      </c>
      <c r="N20" s="4">
        <f t="shared" si="26"/>
        <v>5.4699999999999989</v>
      </c>
      <c r="S20" s="4">
        <f t="shared" ref="S20:AG20" si="27">+S18-S19</f>
        <v>-711</v>
      </c>
      <c r="T20" s="4">
        <f t="shared" si="27"/>
        <v>-1239</v>
      </c>
      <c r="U20" s="4">
        <f t="shared" si="27"/>
        <v>-583</v>
      </c>
      <c r="V20" s="4">
        <f t="shared" si="27"/>
        <v>-436</v>
      </c>
      <c r="W20" s="4">
        <f t="shared" si="27"/>
        <v>-634.80265999999995</v>
      </c>
      <c r="X20" s="4">
        <f t="shared" si="27"/>
        <v>-626.66156174000002</v>
      </c>
      <c r="Y20" s="4">
        <f t="shared" si="27"/>
        <v>-604.59367116986016</v>
      </c>
      <c r="Z20" s="4">
        <f t="shared" si="27"/>
        <v>-397.67288654466398</v>
      </c>
      <c r="AA20" s="4">
        <f t="shared" si="27"/>
        <v>-203.152762946644</v>
      </c>
      <c r="AB20" s="4">
        <f t="shared" si="27"/>
        <v>-47.668883282764384</v>
      </c>
      <c r="AC20" s="4">
        <f t="shared" si="27"/>
        <v>118.03207232765359</v>
      </c>
      <c r="AD20" s="4">
        <f t="shared" si="27"/>
        <v>348.82780224216697</v>
      </c>
      <c r="AE20" s="4">
        <f t="shared" si="27"/>
        <v>667.2144539674722</v>
      </c>
      <c r="AF20" s="4">
        <f t="shared" si="27"/>
        <v>1103.334111115917</v>
      </c>
      <c r="AG20" s="4">
        <f t="shared" si="27"/>
        <v>1697.5675819653579</v>
      </c>
      <c r="AH20" s="3">
        <f>AG20*(1+$AJ$23)</f>
        <v>1697.5675819653579</v>
      </c>
      <c r="AI20" s="3">
        <f t="shared" ref="AI20:CT20" si="28">AH20*(1+$AJ$23)</f>
        <v>1697.5675819653579</v>
      </c>
      <c r="AJ20" s="3">
        <f t="shared" si="28"/>
        <v>1697.5675819653579</v>
      </c>
      <c r="AK20" s="3">
        <f t="shared" si="28"/>
        <v>1697.5675819653579</v>
      </c>
      <c r="AL20" s="3">
        <f t="shared" si="28"/>
        <v>1697.5675819653579</v>
      </c>
      <c r="AM20" s="3">
        <f t="shared" si="28"/>
        <v>1697.5675819653579</v>
      </c>
      <c r="AN20" s="3">
        <f t="shared" si="28"/>
        <v>1697.5675819653579</v>
      </c>
      <c r="AO20" s="3">
        <f t="shared" si="28"/>
        <v>1697.5675819653579</v>
      </c>
      <c r="AP20" s="3">
        <f t="shared" si="28"/>
        <v>1697.5675819653579</v>
      </c>
      <c r="AQ20" s="3">
        <f t="shared" si="28"/>
        <v>1697.5675819653579</v>
      </c>
      <c r="AR20" s="3">
        <f t="shared" si="28"/>
        <v>1697.5675819653579</v>
      </c>
      <c r="AS20" s="3">
        <f t="shared" si="28"/>
        <v>1697.5675819653579</v>
      </c>
      <c r="AT20" s="3">
        <f t="shared" si="28"/>
        <v>1697.5675819653579</v>
      </c>
      <c r="AU20" s="3">
        <f t="shared" si="28"/>
        <v>1697.5675819653579</v>
      </c>
      <c r="AV20" s="3">
        <f t="shared" si="28"/>
        <v>1697.5675819653579</v>
      </c>
      <c r="AW20" s="3">
        <f t="shared" si="28"/>
        <v>1697.5675819653579</v>
      </c>
      <c r="AX20" s="3">
        <f t="shared" si="28"/>
        <v>1697.5675819653579</v>
      </c>
      <c r="AY20" s="3">
        <f t="shared" si="28"/>
        <v>1697.5675819653579</v>
      </c>
      <c r="AZ20" s="3">
        <f t="shared" si="28"/>
        <v>1697.5675819653579</v>
      </c>
      <c r="BA20" s="3">
        <f t="shared" si="28"/>
        <v>1697.5675819653579</v>
      </c>
      <c r="BB20" s="3">
        <f t="shared" si="28"/>
        <v>1697.5675819653579</v>
      </c>
      <c r="BC20" s="3">
        <f t="shared" si="28"/>
        <v>1697.5675819653579</v>
      </c>
      <c r="BD20" s="3">
        <f t="shared" si="28"/>
        <v>1697.5675819653579</v>
      </c>
      <c r="BE20" s="3">
        <f t="shared" si="28"/>
        <v>1697.5675819653579</v>
      </c>
      <c r="BF20" s="3">
        <f t="shared" si="28"/>
        <v>1697.5675819653579</v>
      </c>
      <c r="BG20" s="3">
        <f t="shared" si="28"/>
        <v>1697.5675819653579</v>
      </c>
      <c r="BH20" s="3">
        <f t="shared" si="28"/>
        <v>1697.5675819653579</v>
      </c>
      <c r="BI20" s="3">
        <f t="shared" si="28"/>
        <v>1697.5675819653579</v>
      </c>
      <c r="BJ20" s="3">
        <f t="shared" si="28"/>
        <v>1697.5675819653579</v>
      </c>
      <c r="BK20" s="3">
        <f t="shared" si="28"/>
        <v>1697.5675819653579</v>
      </c>
      <c r="BL20" s="3">
        <f t="shared" si="28"/>
        <v>1697.5675819653579</v>
      </c>
      <c r="BM20" s="3">
        <f t="shared" si="28"/>
        <v>1697.5675819653579</v>
      </c>
      <c r="BN20" s="3">
        <f t="shared" si="28"/>
        <v>1697.5675819653579</v>
      </c>
      <c r="BO20" s="3">
        <f t="shared" si="28"/>
        <v>1697.5675819653579</v>
      </c>
      <c r="BP20" s="3">
        <f t="shared" si="28"/>
        <v>1697.5675819653579</v>
      </c>
      <c r="BQ20" s="3">
        <f t="shared" si="28"/>
        <v>1697.5675819653579</v>
      </c>
      <c r="BR20" s="3">
        <f t="shared" si="28"/>
        <v>1697.5675819653579</v>
      </c>
      <c r="BS20" s="3">
        <f t="shared" si="28"/>
        <v>1697.5675819653579</v>
      </c>
      <c r="BT20" s="3">
        <f t="shared" si="28"/>
        <v>1697.5675819653579</v>
      </c>
      <c r="BU20" s="3">
        <f t="shared" si="28"/>
        <v>1697.5675819653579</v>
      </c>
      <c r="BV20" s="3">
        <f t="shared" si="28"/>
        <v>1697.5675819653579</v>
      </c>
      <c r="BW20" s="3">
        <f t="shared" si="28"/>
        <v>1697.5675819653579</v>
      </c>
      <c r="BX20" s="3">
        <f t="shared" si="28"/>
        <v>1697.5675819653579</v>
      </c>
      <c r="BY20" s="3">
        <f t="shared" si="28"/>
        <v>1697.5675819653579</v>
      </c>
      <c r="BZ20" s="3">
        <f t="shared" si="28"/>
        <v>1697.5675819653579</v>
      </c>
      <c r="CA20" s="3">
        <f t="shared" si="28"/>
        <v>1697.5675819653579</v>
      </c>
      <c r="CB20" s="3">
        <f t="shared" si="28"/>
        <v>1697.5675819653579</v>
      </c>
      <c r="CC20" s="3">
        <f t="shared" si="28"/>
        <v>1697.5675819653579</v>
      </c>
      <c r="CD20" s="3">
        <f t="shared" si="28"/>
        <v>1697.5675819653579</v>
      </c>
      <c r="CE20" s="3">
        <f t="shared" si="28"/>
        <v>1697.5675819653579</v>
      </c>
      <c r="CF20" s="3">
        <f t="shared" si="28"/>
        <v>1697.5675819653579</v>
      </c>
      <c r="CG20" s="3">
        <f t="shared" si="28"/>
        <v>1697.5675819653579</v>
      </c>
      <c r="CH20" s="3">
        <f t="shared" si="28"/>
        <v>1697.5675819653579</v>
      </c>
      <c r="CI20" s="3">
        <f t="shared" si="28"/>
        <v>1697.5675819653579</v>
      </c>
      <c r="CJ20" s="3">
        <f t="shared" si="28"/>
        <v>1697.5675819653579</v>
      </c>
      <c r="CK20" s="3">
        <f t="shared" si="28"/>
        <v>1697.5675819653579</v>
      </c>
      <c r="CL20" s="3">
        <f t="shared" si="28"/>
        <v>1697.5675819653579</v>
      </c>
      <c r="CM20" s="3">
        <f t="shared" si="28"/>
        <v>1697.5675819653579</v>
      </c>
      <c r="CN20" s="3">
        <f t="shared" si="28"/>
        <v>1697.5675819653579</v>
      </c>
      <c r="CO20" s="3">
        <f t="shared" si="28"/>
        <v>1697.5675819653579</v>
      </c>
      <c r="CP20" s="3">
        <f t="shared" si="28"/>
        <v>1697.5675819653579</v>
      </c>
      <c r="CQ20" s="3">
        <f t="shared" si="28"/>
        <v>1697.5675819653579</v>
      </c>
      <c r="CR20" s="3">
        <f t="shared" si="28"/>
        <v>1697.5675819653579</v>
      </c>
      <c r="CS20" s="3">
        <f t="shared" si="28"/>
        <v>1697.5675819653579</v>
      </c>
      <c r="CT20" s="3">
        <f t="shared" si="28"/>
        <v>1697.5675819653579</v>
      </c>
      <c r="CU20" s="3">
        <f t="shared" ref="CU20:DR20" si="29">CT20*(1+$AJ$23)</f>
        <v>1697.5675819653579</v>
      </c>
      <c r="CV20" s="3">
        <f t="shared" si="29"/>
        <v>1697.5675819653579</v>
      </c>
      <c r="CW20" s="3">
        <f t="shared" si="29"/>
        <v>1697.5675819653579</v>
      </c>
      <c r="CX20" s="3">
        <f t="shared" si="29"/>
        <v>1697.5675819653579</v>
      </c>
      <c r="CY20" s="3">
        <f t="shared" si="29"/>
        <v>1697.5675819653579</v>
      </c>
      <c r="CZ20" s="3">
        <f t="shared" si="29"/>
        <v>1697.5675819653579</v>
      </c>
      <c r="DA20" s="3">
        <f t="shared" si="29"/>
        <v>1697.5675819653579</v>
      </c>
      <c r="DB20" s="3">
        <f t="shared" si="29"/>
        <v>1697.5675819653579</v>
      </c>
      <c r="DC20" s="3">
        <f t="shared" si="29"/>
        <v>1697.5675819653579</v>
      </c>
      <c r="DD20" s="3">
        <f t="shared" si="29"/>
        <v>1697.5675819653579</v>
      </c>
      <c r="DE20" s="3">
        <f t="shared" si="29"/>
        <v>1697.5675819653579</v>
      </c>
      <c r="DF20" s="3">
        <f t="shared" si="29"/>
        <v>1697.5675819653579</v>
      </c>
      <c r="DG20" s="3">
        <f t="shared" si="29"/>
        <v>1697.5675819653579</v>
      </c>
      <c r="DH20" s="3">
        <f t="shared" si="29"/>
        <v>1697.5675819653579</v>
      </c>
      <c r="DI20" s="3">
        <f t="shared" si="29"/>
        <v>1697.5675819653579</v>
      </c>
      <c r="DJ20" s="3">
        <f t="shared" si="29"/>
        <v>1697.5675819653579</v>
      </c>
      <c r="DK20" s="3">
        <f t="shared" si="29"/>
        <v>1697.5675819653579</v>
      </c>
      <c r="DL20" s="3">
        <f t="shared" si="29"/>
        <v>1697.5675819653579</v>
      </c>
      <c r="DM20" s="3">
        <f t="shared" si="29"/>
        <v>1697.5675819653579</v>
      </c>
      <c r="DN20" s="3">
        <f t="shared" si="29"/>
        <v>1697.5675819653579</v>
      </c>
      <c r="DO20" s="3">
        <f t="shared" si="29"/>
        <v>1697.5675819653579</v>
      </c>
      <c r="DP20" s="3">
        <f t="shared" si="29"/>
        <v>1697.5675819653579</v>
      </c>
      <c r="DQ20" s="3">
        <f t="shared" si="29"/>
        <v>1697.5675819653579</v>
      </c>
      <c r="DR20" s="3">
        <f t="shared" si="29"/>
        <v>1697.5675819653579</v>
      </c>
    </row>
    <row r="21" spans="2:122" x14ac:dyDescent="0.25">
      <c r="B21" s="1" t="s">
        <v>27</v>
      </c>
      <c r="C21" s="5"/>
      <c r="D21" s="5"/>
      <c r="F21" s="5">
        <f t="shared" ref="F21:N21" si="30">+F20/F22</f>
        <v>-0.22002134801728057</v>
      </c>
      <c r="G21" s="5">
        <f t="shared" si="30"/>
        <v>-0.18169642922557758</v>
      </c>
      <c r="H21" s="5">
        <f t="shared" si="30"/>
        <v>-0.12978678914694028</v>
      </c>
      <c r="I21" s="5">
        <f t="shared" si="30"/>
        <v>-0.14318949641246514</v>
      </c>
      <c r="J21" s="5">
        <f t="shared" si="30"/>
        <v>-0.15216726672688208</v>
      </c>
      <c r="K21" s="5">
        <f t="shared" si="30"/>
        <v>-0.11885972065201467</v>
      </c>
      <c r="L21" s="5">
        <f t="shared" si="30"/>
        <v>-4.5237455516502073E-2</v>
      </c>
      <c r="M21" s="5">
        <f t="shared" si="30"/>
        <v>2.2838060875906799E-2</v>
      </c>
      <c r="N21" s="5">
        <f t="shared" si="30"/>
        <v>7.4984509598565539E-3</v>
      </c>
      <c r="S21" s="5">
        <f t="shared" ref="S21:AG21" si="31">+S20/S22</f>
        <v>-1.1998501452983088</v>
      </c>
      <c r="T21" s="5">
        <f t="shared" si="31"/>
        <v>-1.7713740801793392</v>
      </c>
      <c r="U21" s="5">
        <f t="shared" si="31"/>
        <v>-0.88721692377695704</v>
      </c>
      <c r="V21" s="5">
        <f t="shared" si="31"/>
        <v>-0.69525836981047828</v>
      </c>
      <c r="W21" s="5">
        <f t="shared" si="31"/>
        <v>-0.87198347249341845</v>
      </c>
      <c r="X21" s="5">
        <f t="shared" si="31"/>
        <v>-0.86080062217161157</v>
      </c>
      <c r="Y21" s="5">
        <f t="shared" si="31"/>
        <v>-0.8304875232158585</v>
      </c>
      <c r="Z21" s="5">
        <f t="shared" si="31"/>
        <v>-0.54625509055947774</v>
      </c>
      <c r="AA21" s="5">
        <f t="shared" si="31"/>
        <v>-0.27905656803776929</v>
      </c>
      <c r="AB21" s="5">
        <f t="shared" si="31"/>
        <v>-6.5479370194807249E-2</v>
      </c>
      <c r="AC21" s="5">
        <f t="shared" si="31"/>
        <v>0.16213230154684877</v>
      </c>
      <c r="AD21" s="5">
        <f t="shared" si="31"/>
        <v>0.47916005629430136</v>
      </c>
      <c r="AE21" s="5">
        <f t="shared" si="31"/>
        <v>0.91650525923813331</v>
      </c>
      <c r="AF21" s="5">
        <f t="shared" si="31"/>
        <v>1.5155719566948518</v>
      </c>
      <c r="AG21" s="5">
        <f t="shared" si="31"/>
        <v>2.3318284061922627</v>
      </c>
    </row>
    <row r="22" spans="2:122" s="3" customFormat="1" x14ac:dyDescent="0.25">
      <c r="B22" s="3" t="s">
        <v>1</v>
      </c>
      <c r="C22" s="4"/>
      <c r="D22" s="4"/>
      <c r="E22" s="4"/>
      <c r="F22" s="4">
        <v>672.66200000000003</v>
      </c>
      <c r="G22" s="4">
        <v>682.45699999999999</v>
      </c>
      <c r="H22" s="4">
        <v>693.44500000000005</v>
      </c>
      <c r="I22" s="4">
        <v>705.35900000000004</v>
      </c>
      <c r="J22" s="4">
        <v>716.31700000000001</v>
      </c>
      <c r="K22" s="4">
        <v>723.54200000000003</v>
      </c>
      <c r="L22" s="4">
        <v>729.48400000000004</v>
      </c>
      <c r="M22" s="4">
        <f>+L22</f>
        <v>729.48400000000004</v>
      </c>
      <c r="N22" s="4">
        <f>+M22</f>
        <v>729.48400000000004</v>
      </c>
      <c r="S22" s="3">
        <v>592.57399999999996</v>
      </c>
      <c r="T22" s="3">
        <v>699.45699999999999</v>
      </c>
      <c r="U22" s="3">
        <v>657.11099999999999</v>
      </c>
      <c r="V22" s="3">
        <v>627.10500000000002</v>
      </c>
      <c r="W22" s="3">
        <f>AVERAGE(K22:N22)</f>
        <v>727.99850000000004</v>
      </c>
      <c r="X22" s="3">
        <f>+W22</f>
        <v>727.99850000000004</v>
      </c>
      <c r="Y22" s="3">
        <f t="shared" ref="Y22:AG22" si="32">+X22</f>
        <v>727.99850000000004</v>
      </c>
      <c r="Z22" s="3">
        <f t="shared" si="32"/>
        <v>727.99850000000004</v>
      </c>
      <c r="AA22" s="3">
        <f t="shared" si="32"/>
        <v>727.99850000000004</v>
      </c>
      <c r="AB22" s="3">
        <f t="shared" si="32"/>
        <v>727.99850000000004</v>
      </c>
      <c r="AC22" s="3">
        <f t="shared" si="32"/>
        <v>727.99850000000004</v>
      </c>
      <c r="AD22" s="3">
        <f t="shared" si="32"/>
        <v>727.99850000000004</v>
      </c>
      <c r="AE22" s="3">
        <f t="shared" si="32"/>
        <v>727.99850000000004</v>
      </c>
      <c r="AF22" s="3">
        <f t="shared" si="32"/>
        <v>727.99850000000004</v>
      </c>
      <c r="AG22" s="3">
        <f t="shared" si="32"/>
        <v>727.99850000000004</v>
      </c>
    </row>
    <row r="23" spans="2:122" x14ac:dyDescent="0.25">
      <c r="AI23" s="1" t="s">
        <v>70</v>
      </c>
      <c r="AJ23" s="12">
        <v>0</v>
      </c>
    </row>
    <row r="24" spans="2:122" s="13" customFormat="1" ht="13" x14ac:dyDescent="0.3">
      <c r="B24" s="13" t="s">
        <v>56</v>
      </c>
      <c r="C24" s="10"/>
      <c r="D24" s="10"/>
      <c r="E24" s="10"/>
      <c r="F24" s="10"/>
      <c r="G24" s="10"/>
      <c r="H24" s="10"/>
      <c r="I24" s="10"/>
      <c r="J24" s="14">
        <f>J9/F9-1</f>
        <v>0.24597701149425277</v>
      </c>
      <c r="K24" s="14">
        <f>K9/G9-1</f>
        <v>-2.3708721422523338E-2</v>
      </c>
      <c r="L24" s="14">
        <f>L9/H9-1</f>
        <v>3.7061548643282594E-2</v>
      </c>
      <c r="M24" s="14">
        <f>M9/I9-1</f>
        <v>0</v>
      </c>
      <c r="N24" s="14">
        <f>N9/J9-1</f>
        <v>0</v>
      </c>
      <c r="T24" s="15">
        <f>+T9/S9-1</f>
        <v>0.94078045131529731</v>
      </c>
      <c r="U24" s="15">
        <f>+U9/T9-1</f>
        <v>-0.55379970450311555</v>
      </c>
      <c r="V24" s="15">
        <f>+V9/U9-1</f>
        <v>-0.25813417794414051</v>
      </c>
      <c r="W24" s="15">
        <f t="shared" ref="W24:AG24" si="33">+W9/V9-1</f>
        <v>0.33899999999999997</v>
      </c>
      <c r="X24" s="15">
        <f t="shared" si="33"/>
        <v>0.33899999999999997</v>
      </c>
      <c r="Y24" s="15">
        <f t="shared" si="33"/>
        <v>0.33899999999999997</v>
      </c>
      <c r="Z24" s="15">
        <f t="shared" si="33"/>
        <v>0.33899999999999997</v>
      </c>
      <c r="AA24" s="15">
        <f t="shared" si="33"/>
        <v>0.33900000000000019</v>
      </c>
      <c r="AB24" s="15">
        <f t="shared" si="33"/>
        <v>0.33899999999999997</v>
      </c>
      <c r="AC24" s="15">
        <f t="shared" si="33"/>
        <v>0.33900000000000019</v>
      </c>
      <c r="AD24" s="15">
        <f t="shared" si="33"/>
        <v>0.33899999999999997</v>
      </c>
      <c r="AE24" s="15">
        <f t="shared" si="33"/>
        <v>0.33899999999999997</v>
      </c>
      <c r="AF24" s="15">
        <f t="shared" si="33"/>
        <v>0.33900000000000019</v>
      </c>
      <c r="AG24" s="15">
        <f t="shared" si="33"/>
        <v>0.33900000000000019</v>
      </c>
      <c r="AH24" s="15"/>
      <c r="AI24" s="3" t="s">
        <v>69</v>
      </c>
      <c r="AJ24" s="12">
        <v>0.1</v>
      </c>
    </row>
    <row r="25" spans="2:122" x14ac:dyDescent="0.25">
      <c r="B25" s="1" t="s">
        <v>29</v>
      </c>
      <c r="C25" s="7"/>
      <c r="D25" s="7"/>
      <c r="F25" s="7">
        <f t="shared" ref="F25:N25" si="34">+F11/F9</f>
        <v>8.2758620689655171E-2</v>
      </c>
      <c r="G25" s="7">
        <f t="shared" si="34"/>
        <v>9.6528365791701945E-2</v>
      </c>
      <c r="H25" s="7">
        <f t="shared" si="34"/>
        <v>8.5373924553275971E-2</v>
      </c>
      <c r="I25" s="7">
        <f t="shared" si="34"/>
        <v>7.6252723311546838E-2</v>
      </c>
      <c r="J25" s="7">
        <f t="shared" si="34"/>
        <v>7.8413284132841335E-2</v>
      </c>
      <c r="K25" s="7">
        <f t="shared" si="34"/>
        <v>8.5862966175195149E-2</v>
      </c>
      <c r="L25" s="7">
        <f t="shared" si="34"/>
        <v>8.1684747925973203E-2</v>
      </c>
      <c r="M25" s="7">
        <f t="shared" si="34"/>
        <v>0.08</v>
      </c>
      <c r="N25" s="7">
        <f t="shared" si="34"/>
        <v>0.08</v>
      </c>
      <c r="S25" s="12">
        <f>+S11/S9</f>
        <v>9.1011095873332504E-2</v>
      </c>
      <c r="T25" s="12">
        <f>+T11/T9</f>
        <v>4.2847048243078306E-2</v>
      </c>
      <c r="U25" s="12">
        <f>+U11/U9</f>
        <v>7.0112294845954506E-2</v>
      </c>
      <c r="V25" s="12">
        <f>+V11/V9</f>
        <v>8.4028721133320397E-2</v>
      </c>
      <c r="W25" s="12">
        <f t="shared" ref="W25:AG25" si="35">+W11/W9</f>
        <v>0.02</v>
      </c>
      <c r="X25" s="12">
        <f t="shared" si="35"/>
        <v>0.02</v>
      </c>
      <c r="Y25" s="12">
        <f t="shared" si="35"/>
        <v>0.02</v>
      </c>
      <c r="Z25" s="12">
        <f t="shared" si="35"/>
        <v>0.03</v>
      </c>
      <c r="AA25" s="12">
        <f t="shared" si="35"/>
        <v>2.9999999999999995E-2</v>
      </c>
      <c r="AB25" s="12">
        <f t="shared" si="35"/>
        <v>0.03</v>
      </c>
      <c r="AC25" s="12">
        <f t="shared" si="35"/>
        <v>0.03</v>
      </c>
      <c r="AD25" s="12">
        <f t="shared" si="35"/>
        <v>0.03</v>
      </c>
      <c r="AE25" s="12">
        <f t="shared" si="35"/>
        <v>2.9999999999999995E-2</v>
      </c>
      <c r="AF25" s="12">
        <f t="shared" si="35"/>
        <v>0.03</v>
      </c>
      <c r="AG25" s="12">
        <f t="shared" si="35"/>
        <v>0.03</v>
      </c>
      <c r="AH25" s="12"/>
      <c r="AI25" s="1" t="s">
        <v>71</v>
      </c>
      <c r="AJ25" s="3">
        <f>NPV(AJ24,X20:DR20)</f>
        <v>6686.3115880328423</v>
      </c>
    </row>
    <row r="26" spans="2:122" x14ac:dyDescent="0.25">
      <c r="AI26" s="1" t="s">
        <v>72</v>
      </c>
      <c r="AJ26" s="6">
        <f>AJ25/Main!L3</f>
        <v>9.0852280144960567</v>
      </c>
    </row>
    <row r="28" spans="2:122" x14ac:dyDescent="0.25">
      <c r="B28" s="1" t="s">
        <v>57</v>
      </c>
      <c r="F28" s="4"/>
      <c r="J28" s="4">
        <f>+J29+J30-J39</f>
        <v>631</v>
      </c>
      <c r="K28" s="4">
        <f>+K29+K30-K39</f>
        <v>561</v>
      </c>
      <c r="L28" s="4">
        <f>+L29+L30-L39</f>
        <v>544</v>
      </c>
      <c r="U28" s="3">
        <f>+U29+U30-U39</f>
        <v>882</v>
      </c>
      <c r="V28" s="3">
        <f>+V29+V30-V39</f>
        <v>631</v>
      </c>
    </row>
    <row r="29" spans="2:122" x14ac:dyDescent="0.25">
      <c r="B29" s="1" t="s">
        <v>3</v>
      </c>
      <c r="F29" s="4"/>
      <c r="J29" s="4">
        <f>671+92+8+6</f>
        <v>777</v>
      </c>
      <c r="K29" s="4">
        <f>559+134+20</f>
        <v>713</v>
      </c>
      <c r="L29" s="4">
        <f>789+396+10</f>
        <v>1195</v>
      </c>
      <c r="M29" s="4"/>
      <c r="U29" s="3">
        <f>999+541+69+9</f>
        <v>1618</v>
      </c>
      <c r="V29" s="3">
        <f>+J29</f>
        <v>777</v>
      </c>
    </row>
    <row r="30" spans="2:122" x14ac:dyDescent="0.25">
      <c r="B30" s="1" t="s">
        <v>38</v>
      </c>
      <c r="F30" s="4"/>
      <c r="J30" s="4">
        <v>2159</v>
      </c>
      <c r="K30" s="4">
        <v>2362</v>
      </c>
      <c r="L30" s="4">
        <v>1530</v>
      </c>
      <c r="M30" s="4"/>
      <c r="U30" s="3">
        <v>1775</v>
      </c>
      <c r="V30" s="3">
        <f t="shared" ref="V30:V35" si="36">+J30</f>
        <v>2159</v>
      </c>
    </row>
    <row r="31" spans="2:122" x14ac:dyDescent="0.25">
      <c r="B31" s="1" t="s">
        <v>37</v>
      </c>
      <c r="F31" s="4"/>
      <c r="J31" s="4">
        <v>61</v>
      </c>
      <c r="K31" s="4">
        <v>77</v>
      </c>
      <c r="L31" s="4">
        <v>72</v>
      </c>
      <c r="M31" s="4"/>
      <c r="U31" s="3">
        <v>52</v>
      </c>
      <c r="V31" s="3">
        <f t="shared" si="36"/>
        <v>61</v>
      </c>
    </row>
    <row r="32" spans="2:122" x14ac:dyDescent="0.25">
      <c r="B32" s="1" t="s">
        <v>36</v>
      </c>
      <c r="F32" s="4"/>
      <c r="J32" s="4">
        <v>48</v>
      </c>
      <c r="K32" s="4">
        <v>44</v>
      </c>
      <c r="L32" s="4">
        <v>37</v>
      </c>
      <c r="U32" s="3">
        <v>66</v>
      </c>
      <c r="V32" s="3">
        <f t="shared" si="36"/>
        <v>48</v>
      </c>
    </row>
    <row r="33" spans="2:22" x14ac:dyDescent="0.25">
      <c r="B33" s="1" t="s">
        <v>35</v>
      </c>
      <c r="F33" s="4"/>
      <c r="J33" s="4">
        <v>18</v>
      </c>
      <c r="K33" s="4">
        <v>17</v>
      </c>
      <c r="L33" s="4">
        <v>9</v>
      </c>
      <c r="U33" s="3">
        <v>25</v>
      </c>
      <c r="V33" s="3">
        <f t="shared" si="36"/>
        <v>18</v>
      </c>
    </row>
    <row r="34" spans="2:22" x14ac:dyDescent="0.25">
      <c r="B34" s="1" t="s">
        <v>34</v>
      </c>
      <c r="F34" s="4"/>
      <c r="J34" s="4">
        <v>3</v>
      </c>
      <c r="K34" s="4">
        <v>3</v>
      </c>
      <c r="L34" s="4">
        <v>3</v>
      </c>
      <c r="U34" s="3">
        <f>4+5</f>
        <v>9</v>
      </c>
      <c r="V34" s="3">
        <f t="shared" si="36"/>
        <v>3</v>
      </c>
    </row>
    <row r="35" spans="2:22" x14ac:dyDescent="0.25">
      <c r="B35" s="1" t="s">
        <v>33</v>
      </c>
      <c r="F35" s="4"/>
      <c r="J35" s="4">
        <v>60</v>
      </c>
      <c r="K35" s="4">
        <v>61</v>
      </c>
      <c r="L35" s="4">
        <v>61</v>
      </c>
      <c r="U35" s="3">
        <v>22</v>
      </c>
      <c r="V35" s="3">
        <f t="shared" si="36"/>
        <v>60</v>
      </c>
    </row>
    <row r="36" spans="2:22" x14ac:dyDescent="0.25">
      <c r="B36" s="1" t="s">
        <v>32</v>
      </c>
      <c r="F36" s="4"/>
      <c r="J36" s="4">
        <f>SUM(J29:J35)</f>
        <v>3126</v>
      </c>
      <c r="K36" s="4">
        <f>SUM(K29:K35)</f>
        <v>3277</v>
      </c>
      <c r="L36" s="4">
        <f>SUM(L29:L35)</f>
        <v>2907</v>
      </c>
      <c r="U36" s="3">
        <f>SUM(U29:U35)</f>
        <v>3567</v>
      </c>
      <c r="V36" s="3">
        <f>SUM(V29:V35)</f>
        <v>3126</v>
      </c>
    </row>
    <row r="38" spans="2:22" s="3" customFormat="1" x14ac:dyDescent="0.25">
      <c r="B38" s="3" t="s">
        <v>41</v>
      </c>
      <c r="C38" s="4"/>
      <c r="D38" s="4"/>
      <c r="E38" s="4"/>
      <c r="F38" s="4"/>
      <c r="G38" s="4"/>
      <c r="H38" s="4"/>
      <c r="I38" s="4"/>
      <c r="J38" s="4">
        <v>92</v>
      </c>
      <c r="K38" s="4">
        <v>102</v>
      </c>
      <c r="L38" s="4">
        <v>86</v>
      </c>
      <c r="M38" s="4"/>
      <c r="N38" s="4"/>
      <c r="U38" s="3">
        <v>64</v>
      </c>
      <c r="V38" s="3">
        <f t="shared" ref="V38:V42" si="37">+J38</f>
        <v>92</v>
      </c>
    </row>
    <row r="39" spans="2:22" s="3" customFormat="1" x14ac:dyDescent="0.25">
      <c r="B39" s="3" t="s">
        <v>4</v>
      </c>
      <c r="C39" s="4"/>
      <c r="D39" s="4"/>
      <c r="E39" s="4"/>
      <c r="F39" s="4"/>
      <c r="G39" s="4"/>
      <c r="H39" s="4"/>
      <c r="I39" s="4"/>
      <c r="J39" s="4">
        <f>432+1492+378+3</f>
        <v>2305</v>
      </c>
      <c r="K39" s="4">
        <f>946+1187+3+378</f>
        <v>2514</v>
      </c>
      <c r="L39" s="4">
        <f>550+1189+5+437</f>
        <v>2181</v>
      </c>
      <c r="M39" s="4"/>
      <c r="N39" s="4"/>
      <c r="U39" s="3">
        <f>1+2134+376</f>
        <v>2511</v>
      </c>
      <c r="V39" s="3">
        <f t="shared" si="37"/>
        <v>2305</v>
      </c>
    </row>
    <row r="40" spans="2:22" s="3" customFormat="1" x14ac:dyDescent="0.25">
      <c r="B40" s="3" t="s">
        <v>42</v>
      </c>
      <c r="C40" s="4"/>
      <c r="D40" s="4"/>
      <c r="E40" s="4"/>
      <c r="F40" s="4"/>
      <c r="G40" s="4"/>
      <c r="H40" s="4"/>
      <c r="I40" s="4"/>
      <c r="J40" s="4">
        <f>2+13</f>
        <v>15</v>
      </c>
      <c r="K40" s="4">
        <f>2+13</f>
        <v>15</v>
      </c>
      <c r="L40" s="4">
        <f>2+6</f>
        <v>8</v>
      </c>
      <c r="M40" s="4"/>
      <c r="N40" s="4"/>
      <c r="U40" s="3">
        <f>5+19</f>
        <v>24</v>
      </c>
      <c r="V40" s="3">
        <f t="shared" si="37"/>
        <v>15</v>
      </c>
    </row>
    <row r="41" spans="2:22" s="3" customFormat="1" x14ac:dyDescent="0.25">
      <c r="B41" s="3" t="s">
        <v>33</v>
      </c>
      <c r="C41" s="4"/>
      <c r="D41" s="4"/>
      <c r="E41" s="4"/>
      <c r="F41" s="4"/>
      <c r="G41" s="4"/>
      <c r="H41" s="4"/>
      <c r="I41" s="4"/>
      <c r="J41" s="4">
        <v>1</v>
      </c>
      <c r="K41" s="4">
        <v>1</v>
      </c>
      <c r="L41" s="4">
        <v>1</v>
      </c>
      <c r="M41" s="4"/>
      <c r="N41" s="4"/>
      <c r="U41" s="3">
        <v>1</v>
      </c>
      <c r="V41" s="3">
        <f t="shared" si="37"/>
        <v>1</v>
      </c>
    </row>
    <row r="42" spans="2:22" s="3" customFormat="1" x14ac:dyDescent="0.25">
      <c r="B42" s="3" t="s">
        <v>40</v>
      </c>
      <c r="C42" s="4"/>
      <c r="D42" s="4"/>
      <c r="E42" s="4"/>
      <c r="F42" s="4"/>
      <c r="G42" s="4"/>
      <c r="H42" s="4"/>
      <c r="I42" s="4"/>
      <c r="J42" s="4">
        <v>713</v>
      </c>
      <c r="K42" s="4">
        <v>645</v>
      </c>
      <c r="L42" s="4">
        <v>631</v>
      </c>
      <c r="M42" s="4"/>
      <c r="N42" s="4"/>
      <c r="U42" s="3">
        <v>967</v>
      </c>
      <c r="V42" s="3">
        <f t="shared" si="37"/>
        <v>713</v>
      </c>
    </row>
    <row r="43" spans="2:22" s="3" customFormat="1" x14ac:dyDescent="0.25">
      <c r="B43" s="3" t="s">
        <v>39</v>
      </c>
      <c r="C43" s="4"/>
      <c r="D43" s="4"/>
      <c r="E43" s="4"/>
      <c r="F43" s="4"/>
      <c r="G43" s="4"/>
      <c r="H43" s="4"/>
      <c r="I43" s="4"/>
      <c r="J43" s="4">
        <f t="shared" ref="J43" si="38">SUM(J38:J42)</f>
        <v>3126</v>
      </c>
      <c r="K43" s="4">
        <f>SUM(K38:K42)</f>
        <v>3277</v>
      </c>
      <c r="L43" s="4">
        <f t="shared" ref="L43" si="39">SUM(L38:L42)</f>
        <v>2907</v>
      </c>
      <c r="M43" s="4"/>
      <c r="N43" s="4"/>
      <c r="U43" s="3">
        <f>SUM(U38:U42)</f>
        <v>3567</v>
      </c>
      <c r="V43" s="3">
        <f>SUM(V38:V42)</f>
        <v>3126</v>
      </c>
    </row>
    <row r="45" spans="2:22" x14ac:dyDescent="0.25">
      <c r="B45" s="1" t="s">
        <v>31</v>
      </c>
      <c r="K45" s="4">
        <f>+K20</f>
        <v>-86</v>
      </c>
      <c r="L45" s="4">
        <f>+L20</f>
        <v>-33</v>
      </c>
      <c r="U45" s="4">
        <f t="shared" ref="U45:V45" si="40">+U20</f>
        <v>-583</v>
      </c>
      <c r="V45" s="4">
        <f t="shared" si="40"/>
        <v>-436</v>
      </c>
    </row>
    <row r="46" spans="2:22" x14ac:dyDescent="0.25">
      <c r="B46" s="1" t="s">
        <v>30</v>
      </c>
      <c r="K46" s="2">
        <v>-85</v>
      </c>
      <c r="L46" s="2">
        <f>-114-K46</f>
        <v>-29</v>
      </c>
      <c r="U46" s="3">
        <v>-275</v>
      </c>
      <c r="V46" s="1">
        <v>-392</v>
      </c>
    </row>
    <row r="47" spans="2:22" x14ac:dyDescent="0.25">
      <c r="B47" s="1" t="s">
        <v>43</v>
      </c>
      <c r="K47" s="2">
        <v>10</v>
      </c>
      <c r="L47" s="2">
        <f>22-K47</f>
        <v>12</v>
      </c>
      <c r="U47" s="3">
        <v>66</v>
      </c>
      <c r="V47" s="1">
        <v>48</v>
      </c>
    </row>
    <row r="48" spans="2:22" x14ac:dyDescent="0.25">
      <c r="B48" s="1" t="s">
        <v>44</v>
      </c>
      <c r="K48" s="2">
        <v>1</v>
      </c>
      <c r="L48" s="2">
        <f>1-K48</f>
        <v>0</v>
      </c>
      <c r="U48" s="3">
        <v>7</v>
      </c>
      <c r="V48" s="1">
        <v>5</v>
      </c>
    </row>
    <row r="49" spans="2:22" x14ac:dyDescent="0.25">
      <c r="B49" s="1" t="s">
        <v>45</v>
      </c>
      <c r="K49" s="2">
        <v>14</v>
      </c>
      <c r="L49" s="2">
        <f>27-K49</f>
        <v>13</v>
      </c>
      <c r="U49" s="3">
        <v>126</v>
      </c>
      <c r="V49" s="1">
        <v>114</v>
      </c>
    </row>
    <row r="50" spans="2:22" x14ac:dyDescent="0.25">
      <c r="B50" s="1" t="s">
        <v>46</v>
      </c>
      <c r="K50" s="2">
        <v>13</v>
      </c>
      <c r="L50" s="2">
        <f>34-K50</f>
        <v>21</v>
      </c>
      <c r="U50" s="3">
        <v>65</v>
      </c>
      <c r="V50" s="1">
        <v>57</v>
      </c>
    </row>
    <row r="51" spans="2:22" x14ac:dyDescent="0.25">
      <c r="B51" s="1" t="s">
        <v>47</v>
      </c>
      <c r="K51" s="2">
        <v>3</v>
      </c>
      <c r="L51" s="2">
        <f>3-K51</f>
        <v>0</v>
      </c>
      <c r="U51" s="3">
        <v>1</v>
      </c>
      <c r="V51" s="1">
        <v>7</v>
      </c>
    </row>
    <row r="52" spans="2:22" x14ac:dyDescent="0.25">
      <c r="B52" s="1" t="s">
        <v>33</v>
      </c>
      <c r="K52" s="2">
        <v>0</v>
      </c>
      <c r="L52" s="2">
        <f>4-K52</f>
        <v>4</v>
      </c>
      <c r="U52" s="3">
        <v>13</v>
      </c>
      <c r="V52" s="1">
        <f>7-14+2</f>
        <v>-5</v>
      </c>
    </row>
    <row r="53" spans="2:22" x14ac:dyDescent="0.25">
      <c r="B53" s="1" t="s">
        <v>58</v>
      </c>
      <c r="K53" s="2">
        <v>0</v>
      </c>
      <c r="L53" s="2">
        <f>-10-K53</f>
        <v>-10</v>
      </c>
      <c r="U53" s="3">
        <v>-216</v>
      </c>
      <c r="V53" s="1">
        <v>0</v>
      </c>
    </row>
    <row r="54" spans="2:22" x14ac:dyDescent="0.25">
      <c r="B54" s="1" t="s">
        <v>48</v>
      </c>
      <c r="K54" s="2">
        <v>-14</v>
      </c>
      <c r="L54" s="2">
        <f>-4-K54</f>
        <v>10</v>
      </c>
      <c r="U54" s="3">
        <v>21</v>
      </c>
      <c r="V54" s="1">
        <v>3</v>
      </c>
    </row>
    <row r="55" spans="2:22" ht="13" x14ac:dyDescent="0.3">
      <c r="B55" s="1" t="s">
        <v>49</v>
      </c>
      <c r="K55" s="10">
        <v>-212</v>
      </c>
      <c r="L55" s="10">
        <f>593-K55</f>
        <v>805</v>
      </c>
      <c r="U55" s="3">
        <v>2613</v>
      </c>
      <c r="V55" s="1">
        <v>-449</v>
      </c>
    </row>
    <row r="56" spans="2:22" x14ac:dyDescent="0.25">
      <c r="B56" s="1" t="s">
        <v>50</v>
      </c>
      <c r="K56" s="2">
        <v>-16</v>
      </c>
      <c r="L56" s="2">
        <f>-11-K56</f>
        <v>5</v>
      </c>
      <c r="U56" s="3">
        <v>-19</v>
      </c>
      <c r="V56" s="1">
        <v>-10</v>
      </c>
    </row>
    <row r="57" spans="2:22" x14ac:dyDescent="0.25">
      <c r="B57" s="1" t="s">
        <v>41</v>
      </c>
      <c r="K57" s="2">
        <v>8</v>
      </c>
      <c r="L57" s="2">
        <f>-2-K57</f>
        <v>-10</v>
      </c>
      <c r="U57" s="3">
        <v>-38</v>
      </c>
      <c r="V57" s="1">
        <v>31</v>
      </c>
    </row>
    <row r="58" spans="2:22" x14ac:dyDescent="0.25">
      <c r="B58" s="1" t="s">
        <v>59</v>
      </c>
      <c r="K58" s="2">
        <v>0</v>
      </c>
      <c r="L58" s="2">
        <f>2-K58</f>
        <v>2</v>
      </c>
      <c r="U58" s="3">
        <v>-10</v>
      </c>
      <c r="V58" s="1">
        <v>2</v>
      </c>
    </row>
    <row r="59" spans="2:22" x14ac:dyDescent="0.25">
      <c r="B59" s="1" t="s">
        <v>42</v>
      </c>
      <c r="K59" s="2">
        <v>-1</v>
      </c>
      <c r="L59" s="2">
        <f>-1-K59</f>
        <v>0</v>
      </c>
      <c r="U59" s="3">
        <v>-10</v>
      </c>
      <c r="V59" s="1">
        <v>-6</v>
      </c>
    </row>
    <row r="60" spans="2:22" x14ac:dyDescent="0.25">
      <c r="B60" s="1" t="s">
        <v>28</v>
      </c>
      <c r="K60" s="4">
        <f>SUM(K46:K59)</f>
        <v>-279</v>
      </c>
      <c r="L60" s="4">
        <f>SUM(L46:L59)</f>
        <v>823</v>
      </c>
      <c r="S60" s="3">
        <v>-5794</v>
      </c>
      <c r="T60" s="3">
        <v>730</v>
      </c>
      <c r="U60" s="3">
        <f>SUM(U46:U59)</f>
        <v>2344</v>
      </c>
      <c r="V60" s="3">
        <f>SUM(V46:V59)</f>
        <v>-595</v>
      </c>
    </row>
    <row r="62" spans="2:22" x14ac:dyDescent="0.25">
      <c r="B62" s="1" t="s">
        <v>36</v>
      </c>
      <c r="K62" s="2">
        <v>-4</v>
      </c>
      <c r="L62" s="2">
        <f>-6-K62</f>
        <v>-2</v>
      </c>
      <c r="U62" s="1">
        <v>-37</v>
      </c>
      <c r="V62" s="1">
        <v>-25</v>
      </c>
    </row>
    <row r="63" spans="2:22" x14ac:dyDescent="0.25">
      <c r="B63" s="1" t="s">
        <v>51</v>
      </c>
      <c r="K63" s="2">
        <v>6</v>
      </c>
      <c r="L63" s="2">
        <f>6-K63</f>
        <v>0</v>
      </c>
      <c r="U63" s="1">
        <f>80+1</f>
        <v>81</v>
      </c>
      <c r="V63" s="1">
        <f>55-2</f>
        <v>53</v>
      </c>
    </row>
    <row r="64" spans="2:22" x14ac:dyDescent="0.25">
      <c r="B64" s="1" t="s">
        <v>52</v>
      </c>
      <c r="K64" s="2">
        <f>+K62+K63</f>
        <v>2</v>
      </c>
      <c r="L64" s="2">
        <f>+L62+L63</f>
        <v>-2</v>
      </c>
      <c r="U64" s="1">
        <f>SUM(U62:U63)</f>
        <v>44</v>
      </c>
      <c r="V64" s="1">
        <f>SUM(V62:V63)</f>
        <v>28</v>
      </c>
    </row>
    <row r="66" spans="2:22" x14ac:dyDescent="0.25">
      <c r="B66" s="1" t="s">
        <v>55</v>
      </c>
      <c r="K66" s="2">
        <v>1</v>
      </c>
      <c r="L66" s="2">
        <f>1-K66</f>
        <v>0</v>
      </c>
      <c r="U66" s="1">
        <f>3+2</f>
        <v>5</v>
      </c>
      <c r="V66" s="1">
        <v>5</v>
      </c>
    </row>
    <row r="67" spans="2:22" x14ac:dyDescent="0.25">
      <c r="B67" s="1" t="s">
        <v>4</v>
      </c>
      <c r="K67" s="2">
        <f>576-362-8</f>
        <v>206</v>
      </c>
      <c r="L67" s="2">
        <f>75+671-853-16-K67</f>
        <v>-329</v>
      </c>
      <c r="U67" s="3">
        <f>-362-2515-1-4+238</f>
        <v>-2644</v>
      </c>
      <c r="V67" s="3">
        <f>2+498-715</f>
        <v>-215</v>
      </c>
    </row>
    <row r="68" spans="2:22" x14ac:dyDescent="0.25">
      <c r="B68" s="1" t="s">
        <v>54</v>
      </c>
      <c r="K68" s="2">
        <f>+K66+K67</f>
        <v>207</v>
      </c>
      <c r="L68" s="2">
        <f>+L66+L67</f>
        <v>-329</v>
      </c>
      <c r="U68" s="3">
        <f>SUM(U66:U67)</f>
        <v>-2639</v>
      </c>
      <c r="V68" s="3">
        <f>SUM(V66:V67)</f>
        <v>-210</v>
      </c>
    </row>
    <row r="69" spans="2:22" x14ac:dyDescent="0.25">
      <c r="B69" s="1" t="s">
        <v>53</v>
      </c>
      <c r="K69" s="4">
        <f>+K68+K64+K60</f>
        <v>-70</v>
      </c>
      <c r="L69" s="4">
        <f>+L68+L64+L60</f>
        <v>492</v>
      </c>
      <c r="U69" s="4">
        <f>+U68+U64+U60</f>
        <v>-251</v>
      </c>
      <c r="V69" s="4">
        <f>+V68+V64+V60</f>
        <v>-777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2025-07-21T13:19:37Z</dcterms:created>
  <dcterms:modified xsi:type="dcterms:W3CDTF">2025-09-18T18:37:52Z</dcterms:modified>
</cp:coreProperties>
</file>