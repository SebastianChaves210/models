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Consumer/"/>
    </mc:Choice>
  </mc:AlternateContent>
  <xr:revisionPtr revIDLastSave="0" documentId="13_ncr:1_{26350EDB-9A9B-4946-A13F-7D2C495A165F}" xr6:coauthVersionLast="47" xr6:coauthVersionMax="47" xr10:uidLastSave="{00000000-0000-0000-0000-000000000000}"/>
  <bookViews>
    <workbookView xWindow="50490" yWindow="680" windowWidth="24340" windowHeight="15680" xr2:uid="{319C79D3-530A-422D-B7D4-1569BBD8871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76" i="2" l="1"/>
  <c r="AJ20" i="2"/>
  <c r="AJ23" i="2" s="1"/>
  <c r="AJ45" i="2" s="1"/>
  <c r="AJ83" i="2"/>
  <c r="AJ84" i="2" s="1"/>
  <c r="AJ79" i="2"/>
  <c r="AJ80" i="2" s="1"/>
  <c r="AJ73" i="2"/>
  <c r="AJ74" i="2" s="1"/>
  <c r="AJ95" i="2" s="1"/>
  <c r="AJ64" i="2"/>
  <c r="AJ48" i="2"/>
  <c r="AJ47" i="2" s="1"/>
  <c r="AJ31" i="2"/>
  <c r="AJ29" i="2"/>
  <c r="BS88" i="2"/>
  <c r="BS85" i="2"/>
  <c r="BS82" i="2"/>
  <c r="BS78" i="2"/>
  <c r="BS77" i="2"/>
  <c r="BS76" i="2"/>
  <c r="BS72" i="2"/>
  <c r="BS71" i="2"/>
  <c r="BS70" i="2"/>
  <c r="BS69" i="2"/>
  <c r="BS68" i="2"/>
  <c r="BS67" i="2"/>
  <c r="BS63" i="2"/>
  <c r="BS62" i="2"/>
  <c r="BS61" i="2"/>
  <c r="BS60" i="2"/>
  <c r="BS59" i="2"/>
  <c r="BS58" i="2"/>
  <c r="BS57" i="2"/>
  <c r="BS64" i="2" s="1"/>
  <c r="BS54" i="2"/>
  <c r="BS53" i="2"/>
  <c r="BS52" i="2"/>
  <c r="BS51" i="2"/>
  <c r="BS50" i="2"/>
  <c r="BS49" i="2"/>
  <c r="BT63" i="2"/>
  <c r="BT62" i="2"/>
  <c r="BT61" i="2"/>
  <c r="BT60" i="2"/>
  <c r="BT59" i="2"/>
  <c r="BT58" i="2"/>
  <c r="BT57" i="2"/>
  <c r="BT64" i="2" s="1"/>
  <c r="BT54" i="2"/>
  <c r="BT53" i="2"/>
  <c r="BT52" i="2"/>
  <c r="BT51" i="2"/>
  <c r="BT50" i="2"/>
  <c r="BT49" i="2"/>
  <c r="BT72" i="2"/>
  <c r="BT71" i="2"/>
  <c r="BT70" i="2"/>
  <c r="BT69" i="2"/>
  <c r="BT68" i="2"/>
  <c r="BT67" i="2"/>
  <c r="BT85" i="2"/>
  <c r="BT82" i="2"/>
  <c r="BT78" i="2"/>
  <c r="BT77" i="2"/>
  <c r="BT76" i="2"/>
  <c r="BT88" i="2"/>
  <c r="BU88" i="2"/>
  <c r="BV34" i="2"/>
  <c r="BU34" i="2"/>
  <c r="BV9" i="2"/>
  <c r="BW9" i="2" s="1"/>
  <c r="BX9" i="2" s="1"/>
  <c r="BY9" i="2" s="1"/>
  <c r="BZ9" i="2" s="1"/>
  <c r="CA9" i="2" s="1"/>
  <c r="AL6" i="2"/>
  <c r="AK6" i="2"/>
  <c r="AL3" i="2"/>
  <c r="AK3" i="2"/>
  <c r="AL9" i="2"/>
  <c r="AK9" i="2"/>
  <c r="AI83" i="2"/>
  <c r="AI84" i="2"/>
  <c r="AI79" i="2"/>
  <c r="AI80" i="2" s="1"/>
  <c r="AI73" i="2"/>
  <c r="AI20" i="2"/>
  <c r="AI23" i="2" s="1"/>
  <c r="AL27" i="2"/>
  <c r="AK27" i="2"/>
  <c r="AK34" i="2"/>
  <c r="AL34" i="2" s="1"/>
  <c r="AI74" i="2"/>
  <c r="AI95" i="2" s="1"/>
  <c r="AI64" i="2"/>
  <c r="AI48" i="2"/>
  <c r="AI55" i="2" s="1"/>
  <c r="AI47" i="2"/>
  <c r="BU3" i="2"/>
  <c r="BU6" i="2"/>
  <c r="BT3" i="2"/>
  <c r="BT6" i="2"/>
  <c r="BS6" i="2"/>
  <c r="BS3" i="2"/>
  <c r="BS102" i="2"/>
  <c r="BT102" i="2"/>
  <c r="BT103" i="2" s="1"/>
  <c r="BU102" i="2"/>
  <c r="BU103" i="2" s="1"/>
  <c r="BU85" i="2"/>
  <c r="BU82" i="2"/>
  <c r="BU78" i="2"/>
  <c r="BU77" i="2"/>
  <c r="BU76" i="2"/>
  <c r="BU72" i="2"/>
  <c r="BU71" i="2"/>
  <c r="BU70" i="2"/>
  <c r="BU69" i="2"/>
  <c r="BU68" i="2"/>
  <c r="BU67" i="2"/>
  <c r="BU63" i="2"/>
  <c r="BU62" i="2"/>
  <c r="BU61" i="2"/>
  <c r="BU60" i="2"/>
  <c r="BU59" i="2"/>
  <c r="BU58" i="2"/>
  <c r="BU57" i="2"/>
  <c r="BU54" i="2"/>
  <c r="BU53" i="2"/>
  <c r="BU52" i="2"/>
  <c r="BU51" i="2"/>
  <c r="BU50" i="2"/>
  <c r="BU49" i="2"/>
  <c r="BS19" i="2"/>
  <c r="BS18" i="2"/>
  <c r="BT19" i="2"/>
  <c r="BT18" i="2"/>
  <c r="BU19" i="2"/>
  <c r="BU18" i="2"/>
  <c r="BT16" i="2"/>
  <c r="BT15" i="2"/>
  <c r="BT14" i="2"/>
  <c r="BT13" i="2"/>
  <c r="BT12" i="2"/>
  <c r="BT11" i="2"/>
  <c r="BT9" i="2"/>
  <c r="BU16" i="2"/>
  <c r="BU15" i="2"/>
  <c r="BU14" i="2"/>
  <c r="BU13" i="2"/>
  <c r="BU12" i="2"/>
  <c r="BU11" i="2"/>
  <c r="BU9" i="2"/>
  <c r="BS11" i="2"/>
  <c r="AH83" i="2"/>
  <c r="AH84" i="2" s="1"/>
  <c r="AH79" i="2"/>
  <c r="AH80" i="2" s="1"/>
  <c r="AH73" i="2"/>
  <c r="AH74" i="2" s="1"/>
  <c r="AH95" i="2" s="1"/>
  <c r="AH64" i="2"/>
  <c r="AH48" i="2"/>
  <c r="AH47" i="2" s="1"/>
  <c r="AI26" i="2"/>
  <c r="AI25" i="2"/>
  <c r="AI24" i="2"/>
  <c r="AJ27" i="2"/>
  <c r="AH29" i="2"/>
  <c r="AH27" i="2"/>
  <c r="AG83" i="2"/>
  <c r="AG84" i="2" s="1"/>
  <c r="AG79" i="2"/>
  <c r="AG80" i="2" s="1"/>
  <c r="AG73" i="2"/>
  <c r="AG74" i="2" s="1"/>
  <c r="AG95" i="2" s="1"/>
  <c r="AJ96" i="2" s="1"/>
  <c r="AG64" i="2"/>
  <c r="AG48" i="2"/>
  <c r="AG47" i="2" s="1"/>
  <c r="AG31" i="2"/>
  <c r="AG29" i="2"/>
  <c r="AG27" i="2"/>
  <c r="AF64" i="2"/>
  <c r="AJ44" i="2"/>
  <c r="AI44" i="2"/>
  <c r="AL43" i="2"/>
  <c r="AK43" i="2"/>
  <c r="AJ43" i="2"/>
  <c r="AI43" i="2"/>
  <c r="AH43" i="2"/>
  <c r="AG43" i="2"/>
  <c r="AL42" i="2"/>
  <c r="AK42" i="2"/>
  <c r="AJ42" i="2"/>
  <c r="AI42" i="2"/>
  <c r="AH42" i="2"/>
  <c r="AG42" i="2"/>
  <c r="AL41" i="2"/>
  <c r="AK41" i="2"/>
  <c r="AJ41" i="2"/>
  <c r="AI41" i="2"/>
  <c r="AH41" i="2"/>
  <c r="AG41" i="2"/>
  <c r="AL40" i="2"/>
  <c r="AK40" i="2"/>
  <c r="AJ40" i="2"/>
  <c r="AI40" i="2"/>
  <c r="AH40" i="2"/>
  <c r="AG40" i="2"/>
  <c r="AJ39" i="2"/>
  <c r="AI39" i="2"/>
  <c r="AJ38" i="2"/>
  <c r="AI38" i="2"/>
  <c r="BU64" i="2" l="1"/>
  <c r="BU48" i="2"/>
  <c r="BU55" i="2" s="1"/>
  <c r="AL76" i="2"/>
  <c r="BV76" i="2" s="1"/>
  <c r="AI86" i="2"/>
  <c r="AJ55" i="2"/>
  <c r="AJ86" i="2"/>
  <c r="BU47" i="2"/>
  <c r="BU20" i="2"/>
  <c r="BT20" i="2"/>
  <c r="AG86" i="2"/>
  <c r="AG55" i="2"/>
  <c r="AI27" i="2"/>
  <c r="AH55" i="2"/>
  <c r="AH86" i="2"/>
  <c r="AF83" i="2" l="1"/>
  <c r="AF84" i="2" s="1"/>
  <c r="AF79" i="2"/>
  <c r="AF80" i="2" s="1"/>
  <c r="AF73" i="2"/>
  <c r="AF74" i="2" s="1"/>
  <c r="AF95" i="2" s="1"/>
  <c r="AI96" i="2" s="1"/>
  <c r="AF48" i="2"/>
  <c r="AF55" i="2"/>
  <c r="AF31" i="2"/>
  <c r="AF29" i="2"/>
  <c r="AF26" i="2"/>
  <c r="AF27" i="2" s="1"/>
  <c r="Q83" i="2"/>
  <c r="Q84" i="2" s="1"/>
  <c r="Q79" i="2"/>
  <c r="Q80" i="2" s="1"/>
  <c r="Q73" i="2"/>
  <c r="Q74" i="2" s="1"/>
  <c r="Q95" i="2" s="1"/>
  <c r="Q64" i="2"/>
  <c r="Q48" i="2"/>
  <c r="Q55" i="2" s="1"/>
  <c r="P83" i="2"/>
  <c r="P84" i="2" s="1"/>
  <c r="P79" i="2"/>
  <c r="P80" i="2" s="1"/>
  <c r="P73" i="2"/>
  <c r="P74" i="2" s="1"/>
  <c r="P95" i="2" s="1"/>
  <c r="P48" i="2"/>
  <c r="P55" i="2" s="1"/>
  <c r="P64" i="2"/>
  <c r="O83" i="2"/>
  <c r="O84" i="2" s="1"/>
  <c r="O79" i="2"/>
  <c r="O80" i="2" s="1"/>
  <c r="O73" i="2"/>
  <c r="O74" i="2" s="1"/>
  <c r="O95" i="2" s="1"/>
  <c r="O48" i="2"/>
  <c r="O55" i="2" s="1"/>
  <c r="O64" i="2"/>
  <c r="AF44" i="2"/>
  <c r="AF43" i="2"/>
  <c r="AF42" i="2"/>
  <c r="AF41" i="2"/>
  <c r="AF40" i="2"/>
  <c r="AF38" i="2"/>
  <c r="AE83" i="2"/>
  <c r="AE79" i="2"/>
  <c r="AE73" i="2"/>
  <c r="AD83" i="2"/>
  <c r="AD84" i="2" s="1"/>
  <c r="AD79" i="2"/>
  <c r="AD80" i="2" s="1"/>
  <c r="AD73" i="2"/>
  <c r="AD74" i="2" s="1"/>
  <c r="AD95" i="2" s="1"/>
  <c r="AD29" i="2"/>
  <c r="AD64" i="2"/>
  <c r="AD48" i="2"/>
  <c r="AE20" i="2"/>
  <c r="AD20" i="2"/>
  <c r="AC20" i="2"/>
  <c r="AC23" i="2" s="1"/>
  <c r="AB20" i="2"/>
  <c r="AA20" i="2"/>
  <c r="Z20" i="2"/>
  <c r="AB83" i="2"/>
  <c r="AB84" i="2" s="1"/>
  <c r="AB79" i="2"/>
  <c r="AB80" i="2" s="1"/>
  <c r="AC83" i="2"/>
  <c r="AC84" i="2" s="1"/>
  <c r="AC79" i="2"/>
  <c r="AC80" i="2" s="1"/>
  <c r="AC73" i="2"/>
  <c r="AC74" i="2" s="1"/>
  <c r="AC95" i="2" s="1"/>
  <c r="AC29" i="2"/>
  <c r="AC64" i="2"/>
  <c r="AC48" i="2"/>
  <c r="AC55" i="2" s="1"/>
  <c r="AE39" i="2"/>
  <c r="AE38" i="2"/>
  <c r="AD39" i="2"/>
  <c r="AD38" i="2"/>
  <c r="AC39" i="2"/>
  <c r="AC38" i="2"/>
  <c r="AC31" i="2"/>
  <c r="AE44" i="2"/>
  <c r="AE43" i="2"/>
  <c r="AE42" i="2"/>
  <c r="AE41" i="2"/>
  <c r="AE40" i="2"/>
  <c r="AE64" i="2"/>
  <c r="AE48" i="2"/>
  <c r="AE55" i="2" s="1"/>
  <c r="AE31" i="2"/>
  <c r="AE29" i="2"/>
  <c r="AE27" i="2"/>
  <c r="AB73" i="2"/>
  <c r="AB74" i="2" s="1"/>
  <c r="AB95" i="2" s="1"/>
  <c r="AB64" i="2"/>
  <c r="AB48" i="2"/>
  <c r="AB55" i="2" s="1"/>
  <c r="AB39" i="2"/>
  <c r="AB38" i="2"/>
  <c r="AB31" i="2"/>
  <c r="AB29" i="2"/>
  <c r="R83" i="2"/>
  <c r="R84" i="2" s="1"/>
  <c r="R79" i="2"/>
  <c r="R80" i="2" s="1"/>
  <c r="R73" i="2"/>
  <c r="R74" i="2" s="1"/>
  <c r="R95" i="2" s="1"/>
  <c r="R64" i="2"/>
  <c r="R48" i="2"/>
  <c r="R47" i="2" s="1"/>
  <c r="S83" i="2"/>
  <c r="S84" i="2" s="1"/>
  <c r="S79" i="2"/>
  <c r="S80" i="2" s="1"/>
  <c r="S73" i="2"/>
  <c r="S74" i="2" s="1"/>
  <c r="S95" i="2" s="1"/>
  <c r="S64" i="2"/>
  <c r="S48" i="2"/>
  <c r="S55" i="2" s="1"/>
  <c r="T83" i="2"/>
  <c r="T84" i="2" s="1"/>
  <c r="T79" i="2"/>
  <c r="T80" i="2" s="1"/>
  <c r="T73" i="2"/>
  <c r="T74" i="2" s="1"/>
  <c r="T95" i="2" s="1"/>
  <c r="T64" i="2"/>
  <c r="T48" i="2"/>
  <c r="T55" i="2" s="1"/>
  <c r="T47" i="2"/>
  <c r="U83" i="2"/>
  <c r="U84" i="2" s="1"/>
  <c r="U79" i="2"/>
  <c r="U80" i="2" s="1"/>
  <c r="U73" i="2"/>
  <c r="U74" i="2" s="1"/>
  <c r="U95" i="2" s="1"/>
  <c r="U64" i="2"/>
  <c r="U48" i="2"/>
  <c r="U47" i="2" s="1"/>
  <c r="V83" i="2"/>
  <c r="V84" i="2" s="1"/>
  <c r="V79" i="2"/>
  <c r="V80" i="2" s="1"/>
  <c r="V73" i="2"/>
  <c r="V74" i="2" s="1"/>
  <c r="V95" i="2" s="1"/>
  <c r="V64" i="2"/>
  <c r="V48" i="2"/>
  <c r="V47" i="2" s="1"/>
  <c r="Z83" i="2"/>
  <c r="Z84" i="2" s="1"/>
  <c r="Z79" i="2"/>
  <c r="Z80" i="2" s="1"/>
  <c r="Z73" i="2"/>
  <c r="Z74" i="2" s="1"/>
  <c r="Z95" i="2" s="1"/>
  <c r="AA83" i="2"/>
  <c r="AA79" i="2"/>
  <c r="AA73" i="2"/>
  <c r="AA64" i="2"/>
  <c r="AA53" i="2"/>
  <c r="AA48" i="2"/>
  <c r="Q47" i="2" l="1"/>
  <c r="AE80" i="2"/>
  <c r="BU79" i="2"/>
  <c r="BU80" i="2" s="1"/>
  <c r="AA74" i="2"/>
  <c r="AA95" i="2" s="1"/>
  <c r="BT73" i="2"/>
  <c r="BT74" i="2" s="1"/>
  <c r="BT95" i="2" s="1"/>
  <c r="AA80" i="2"/>
  <c r="BT79" i="2"/>
  <c r="BT80" i="2" s="1"/>
  <c r="AD55" i="2"/>
  <c r="BT48" i="2"/>
  <c r="AA84" i="2"/>
  <c r="BT83" i="2"/>
  <c r="BT84" i="2" s="1"/>
  <c r="AE84" i="2"/>
  <c r="BU83" i="2"/>
  <c r="BU84" i="2" s="1"/>
  <c r="AE74" i="2"/>
  <c r="AE95" i="2" s="1"/>
  <c r="AH96" i="2" s="1"/>
  <c r="BU73" i="2"/>
  <c r="BU74" i="2" s="1"/>
  <c r="BU95" i="2" s="1"/>
  <c r="AL44" i="2"/>
  <c r="AH44" i="2"/>
  <c r="AL38" i="2"/>
  <c r="AH38" i="2"/>
  <c r="AL39" i="2"/>
  <c r="AH39" i="2"/>
  <c r="AG38" i="2"/>
  <c r="AK38" i="2"/>
  <c r="AK39" i="2"/>
  <c r="AG39" i="2"/>
  <c r="AK44" i="2"/>
  <c r="AG44" i="2"/>
  <c r="AF96" i="2"/>
  <c r="AD47" i="2"/>
  <c r="AF86" i="2"/>
  <c r="AH20" i="2"/>
  <c r="AF47" i="2"/>
  <c r="AG20" i="2"/>
  <c r="P47" i="2"/>
  <c r="AE36" i="2"/>
  <c r="AA55" i="2"/>
  <c r="AF20" i="2"/>
  <c r="AF39" i="2"/>
  <c r="S96" i="2"/>
  <c r="AC86" i="2"/>
  <c r="U96" i="2"/>
  <c r="P86" i="2"/>
  <c r="T96" i="2"/>
  <c r="Q86" i="2"/>
  <c r="R96" i="2"/>
  <c r="AD86" i="2"/>
  <c r="AE23" i="2"/>
  <c r="AE28" i="2" s="1"/>
  <c r="AE30" i="2" s="1"/>
  <c r="AE32" i="2" s="1"/>
  <c r="O86" i="2"/>
  <c r="O47" i="2"/>
  <c r="AE96" i="2"/>
  <c r="AB86" i="2"/>
  <c r="AC96" i="2"/>
  <c r="AD96" i="2"/>
  <c r="AC47" i="2"/>
  <c r="AE47" i="2"/>
  <c r="AB47" i="2"/>
  <c r="V96" i="2"/>
  <c r="U55" i="2"/>
  <c r="Z86" i="2"/>
  <c r="S47" i="2"/>
  <c r="U86" i="2"/>
  <c r="AA86" i="2"/>
  <c r="V86" i="2"/>
  <c r="S86" i="2"/>
  <c r="R86" i="2"/>
  <c r="T86" i="2"/>
  <c r="R55" i="2"/>
  <c r="AA47" i="2"/>
  <c r="V55" i="2"/>
  <c r="AA44" i="2"/>
  <c r="AA39" i="2"/>
  <c r="AA38" i="2"/>
  <c r="AA31" i="2"/>
  <c r="AA29" i="2"/>
  <c r="AA23" i="2"/>
  <c r="Z23" i="2"/>
  <c r="Z45" i="2" s="1"/>
  <c r="AX29" i="2"/>
  <c r="AX27" i="2"/>
  <c r="AX23" i="2"/>
  <c r="AY29" i="2"/>
  <c r="AY27" i="2"/>
  <c r="AY23" i="2"/>
  <c r="AZ29" i="2"/>
  <c r="AZ27" i="2"/>
  <c r="AZ23" i="2"/>
  <c r="Z64" i="2"/>
  <c r="Z48" i="2"/>
  <c r="Z44" i="2"/>
  <c r="Y44" i="2"/>
  <c r="X44" i="2"/>
  <c r="W44" i="2"/>
  <c r="V44" i="2"/>
  <c r="Z39" i="2"/>
  <c r="Z38" i="2"/>
  <c r="Z29" i="2"/>
  <c r="Y20" i="2"/>
  <c r="Y23" i="2" s="1"/>
  <c r="AU36" i="2"/>
  <c r="AV102" i="2"/>
  <c r="AW36" i="2"/>
  <c r="AV36" i="2"/>
  <c r="BA36" i="2"/>
  <c r="AZ36" i="2"/>
  <c r="AY36" i="2"/>
  <c r="AX36" i="2"/>
  <c r="BD36" i="2"/>
  <c r="BC36" i="2"/>
  <c r="BB36" i="2"/>
  <c r="BI36" i="2"/>
  <c r="BH36" i="2"/>
  <c r="BG36" i="2"/>
  <c r="BF36" i="2"/>
  <c r="BE36" i="2"/>
  <c r="BS16" i="2"/>
  <c r="BS14" i="2"/>
  <c r="BS13" i="2"/>
  <c r="BS12" i="2"/>
  <c r="Y83" i="2"/>
  <c r="Y84" i="2" s="1"/>
  <c r="Y79" i="2"/>
  <c r="Y80" i="2" s="1"/>
  <c r="Y73" i="2"/>
  <c r="Y74" i="2" s="1"/>
  <c r="Y95" i="2" s="1"/>
  <c r="AB96" i="2" s="1"/>
  <c r="Y64" i="2"/>
  <c r="Y48" i="2"/>
  <c r="Y31" i="2"/>
  <c r="Y29" i="2"/>
  <c r="Y27" i="2"/>
  <c r="X20" i="2"/>
  <c r="R39" i="2"/>
  <c r="Q39" i="2"/>
  <c r="P39" i="2"/>
  <c r="O39" i="2"/>
  <c r="R38" i="2"/>
  <c r="Q38" i="2"/>
  <c r="P38" i="2"/>
  <c r="O38" i="2"/>
  <c r="Y39" i="2"/>
  <c r="X39" i="2"/>
  <c r="W39" i="2"/>
  <c r="V39" i="2"/>
  <c r="U39" i="2"/>
  <c r="T39" i="2"/>
  <c r="S39" i="2"/>
  <c r="W38" i="2"/>
  <c r="V38" i="2"/>
  <c r="U38" i="2"/>
  <c r="T38" i="2"/>
  <c r="S38" i="2"/>
  <c r="Y38" i="2"/>
  <c r="X38" i="2"/>
  <c r="X83" i="2"/>
  <c r="X84" i="2" s="1"/>
  <c r="X79" i="2"/>
  <c r="X80" i="2" s="1"/>
  <c r="X73" i="2"/>
  <c r="X74" i="2" s="1"/>
  <c r="X95" i="2" s="1"/>
  <c r="W83" i="2"/>
  <c r="W79" i="2"/>
  <c r="W73" i="2"/>
  <c r="X64" i="2"/>
  <c r="X48" i="2"/>
  <c r="X55" i="2" s="1"/>
  <c r="BT86" i="2" l="1"/>
  <c r="AE86" i="2"/>
  <c r="W74" i="2"/>
  <c r="W95" i="2" s="1"/>
  <c r="Z96" i="2" s="1"/>
  <c r="BS73" i="2"/>
  <c r="BS74" i="2" s="1"/>
  <c r="W80" i="2"/>
  <c r="BS79" i="2"/>
  <c r="BS80" i="2" s="1"/>
  <c r="BU86" i="2"/>
  <c r="W84" i="2"/>
  <c r="BS83" i="2"/>
  <c r="BS84" i="2" s="1"/>
  <c r="BS86" i="2" s="1"/>
  <c r="Z47" i="2"/>
  <c r="BS48" i="2"/>
  <c r="AG96" i="2"/>
  <c r="BT55" i="2"/>
  <c r="BT47" i="2"/>
  <c r="AI36" i="2"/>
  <c r="AJ28" i="2"/>
  <c r="AJ30" i="2" s="1"/>
  <c r="AJ32" i="2" s="1"/>
  <c r="AK20" i="2"/>
  <c r="AK36" i="2" s="1"/>
  <c r="AG23" i="2"/>
  <c r="AG28" i="2" s="1"/>
  <c r="AG30" i="2" s="1"/>
  <c r="AG32" i="2" s="1"/>
  <c r="AL20" i="2"/>
  <c r="AL23" i="2" s="1"/>
  <c r="AH23" i="2"/>
  <c r="AH28" i="2" s="1"/>
  <c r="AH30" i="2" s="1"/>
  <c r="AH32" i="2" s="1"/>
  <c r="AI45" i="2"/>
  <c r="AI28" i="2"/>
  <c r="AI30" i="2" s="1"/>
  <c r="AF23" i="2"/>
  <c r="AF28" i="2" s="1"/>
  <c r="AF30" i="2" s="1"/>
  <c r="AJ36" i="2"/>
  <c r="AG45" i="2"/>
  <c r="AG36" i="2"/>
  <c r="AH36" i="2"/>
  <c r="AL36" i="2"/>
  <c r="AF36" i="2"/>
  <c r="AE33" i="2"/>
  <c r="AE66" i="2"/>
  <c r="AF45" i="2"/>
  <c r="Y28" i="2"/>
  <c r="AA96" i="2"/>
  <c r="AE45" i="2"/>
  <c r="AZ28" i="2"/>
  <c r="AZ30" i="2" s="1"/>
  <c r="AZ32" i="2" s="1"/>
  <c r="AZ33" i="2" s="1"/>
  <c r="AA45" i="2"/>
  <c r="Y55" i="2"/>
  <c r="Y47" i="2"/>
  <c r="Z55" i="2"/>
  <c r="AX28" i="2"/>
  <c r="AX30" i="2" s="1"/>
  <c r="AX32" i="2" s="1"/>
  <c r="AX33" i="2" s="1"/>
  <c r="AY28" i="2"/>
  <c r="AY30" i="2" s="1"/>
  <c r="AY32" i="2" s="1"/>
  <c r="AY33" i="2" s="1"/>
  <c r="X47" i="2"/>
  <c r="Y86" i="2"/>
  <c r="BS15" i="2"/>
  <c r="W86" i="2"/>
  <c r="Y45" i="2"/>
  <c r="X86" i="2"/>
  <c r="BS34" i="2"/>
  <c r="X29" i="2"/>
  <c r="BT29" i="2"/>
  <c r="W64" i="2"/>
  <c r="W48" i="2"/>
  <c r="W47" i="2" s="1"/>
  <c r="X27" i="2"/>
  <c r="X43" i="2"/>
  <c r="X42" i="2"/>
  <c r="AA43" i="2"/>
  <c r="AD43" i="2"/>
  <c r="AC43" i="2"/>
  <c r="AB43" i="2"/>
  <c r="AB42" i="2"/>
  <c r="AA42" i="2"/>
  <c r="AD42" i="2"/>
  <c r="AC42" i="2"/>
  <c r="V43" i="2"/>
  <c r="U43" i="2"/>
  <c r="T43" i="2"/>
  <c r="S43" i="2"/>
  <c r="R43" i="2"/>
  <c r="Q43" i="2"/>
  <c r="P43" i="2"/>
  <c r="O43" i="2"/>
  <c r="N43" i="2"/>
  <c r="V42" i="2"/>
  <c r="U42" i="2"/>
  <c r="T42" i="2"/>
  <c r="S42" i="2"/>
  <c r="R42" i="2"/>
  <c r="Q42" i="2"/>
  <c r="P42" i="2"/>
  <c r="O42" i="2"/>
  <c r="N42" i="2"/>
  <c r="W42" i="2"/>
  <c r="W43" i="2"/>
  <c r="AB41" i="2"/>
  <c r="AA41" i="2"/>
  <c r="AD41" i="2"/>
  <c r="AC41" i="2"/>
  <c r="X41" i="2"/>
  <c r="X40" i="2"/>
  <c r="V41" i="2"/>
  <c r="U41" i="2"/>
  <c r="T41" i="2"/>
  <c r="S41" i="2"/>
  <c r="R41" i="2"/>
  <c r="Q41" i="2"/>
  <c r="P41" i="2"/>
  <c r="O41" i="2"/>
  <c r="N41" i="2"/>
  <c r="W41" i="2"/>
  <c r="AA40" i="2"/>
  <c r="AD40" i="2"/>
  <c r="AC40" i="2"/>
  <c r="Q40" i="2"/>
  <c r="P40" i="2"/>
  <c r="O40" i="2"/>
  <c r="N40" i="2"/>
  <c r="V40" i="2"/>
  <c r="U40" i="2"/>
  <c r="T40" i="2"/>
  <c r="S40" i="2"/>
  <c r="R40" i="2"/>
  <c r="W40" i="2"/>
  <c r="AB44" i="2"/>
  <c r="AD44" i="2"/>
  <c r="BM31" i="2"/>
  <c r="BM29" i="2"/>
  <c r="BN44" i="2"/>
  <c r="BM44" i="2"/>
  <c r="BL44" i="2"/>
  <c r="BL31" i="2"/>
  <c r="BL29" i="2"/>
  <c r="BK31" i="2"/>
  <c r="BK29" i="2"/>
  <c r="BM27" i="2"/>
  <c r="BL27" i="2"/>
  <c r="BK27" i="2"/>
  <c r="BM20" i="2"/>
  <c r="BM23" i="2" s="1"/>
  <c r="BM45" i="2" s="1"/>
  <c r="BL20" i="2"/>
  <c r="BL23" i="2" s="1"/>
  <c r="BL45" i="2" s="1"/>
  <c r="BK20" i="2"/>
  <c r="BK23" i="2" s="1"/>
  <c r="BK45" i="2" s="1"/>
  <c r="BJ36" i="2"/>
  <c r="BO15" i="2"/>
  <c r="BO14" i="2"/>
  <c r="BO13" i="2"/>
  <c r="BO12" i="2"/>
  <c r="BO11" i="2"/>
  <c r="BO44" i="2"/>
  <c r="BN31" i="2"/>
  <c r="BN29" i="2"/>
  <c r="BN27" i="2"/>
  <c r="BN20" i="2"/>
  <c r="BN23" i="2" s="1"/>
  <c r="BO31" i="2"/>
  <c r="BO29" i="2"/>
  <c r="BP34" i="2"/>
  <c r="BP26" i="2"/>
  <c r="BP25" i="2"/>
  <c r="BP24" i="2"/>
  <c r="BP22" i="2"/>
  <c r="BP21" i="2"/>
  <c r="BO27" i="2"/>
  <c r="BO20" i="2"/>
  <c r="BO23" i="2" s="1"/>
  <c r="BO45" i="2" s="1"/>
  <c r="BP19" i="2"/>
  <c r="BP18" i="2"/>
  <c r="BP16" i="2"/>
  <c r="BP15" i="2"/>
  <c r="BP14" i="2"/>
  <c r="BP13" i="2"/>
  <c r="BP12" i="2"/>
  <c r="BP11" i="2"/>
  <c r="BP9" i="2"/>
  <c r="BP44" i="2" s="1"/>
  <c r="BP6" i="2"/>
  <c r="BP3" i="2"/>
  <c r="BQ34" i="2"/>
  <c r="BQ26" i="2"/>
  <c r="BQ25" i="2"/>
  <c r="BQ24" i="2"/>
  <c r="BQ22" i="2"/>
  <c r="BQ21" i="2"/>
  <c r="BQ6" i="2"/>
  <c r="BQ3" i="2"/>
  <c r="BQ9" i="2"/>
  <c r="BQ16" i="2"/>
  <c r="BQ15" i="2"/>
  <c r="BQ14" i="2"/>
  <c r="BQ13" i="2"/>
  <c r="BQ12" i="2"/>
  <c r="BQ11" i="2"/>
  <c r="BQ19" i="2"/>
  <c r="BQ18" i="2"/>
  <c r="BR34" i="2"/>
  <c r="BR26" i="2"/>
  <c r="BR25" i="2"/>
  <c r="BR24" i="2"/>
  <c r="BR22" i="2"/>
  <c r="BR21" i="2"/>
  <c r="BR19" i="2"/>
  <c r="BR18" i="2"/>
  <c r="BR16" i="2"/>
  <c r="BR15" i="2"/>
  <c r="BR14" i="2"/>
  <c r="BR13" i="2"/>
  <c r="BR12" i="2"/>
  <c r="BR11" i="2"/>
  <c r="BR9" i="2"/>
  <c r="BR6" i="2"/>
  <c r="BR3" i="2"/>
  <c r="AX2" i="2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L31" i="2"/>
  <c r="L29" i="2"/>
  <c r="L27" i="2"/>
  <c r="L20" i="2"/>
  <c r="L23" i="2" s="1"/>
  <c r="N44" i="2"/>
  <c r="J31" i="2"/>
  <c r="J29" i="2"/>
  <c r="J27" i="2"/>
  <c r="J20" i="2"/>
  <c r="J23" i="2" s="1"/>
  <c r="J45" i="2" s="1"/>
  <c r="N31" i="2"/>
  <c r="N29" i="2"/>
  <c r="N27" i="2"/>
  <c r="N20" i="2"/>
  <c r="N23" i="2" s="1"/>
  <c r="Q44" i="2"/>
  <c r="P44" i="2"/>
  <c r="O44" i="2"/>
  <c r="R44" i="2"/>
  <c r="K31" i="2"/>
  <c r="K29" i="2"/>
  <c r="K27" i="2"/>
  <c r="K20" i="2"/>
  <c r="K23" i="2" s="1"/>
  <c r="K45" i="2" s="1"/>
  <c r="S44" i="2"/>
  <c r="O31" i="2"/>
  <c r="O29" i="2"/>
  <c r="O27" i="2"/>
  <c r="O20" i="2"/>
  <c r="O23" i="2" s="1"/>
  <c r="M31" i="2"/>
  <c r="M29" i="2"/>
  <c r="M27" i="2"/>
  <c r="M20" i="2"/>
  <c r="M23" i="2" s="1"/>
  <c r="T44" i="2"/>
  <c r="U44" i="2"/>
  <c r="P31" i="2"/>
  <c r="P29" i="2"/>
  <c r="P27" i="2"/>
  <c r="P20" i="2"/>
  <c r="P23" i="2" s="1"/>
  <c r="T31" i="2"/>
  <c r="T29" i="2"/>
  <c r="R31" i="2"/>
  <c r="R29" i="2"/>
  <c r="R27" i="2"/>
  <c r="V31" i="2"/>
  <c r="V29" i="2"/>
  <c r="Q31" i="2"/>
  <c r="Q29" i="2"/>
  <c r="Q27" i="2"/>
  <c r="U31" i="2"/>
  <c r="U29" i="2"/>
  <c r="W31" i="2"/>
  <c r="S31" i="2"/>
  <c r="W29" i="2"/>
  <c r="S29" i="2"/>
  <c r="W27" i="2"/>
  <c r="V27" i="2"/>
  <c r="U27" i="2"/>
  <c r="T27" i="2"/>
  <c r="S27" i="2"/>
  <c r="V20" i="2"/>
  <c r="V23" i="2" s="1"/>
  <c r="V45" i="2" s="1"/>
  <c r="U20" i="2"/>
  <c r="T20" i="2"/>
  <c r="T23" i="2" s="1"/>
  <c r="S20" i="2"/>
  <c r="S23" i="2" s="1"/>
  <c r="R20" i="2"/>
  <c r="R23" i="2" s="1"/>
  <c r="R45" i="2" s="1"/>
  <c r="Q20" i="2"/>
  <c r="Q23" i="2" s="1"/>
  <c r="Q45" i="2" s="1"/>
  <c r="W20" i="2"/>
  <c r="W23" i="2" s="1"/>
  <c r="K4" i="1"/>
  <c r="K7" i="1" s="1"/>
  <c r="BS55" i="2" l="1"/>
  <c r="BS47" i="2"/>
  <c r="AL45" i="2"/>
  <c r="AL28" i="2"/>
  <c r="AL30" i="2" s="1"/>
  <c r="AL32" i="2" s="1"/>
  <c r="AL33" i="2" s="1"/>
  <c r="AJ33" i="2"/>
  <c r="AJ66" i="2"/>
  <c r="AH45" i="2"/>
  <c r="Y96" i="2"/>
  <c r="AI31" i="2"/>
  <c r="AI32" i="2" s="1"/>
  <c r="W96" i="2"/>
  <c r="AH33" i="2"/>
  <c r="AH66" i="2"/>
  <c r="AG33" i="2"/>
  <c r="AG66" i="2"/>
  <c r="AK23" i="2"/>
  <c r="X96" i="2"/>
  <c r="AF32" i="2"/>
  <c r="AF66" i="2" s="1"/>
  <c r="AA36" i="2"/>
  <c r="U23" i="2"/>
  <c r="U28" i="2" s="1"/>
  <c r="Y36" i="2"/>
  <c r="BS9" i="2"/>
  <c r="BS20" i="2" s="1"/>
  <c r="BU44" i="2"/>
  <c r="BS29" i="2"/>
  <c r="BT24" i="2"/>
  <c r="BU24" i="2" s="1"/>
  <c r="BV24" i="2" s="1"/>
  <c r="BW24" i="2" s="1"/>
  <c r="BX24" i="2" s="1"/>
  <c r="BK28" i="2"/>
  <c r="BK30" i="2" s="1"/>
  <c r="BK32" i="2" s="1"/>
  <c r="BK33" i="2" s="1"/>
  <c r="BV13" i="2"/>
  <c r="BL28" i="2"/>
  <c r="BL30" i="2" s="1"/>
  <c r="BL32" i="2" s="1"/>
  <c r="BL33" i="2" s="1"/>
  <c r="AD27" i="2"/>
  <c r="X36" i="2"/>
  <c r="AA27" i="2"/>
  <c r="AA28" i="2" s="1"/>
  <c r="AB27" i="2"/>
  <c r="BT25" i="2"/>
  <c r="BU25" i="2" s="1"/>
  <c r="BV25" i="2" s="1"/>
  <c r="BW25" i="2" s="1"/>
  <c r="BX25" i="2" s="1"/>
  <c r="BY25" i="2" s="1"/>
  <c r="BZ25" i="2" s="1"/>
  <c r="CA25" i="2" s="1"/>
  <c r="BS21" i="2"/>
  <c r="BV16" i="2"/>
  <c r="BW16" i="2" s="1"/>
  <c r="BX16" i="2" s="1"/>
  <c r="BY16" i="2" s="1"/>
  <c r="BZ16" i="2" s="1"/>
  <c r="CA16" i="2" s="1"/>
  <c r="BS26" i="2"/>
  <c r="Y42" i="2"/>
  <c r="Z42" i="2"/>
  <c r="BS40" i="2"/>
  <c r="BS41" i="2"/>
  <c r="BS22" i="2"/>
  <c r="Y43" i="2"/>
  <c r="Y41" i="2"/>
  <c r="Z41" i="2"/>
  <c r="BS42" i="2"/>
  <c r="Y40" i="2"/>
  <c r="AD23" i="2"/>
  <c r="BS43" i="2"/>
  <c r="BV12" i="2"/>
  <c r="BW12" i="2" s="1"/>
  <c r="BX12" i="2" s="1"/>
  <c r="BY12" i="2" s="1"/>
  <c r="BZ12" i="2" s="1"/>
  <c r="CA12" i="2" s="1"/>
  <c r="W55" i="2"/>
  <c r="BS24" i="2"/>
  <c r="Z27" i="2"/>
  <c r="Z43" i="2"/>
  <c r="BM28" i="2"/>
  <c r="BM30" i="2" s="1"/>
  <c r="BM32" i="2" s="1"/>
  <c r="BM33" i="2" s="1"/>
  <c r="BT43" i="2"/>
  <c r="Z40" i="2"/>
  <c r="BT26" i="2"/>
  <c r="BU26" i="2" s="1"/>
  <c r="BV26" i="2" s="1"/>
  <c r="BW26" i="2" s="1"/>
  <c r="BX26" i="2" s="1"/>
  <c r="BY26" i="2" s="1"/>
  <c r="BZ26" i="2" s="1"/>
  <c r="CA26" i="2" s="1"/>
  <c r="BS25" i="2"/>
  <c r="AB36" i="2"/>
  <c r="AB40" i="2"/>
  <c r="BT34" i="2"/>
  <c r="BW34" i="2" s="1"/>
  <c r="BX34" i="2" s="1"/>
  <c r="BY34" i="2" s="1"/>
  <c r="BZ34" i="2" s="1"/>
  <c r="CA34" i="2" s="1"/>
  <c r="X23" i="2"/>
  <c r="X45" i="2" s="1"/>
  <c r="BQ43" i="2"/>
  <c r="BP40" i="2"/>
  <c r="BQ41" i="2"/>
  <c r="BP42" i="2"/>
  <c r="BL36" i="2"/>
  <c r="BR43" i="2"/>
  <c r="BR42" i="2"/>
  <c r="BR20" i="2"/>
  <c r="BR23" i="2" s="1"/>
  <c r="BR45" i="2" s="1"/>
  <c r="BM36" i="2"/>
  <c r="BQ42" i="2"/>
  <c r="BP43" i="2"/>
  <c r="BQ20" i="2"/>
  <c r="BQ23" i="2" s="1"/>
  <c r="BQ45" i="2" s="1"/>
  <c r="BP41" i="2"/>
  <c r="BR40" i="2"/>
  <c r="BN36" i="2"/>
  <c r="BR41" i="2"/>
  <c r="BK36" i="2"/>
  <c r="BP27" i="2"/>
  <c r="BQ40" i="2"/>
  <c r="BQ29" i="2"/>
  <c r="BR44" i="2"/>
  <c r="BR27" i="2"/>
  <c r="BQ31" i="2"/>
  <c r="BQ44" i="2"/>
  <c r="BP20" i="2"/>
  <c r="BP23" i="2" s="1"/>
  <c r="BP45" i="2" s="1"/>
  <c r="BP29" i="2"/>
  <c r="BP31" i="2"/>
  <c r="BR29" i="2"/>
  <c r="BR31" i="2"/>
  <c r="BQ27" i="2"/>
  <c r="P36" i="2"/>
  <c r="O36" i="2"/>
  <c r="N36" i="2"/>
  <c r="BO36" i="2"/>
  <c r="BN28" i="2"/>
  <c r="BN30" i="2" s="1"/>
  <c r="BN32" i="2" s="1"/>
  <c r="BN33" i="2" s="1"/>
  <c r="BN45" i="2"/>
  <c r="BO28" i="2"/>
  <c r="BO30" i="2" s="1"/>
  <c r="BO32" i="2" s="1"/>
  <c r="BO33" i="2" s="1"/>
  <c r="L45" i="2"/>
  <c r="L28" i="2"/>
  <c r="L30" i="2" s="1"/>
  <c r="L32" i="2" s="1"/>
  <c r="L33" i="2" s="1"/>
  <c r="Q36" i="2"/>
  <c r="J28" i="2"/>
  <c r="J30" i="2" s="1"/>
  <c r="J32" i="2" s="1"/>
  <c r="J33" i="2" s="1"/>
  <c r="N28" i="2"/>
  <c r="N30" i="2" s="1"/>
  <c r="N32" i="2" s="1"/>
  <c r="N33" i="2" s="1"/>
  <c r="N45" i="2"/>
  <c r="M28" i="2"/>
  <c r="M30" i="2" s="1"/>
  <c r="M32" i="2" s="1"/>
  <c r="M33" i="2" s="1"/>
  <c r="R36" i="2"/>
  <c r="K28" i="2"/>
  <c r="K30" i="2" s="1"/>
  <c r="K32" i="2" s="1"/>
  <c r="K33" i="2" s="1"/>
  <c r="M45" i="2"/>
  <c r="S36" i="2"/>
  <c r="O28" i="2"/>
  <c r="O30" i="2" s="1"/>
  <c r="O32" i="2" s="1"/>
  <c r="O45" i="2"/>
  <c r="U36" i="2"/>
  <c r="T36" i="2"/>
  <c r="P28" i="2"/>
  <c r="P30" i="2" s="1"/>
  <c r="P32" i="2" s="1"/>
  <c r="V36" i="2"/>
  <c r="P45" i="2"/>
  <c r="Q28" i="2"/>
  <c r="Q30" i="2" s="1"/>
  <c r="Q32" i="2" s="1"/>
  <c r="R28" i="2"/>
  <c r="R30" i="2" s="1"/>
  <c r="R32" i="2" s="1"/>
  <c r="W36" i="2"/>
  <c r="W45" i="2"/>
  <c r="W28" i="2"/>
  <c r="W30" i="2" s="1"/>
  <c r="W32" i="2" s="1"/>
  <c r="S28" i="2"/>
  <c r="S30" i="2" s="1"/>
  <c r="S32" i="2" s="1"/>
  <c r="S45" i="2"/>
  <c r="T45" i="2"/>
  <c r="T28" i="2"/>
  <c r="V28" i="2"/>
  <c r="AK45" i="2" l="1"/>
  <c r="AK28" i="2"/>
  <c r="AK30" i="2" s="1"/>
  <c r="AK32" i="2" s="1"/>
  <c r="AK33" i="2" s="1"/>
  <c r="AI33" i="2"/>
  <c r="AI66" i="2"/>
  <c r="U45" i="2"/>
  <c r="AF33" i="2"/>
  <c r="Q33" i="2"/>
  <c r="Q66" i="2"/>
  <c r="P33" i="2"/>
  <c r="P66" i="2"/>
  <c r="O33" i="2"/>
  <c r="O66" i="2"/>
  <c r="S33" i="2"/>
  <c r="S66" i="2"/>
  <c r="R33" i="2"/>
  <c r="R66" i="2"/>
  <c r="AC27" i="2"/>
  <c r="AC44" i="2"/>
  <c r="BS44" i="2"/>
  <c r="BU41" i="2"/>
  <c r="BT42" i="2"/>
  <c r="W33" i="2"/>
  <c r="W66" i="2"/>
  <c r="BT21" i="2"/>
  <c r="BT44" i="2"/>
  <c r="BU27" i="2"/>
  <c r="BT27" i="2"/>
  <c r="BT22" i="2"/>
  <c r="BS36" i="2"/>
  <c r="BT41" i="2"/>
  <c r="AC36" i="2"/>
  <c r="Z36" i="2"/>
  <c r="BU43" i="2"/>
  <c r="BR28" i="2"/>
  <c r="BR30" i="2" s="1"/>
  <c r="BR32" i="2" s="1"/>
  <c r="BR33" i="2" s="1"/>
  <c r="BS27" i="2"/>
  <c r="AD36" i="2"/>
  <c r="X28" i="2"/>
  <c r="X30" i="2" s="1"/>
  <c r="BV14" i="2"/>
  <c r="BU42" i="2"/>
  <c r="BW13" i="2"/>
  <c r="BV41" i="2"/>
  <c r="BT40" i="2"/>
  <c r="BT36" i="2"/>
  <c r="AB23" i="2"/>
  <c r="BV27" i="2"/>
  <c r="BX27" i="2"/>
  <c r="BY24" i="2"/>
  <c r="BW27" i="2"/>
  <c r="BR36" i="2"/>
  <c r="BP36" i="2"/>
  <c r="BQ36" i="2"/>
  <c r="BQ28" i="2"/>
  <c r="BQ30" i="2" s="1"/>
  <c r="BQ32" i="2" s="1"/>
  <c r="BQ33" i="2" s="1"/>
  <c r="BP28" i="2"/>
  <c r="BP30" i="2" s="1"/>
  <c r="BP32" i="2" s="1"/>
  <c r="BP33" i="2" s="1"/>
  <c r="V30" i="2"/>
  <c r="V32" i="2" s="1"/>
  <c r="U30" i="2"/>
  <c r="U32" i="2" s="1"/>
  <c r="T30" i="2"/>
  <c r="T32" i="2" s="1"/>
  <c r="AC45" i="2" l="1"/>
  <c r="AC28" i="2"/>
  <c r="AC30" i="2" s="1"/>
  <c r="T33" i="2"/>
  <c r="T66" i="2"/>
  <c r="U33" i="2"/>
  <c r="U66" i="2"/>
  <c r="V33" i="2"/>
  <c r="V66" i="2"/>
  <c r="BS23" i="2"/>
  <c r="BS45" i="2" s="1"/>
  <c r="BV15" i="2"/>
  <c r="BW15" i="2" s="1"/>
  <c r="Y30" i="2"/>
  <c r="Y32" i="2" s="1"/>
  <c r="AD45" i="2"/>
  <c r="AD28" i="2"/>
  <c r="AD30" i="2" s="1"/>
  <c r="BV44" i="2"/>
  <c r="Z28" i="2"/>
  <c r="Z30" i="2" s="1"/>
  <c r="Z32" i="2" s="1"/>
  <c r="AA30" i="2"/>
  <c r="AA32" i="2" s="1"/>
  <c r="BT23" i="2"/>
  <c r="BT45" i="2" s="1"/>
  <c r="BW14" i="2"/>
  <c r="BV42" i="2"/>
  <c r="BX13" i="2"/>
  <c r="BW41" i="2"/>
  <c r="AB45" i="2"/>
  <c r="AB28" i="2"/>
  <c r="AB30" i="2" s="1"/>
  <c r="BV11" i="2"/>
  <c r="BU40" i="2"/>
  <c r="BU22" i="2"/>
  <c r="BU21" i="2"/>
  <c r="BW44" i="2"/>
  <c r="X32" i="2"/>
  <c r="BZ24" i="2"/>
  <c r="BY27" i="2"/>
  <c r="AA33" i="2" l="1"/>
  <c r="AA66" i="2"/>
  <c r="Z33" i="2"/>
  <c r="Z66" i="2"/>
  <c r="Y33" i="2"/>
  <c r="Y66" i="2"/>
  <c r="BS28" i="2"/>
  <c r="BS30" i="2" s="1"/>
  <c r="AC32" i="2"/>
  <c r="BV43" i="2"/>
  <c r="BS31" i="2"/>
  <c r="X33" i="2"/>
  <c r="X66" i="2"/>
  <c r="BT31" i="2"/>
  <c r="BX15" i="2"/>
  <c r="BW43" i="2"/>
  <c r="AB32" i="2"/>
  <c r="BT28" i="2"/>
  <c r="BT30" i="2" s="1"/>
  <c r="BX14" i="2"/>
  <c r="BW42" i="2"/>
  <c r="BY13" i="2"/>
  <c r="BX41" i="2"/>
  <c r="BU36" i="2"/>
  <c r="BU23" i="2"/>
  <c r="BW11" i="2"/>
  <c r="BV40" i="2"/>
  <c r="BV22" i="2"/>
  <c r="BV20" i="2"/>
  <c r="BV21" i="2"/>
  <c r="BX44" i="2"/>
  <c r="CA24" i="2"/>
  <c r="CA27" i="2" s="1"/>
  <c r="BZ27" i="2"/>
  <c r="AC33" i="2" l="1"/>
  <c r="AC66" i="2"/>
  <c r="AB33" i="2"/>
  <c r="AB66" i="2"/>
  <c r="BS32" i="2"/>
  <c r="AD32" i="2"/>
  <c r="BT32" i="2"/>
  <c r="BY15" i="2"/>
  <c r="BX43" i="2"/>
  <c r="BY14" i="2"/>
  <c r="BX42" i="2"/>
  <c r="BZ13" i="2"/>
  <c r="BY41" i="2"/>
  <c r="BV23" i="2"/>
  <c r="BV36" i="2"/>
  <c r="BX11" i="2"/>
  <c r="BW40" i="2"/>
  <c r="BW22" i="2"/>
  <c r="BW20" i="2"/>
  <c r="BW21" i="2"/>
  <c r="BU45" i="2"/>
  <c r="BU28" i="2"/>
  <c r="BY44" i="2"/>
  <c r="BT33" i="2" l="1"/>
  <c r="BT66" i="2"/>
  <c r="BS33" i="2"/>
  <c r="BS66" i="2"/>
  <c r="AD33" i="2"/>
  <c r="AD66" i="2"/>
  <c r="BU29" i="2"/>
  <c r="BU30" i="2" s="1"/>
  <c r="BU31" i="2" s="1"/>
  <c r="BU32" i="2" s="1"/>
  <c r="BZ15" i="2"/>
  <c r="BY43" i="2"/>
  <c r="BZ14" i="2"/>
  <c r="BY42" i="2"/>
  <c r="CA13" i="2"/>
  <c r="CA41" i="2" s="1"/>
  <c r="BZ41" i="2"/>
  <c r="BW23" i="2"/>
  <c r="BW36" i="2"/>
  <c r="BY11" i="2"/>
  <c r="BX40" i="2"/>
  <c r="BX22" i="2"/>
  <c r="BX20" i="2"/>
  <c r="BX21" i="2"/>
  <c r="BV45" i="2"/>
  <c r="BV28" i="2"/>
  <c r="BZ44" i="2"/>
  <c r="BV29" i="2" l="1"/>
  <c r="BU66" i="2"/>
  <c r="BU33" i="2"/>
  <c r="BV30" i="2"/>
  <c r="BV31" i="2" s="1"/>
  <c r="BV32" i="2" s="1"/>
  <c r="CA15" i="2"/>
  <c r="CA43" i="2" s="1"/>
  <c r="BZ43" i="2"/>
  <c r="CA14" i="2"/>
  <c r="CA42" i="2" s="1"/>
  <c r="BZ42" i="2"/>
  <c r="BX36" i="2"/>
  <c r="BX23" i="2"/>
  <c r="BZ11" i="2"/>
  <c r="BY40" i="2"/>
  <c r="BY22" i="2"/>
  <c r="BY20" i="2"/>
  <c r="BY21" i="2"/>
  <c r="BW28" i="2"/>
  <c r="BW45" i="2"/>
  <c r="CA44" i="2"/>
  <c r="BV33" i="2" l="1"/>
  <c r="BV47" i="2"/>
  <c r="BW29" i="2" s="1"/>
  <c r="BW30" i="2" s="1"/>
  <c r="BW31" i="2" s="1"/>
  <c r="BW32" i="2" s="1"/>
  <c r="BW33" i="2" s="1"/>
  <c r="BY36" i="2"/>
  <c r="BY23" i="2"/>
  <c r="CA11" i="2"/>
  <c r="BZ40" i="2"/>
  <c r="BZ22" i="2"/>
  <c r="BZ21" i="2"/>
  <c r="BZ20" i="2"/>
  <c r="BX28" i="2"/>
  <c r="BX45" i="2"/>
  <c r="BZ23" i="2" l="1"/>
  <c r="BZ36" i="2"/>
  <c r="CA40" i="2"/>
  <c r="CA22" i="2"/>
  <c r="CA21" i="2"/>
  <c r="CA20" i="2"/>
  <c r="BY28" i="2"/>
  <c r="BY45" i="2"/>
  <c r="BW47" i="2"/>
  <c r="CA23" i="2" l="1"/>
  <c r="CA36" i="2"/>
  <c r="BZ45" i="2"/>
  <c r="BZ28" i="2"/>
  <c r="BX29" i="2"/>
  <c r="BX30" i="2" s="1"/>
  <c r="BX31" i="2" s="1"/>
  <c r="BX32" i="2" s="1"/>
  <c r="BX33" i="2" l="1"/>
  <c r="CA45" i="2"/>
  <c r="CA28" i="2"/>
  <c r="BX47" i="2"/>
  <c r="BY29" i="2" l="1"/>
  <c r="BY30" i="2" s="1"/>
  <c r="BY31" i="2" s="1"/>
  <c r="BY32" i="2" s="1"/>
  <c r="BY33" i="2" l="1"/>
  <c r="BY47" i="2"/>
  <c r="BZ29" i="2" l="1"/>
  <c r="BZ30" i="2" s="1"/>
  <c r="BZ31" i="2" s="1"/>
  <c r="BZ32" i="2" s="1"/>
  <c r="BZ33" i="2" l="1"/>
  <c r="BZ47" i="2"/>
  <c r="CA29" i="2" s="1"/>
  <c r="CA30" i="2" s="1"/>
  <c r="CA31" i="2" s="1"/>
  <c r="CA32" i="2" s="1"/>
  <c r="CA33" i="2" s="1"/>
  <c r="CA47" i="2" l="1"/>
  <c r="CB32" i="2"/>
  <c r="CC32" i="2" s="1"/>
  <c r="CD32" i="2" s="1"/>
  <c r="CE32" i="2" s="1"/>
  <c r="CF32" i="2" s="1"/>
  <c r="CG32" i="2" s="1"/>
  <c r="CH32" i="2" s="1"/>
  <c r="CI32" i="2" s="1"/>
  <c r="CJ32" i="2" s="1"/>
  <c r="CK32" i="2" s="1"/>
  <c r="CL32" i="2" s="1"/>
  <c r="CM32" i="2" s="1"/>
  <c r="CN32" i="2" s="1"/>
  <c r="CO32" i="2" s="1"/>
  <c r="CP32" i="2" s="1"/>
  <c r="CQ32" i="2" s="1"/>
  <c r="CR32" i="2" s="1"/>
  <c r="CS32" i="2" s="1"/>
  <c r="CT32" i="2" s="1"/>
  <c r="CU32" i="2" s="1"/>
  <c r="CV32" i="2" s="1"/>
  <c r="CW32" i="2" s="1"/>
  <c r="CX32" i="2" s="1"/>
  <c r="CY32" i="2" s="1"/>
  <c r="CZ32" i="2" s="1"/>
  <c r="DA32" i="2" s="1"/>
  <c r="DB32" i="2" s="1"/>
  <c r="DC32" i="2" s="1"/>
  <c r="DD32" i="2" s="1"/>
  <c r="DE32" i="2" s="1"/>
  <c r="DF32" i="2" s="1"/>
  <c r="DG32" i="2" s="1"/>
  <c r="DH32" i="2" s="1"/>
  <c r="DI32" i="2" s="1"/>
  <c r="DJ32" i="2" s="1"/>
  <c r="DK32" i="2" s="1"/>
  <c r="DL32" i="2" s="1"/>
  <c r="DM32" i="2" s="1"/>
  <c r="DN32" i="2" s="1"/>
  <c r="DO32" i="2" s="1"/>
  <c r="DP32" i="2" s="1"/>
  <c r="DQ32" i="2" s="1"/>
  <c r="DR32" i="2" s="1"/>
  <c r="DS32" i="2" s="1"/>
  <c r="DT32" i="2" s="1"/>
  <c r="DU32" i="2" s="1"/>
  <c r="DV32" i="2" s="1"/>
  <c r="DW32" i="2" s="1"/>
  <c r="DX32" i="2" s="1"/>
  <c r="DY32" i="2" s="1"/>
  <c r="DZ32" i="2" s="1"/>
  <c r="EA32" i="2" s="1"/>
  <c r="EB32" i="2" s="1"/>
  <c r="EC32" i="2" s="1"/>
  <c r="ED32" i="2" s="1"/>
  <c r="EE32" i="2" s="1"/>
  <c r="EF32" i="2" s="1"/>
  <c r="EG32" i="2" s="1"/>
  <c r="EH32" i="2" s="1"/>
  <c r="EI32" i="2" s="1"/>
  <c r="EJ32" i="2" s="1"/>
  <c r="EK32" i="2" s="1"/>
  <c r="CD48" i="2" l="1"/>
  <c r="CD49" i="2" s="1"/>
</calcChain>
</file>

<file path=xl/sharedStrings.xml><?xml version="1.0" encoding="utf-8"?>
<sst xmlns="http://schemas.openxmlformats.org/spreadsheetml/2006/main" count="173" uniqueCount="159">
  <si>
    <t>Main</t>
  </si>
  <si>
    <t>Price</t>
  </si>
  <si>
    <t>Shares</t>
  </si>
  <si>
    <t>MC</t>
  </si>
  <si>
    <t>Cash</t>
  </si>
  <si>
    <t>Debt</t>
  </si>
  <si>
    <t>EV</t>
  </si>
  <si>
    <t>Q122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</si>
  <si>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</si>
  <si>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</si>
  <si>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</si>
  <si>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</si>
  <si>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</si>
  <si>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</si>
  <si>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</si>
  <si>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</si>
  <si>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</si>
  <si>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</si>
  <si>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</si>
  <si>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</si>
  <si>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Product</t>
  </si>
  <si>
    <t>Services</t>
  </si>
  <si>
    <t>Cost of Sales</t>
  </si>
  <si>
    <t>Fulfillment</t>
  </si>
  <si>
    <t>Technology</t>
  </si>
  <si>
    <t>S&amp;M</t>
  </si>
  <si>
    <t>G&amp;A</t>
  </si>
  <si>
    <t>OpEx</t>
  </si>
  <si>
    <t>OpInc</t>
  </si>
  <si>
    <t>Gross Margin</t>
  </si>
  <si>
    <t>Pretax</t>
  </si>
  <si>
    <t>Interest Expense</t>
  </si>
  <si>
    <t>Taxes</t>
  </si>
  <si>
    <t>Net Income</t>
  </si>
  <si>
    <t>EPS</t>
  </si>
  <si>
    <t>NorthAmerica</t>
  </si>
  <si>
    <t>International</t>
  </si>
  <si>
    <t>AWS</t>
  </si>
  <si>
    <t>Revenue y/y</t>
  </si>
  <si>
    <t>AWS y/y</t>
  </si>
  <si>
    <t>Online Stores</t>
  </si>
  <si>
    <t>Physical Stores</t>
  </si>
  <si>
    <t>Third-party</t>
  </si>
  <si>
    <t>Subscription</t>
  </si>
  <si>
    <t>Ads</t>
  </si>
  <si>
    <t>Other</t>
  </si>
  <si>
    <t>Headcount</t>
  </si>
  <si>
    <t>Q419</t>
  </si>
  <si>
    <t>Q319</t>
  </si>
  <si>
    <t>Q219</t>
  </si>
  <si>
    <t>Q119</t>
  </si>
  <si>
    <t>Q418</t>
  </si>
  <si>
    <t>Q123</t>
  </si>
  <si>
    <t>Q223</t>
  </si>
  <si>
    <t>Q323</t>
  </si>
  <si>
    <t>Q423</t>
  </si>
  <si>
    <t>Online Stores y/y</t>
  </si>
  <si>
    <t>Third-party y/y</t>
  </si>
  <si>
    <t>Subscription y/y</t>
  </si>
  <si>
    <t>Ads y/y</t>
  </si>
  <si>
    <t xml:space="preserve">  Media</t>
  </si>
  <si>
    <t xml:space="preserve">  Electronics/General</t>
  </si>
  <si>
    <t>Assets</t>
  </si>
  <si>
    <t>AR</t>
  </si>
  <si>
    <t>Inventories</t>
  </si>
  <si>
    <t>PP&amp;E</t>
  </si>
  <si>
    <t>Leases</t>
  </si>
  <si>
    <t>Goodwill</t>
  </si>
  <si>
    <t>OA</t>
  </si>
  <si>
    <t>L+SE</t>
  </si>
  <si>
    <t>SE</t>
  </si>
  <si>
    <t>AP</t>
  </si>
  <si>
    <t>AE</t>
  </si>
  <si>
    <t>DR</t>
  </si>
  <si>
    <t>OLTL</t>
  </si>
  <si>
    <t>Net Cash</t>
  </si>
  <si>
    <t>ROIC</t>
  </si>
  <si>
    <t>Discount</t>
  </si>
  <si>
    <t>Terminal</t>
  </si>
  <si>
    <t>NPV</t>
  </si>
  <si>
    <t>CEO: Andy Jassy</t>
  </si>
  <si>
    <t>North America OI</t>
  </si>
  <si>
    <t>International OI</t>
  </si>
  <si>
    <t>AWS OI</t>
  </si>
  <si>
    <t>Model NI</t>
  </si>
  <si>
    <t>Reported NI</t>
  </si>
  <si>
    <t>CFFO</t>
  </si>
  <si>
    <t>WC</t>
  </si>
  <si>
    <t>D&amp;A</t>
  </si>
  <si>
    <t>SBC</t>
  </si>
  <si>
    <t>DT</t>
  </si>
  <si>
    <t>CapEx</t>
  </si>
  <si>
    <t>CFFI</t>
  </si>
  <si>
    <t>Sale of CapEx</t>
  </si>
  <si>
    <t>Acquisitions</t>
  </si>
  <si>
    <t>Investments</t>
  </si>
  <si>
    <t>CFFF</t>
  </si>
  <si>
    <t>Buybacks</t>
  </si>
  <si>
    <t>FX</t>
  </si>
  <si>
    <t>CIC</t>
  </si>
  <si>
    <t xml:space="preserve">  Product y/y</t>
  </si>
  <si>
    <t xml:space="preserve">  Service y/y</t>
  </si>
  <si>
    <t>FCF</t>
  </si>
  <si>
    <t>Incorporated in Washington in 1994</t>
  </si>
  <si>
    <t>IPO 1997</t>
  </si>
  <si>
    <t>Stock Price</t>
  </si>
  <si>
    <t>July 1995 - store opened</t>
  </si>
  <si>
    <t>FCF TTM</t>
  </si>
  <si>
    <t>Q124</t>
  </si>
  <si>
    <t>Q224</t>
  </si>
  <si>
    <t>Q324</t>
  </si>
  <si>
    <t>Q424</t>
  </si>
  <si>
    <t>Q318</t>
  </si>
  <si>
    <t>Q218</t>
  </si>
  <si>
    <t>Q118</t>
  </si>
  <si>
    <t>Q417</t>
  </si>
  <si>
    <t>Q117</t>
  </si>
  <si>
    <t>Q217</t>
  </si>
  <si>
    <t>Q317</t>
  </si>
  <si>
    <t>Q125</t>
  </si>
  <si>
    <t>Q225</t>
  </si>
  <si>
    <t>Q325</t>
  </si>
  <si>
    <t>Q425</t>
  </si>
  <si>
    <t>Revenue CC</t>
  </si>
  <si>
    <t>S3</t>
  </si>
  <si>
    <t>EC2</t>
  </si>
  <si>
    <t>Dynamo</t>
  </si>
  <si>
    <t>Amazon</t>
  </si>
  <si>
    <t>Devices</t>
  </si>
  <si>
    <t>Echo</t>
  </si>
  <si>
    <t>Kindle</t>
  </si>
  <si>
    <t>Fire</t>
  </si>
  <si>
    <t>Prime</t>
  </si>
  <si>
    <t>Video</t>
  </si>
  <si>
    <t>Music</t>
  </si>
  <si>
    <t>SageMaker</t>
  </si>
  <si>
    <t>Very weak in GPUs</t>
  </si>
  <si>
    <t>Polly</t>
  </si>
  <si>
    <t>EKS</t>
  </si>
  <si>
    <t>Azure, GCP, Digital Ocean</t>
  </si>
  <si>
    <t>Tranium</t>
  </si>
  <si>
    <t>Inferentia</t>
  </si>
  <si>
    <t>HyperPods</t>
  </si>
  <si>
    <t>Bedrock</t>
  </si>
  <si>
    <t>AI models</t>
  </si>
  <si>
    <t>Advertising</t>
  </si>
  <si>
    <t>Twitch</t>
  </si>
  <si>
    <t>Whole Foods</t>
  </si>
  <si>
    <t>3PS</t>
  </si>
  <si>
    <t>Healthcare</t>
  </si>
  <si>
    <t>Audible</t>
  </si>
  <si>
    <t>Project Rainier: A collaboration with Anthropic using hundreds of thousands of Trainium2 chips to build the world’s largest AI compute cluster.</t>
  </si>
  <si>
    <t>New leading foundation models in Amazon Bedrock from DeepSeek, Luma AI, and poolside.</t>
  </si>
  <si>
    <t>Amazon Nova</t>
  </si>
  <si>
    <t>Shipping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</si>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</sst>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0" fontId="2" fillId="0" borderId="0" xfId="1"/>
    <xf numFmtId="9" fontId="0" fillId="0" borderId="0" xfId="0" applyNumberFormat="1"/>
    <xf numFmtId="164" fontId="0" fillId="0" borderId="0" xfId="0" applyNumberFormat="1"/>
    <xf numFmtId="9" fontId="1" fillId="0" borderId="0" xfId="0" applyNumberFormat="1" applyFont="1"/>
    <xf numFmtId="164" fontId="0" fillId="0" borderId="0" xfId="0" applyNumberFormat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0" fillId="2" borderId="0" xfId="0" applyNumberFormat="1" applyFill="1" applyAlignment="1">
      <alignment horizontal="right"/>
    </xf>
    <xf numFmtId="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3E69504-B68D-43F1-AC49-C448E066EA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33839</xdr:colOff>
      <xdr:row>0</xdr:row>
      <xdr:rowOff>0</xdr:rowOff>
    </xdr:from>
    <xdr:to>
      <xdr:col>36</xdr:col>
      <xdr:colOff>33839</xdr:colOff>
      <xdr:row>114</xdr:row>
      <xdr:rowOff>107462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25CB226-E4D6-8168-FE99-01008DCE0813}"/>
            </a:ext>
          </a:extLst>
        </xdr:cNvPr>
        <xdr:cNvCxnSpPr/>
      </xdr:nvCxnSpPr>
      <xdr:spPr>
        <a:xfrm>
          <a:off x="23138070" y="0"/>
          <a:ext cx="0" cy="18351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30041</xdr:colOff>
      <xdr:row>0</xdr:row>
      <xdr:rowOff>95250</xdr:rowOff>
    </xdr:from>
    <xdr:to>
      <xdr:col>73</xdr:col>
      <xdr:colOff>30041</xdr:colOff>
      <xdr:row>110</xdr:row>
      <xdr:rowOff>29307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FACF6FC-997B-412A-9CA8-F656EA181A34}"/>
            </a:ext>
          </a:extLst>
        </xdr:cNvPr>
        <xdr:cNvCxnSpPr/>
      </xdr:nvCxnSpPr>
      <xdr:spPr>
        <a:xfrm>
          <a:off x="42343022" y="95250"/>
          <a:ext cx="0" cy="175040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9ED4-9952-4C3B-8FDF-EC99BCC4C526}">
  <dimension ref="B2:L38"/>
  <sheetViews>
    <sheetView tabSelected="1" zoomScale="130" zoomScaleNormal="130" workbookViewId="0">
      <selection activeCell="K4" sqref="K4"/>
    </sheetView>
  </sheetViews>
  <sheetFormatPr defaultRowHeight="12.5" x14ac:dyDescent="0.25"/>
  <cols>
    <col min="3" max="3" width="11.7265625" customWidth="1"/>
  </cols>
  <sheetData>
    <row r="2" spans="2:12" x14ac:dyDescent="0.25">
      <c r="J2" t="s">
        <v>1</v>
      </c>
      <c r="K2" s="1">
        <v>226</v>
      </c>
    </row>
    <row r="3" spans="2:12" x14ac:dyDescent="0.25">
      <c r="J3" t="s">
        <v>2</v>
      </c>
      <c r="K3" s="2">
        <v>10806</v>
      </c>
      <c r="L3" s="3" t="s">
        <v>120</v>
      </c>
    </row>
    <row r="4" spans="2:12" x14ac:dyDescent="0.25">
      <c r="B4" t="s">
        <v>103</v>
      </c>
      <c r="J4" t="s">
        <v>3</v>
      </c>
      <c r="K4" s="2">
        <f>K3*K2</f>
        <v>2442156</v>
      </c>
    </row>
    <row r="5" spans="2:12" x14ac:dyDescent="0.25">
      <c r="B5" t="s">
        <v>106</v>
      </c>
      <c r="J5" t="s">
        <v>4</v>
      </c>
      <c r="K5" s="2">
        <v>93180</v>
      </c>
      <c r="L5" s="3" t="s">
        <v>120</v>
      </c>
    </row>
    <row r="6" spans="2:12" x14ac:dyDescent="0.25">
      <c r="B6" t="s">
        <v>104</v>
      </c>
      <c r="J6" t="s">
        <v>5</v>
      </c>
      <c r="K6" s="2">
        <v>50718</v>
      </c>
      <c r="L6" s="3" t="s">
        <v>120</v>
      </c>
    </row>
    <row r="7" spans="2:12" x14ac:dyDescent="0.25">
      <c r="J7" t="s">
        <v>6</v>
      </c>
      <c r="K7" s="2">
        <f>K4-K5+K6</f>
        <v>2399694</v>
      </c>
      <c r="L7" s="3"/>
    </row>
    <row r="8" spans="2:12" x14ac:dyDescent="0.25">
      <c r="K8" s="1"/>
    </row>
    <row r="9" spans="2:12" x14ac:dyDescent="0.25">
      <c r="J9" t="s">
        <v>80</v>
      </c>
    </row>
    <row r="10" spans="2:12" x14ac:dyDescent="0.25">
      <c r="B10" t="s">
        <v>37</v>
      </c>
    </row>
    <row r="11" spans="2:12" x14ac:dyDescent="0.25">
      <c r="C11" t="s">
        <v>124</v>
      </c>
      <c r="D11" t="s">
        <v>139</v>
      </c>
    </row>
    <row r="12" spans="2:12" x14ac:dyDescent="0.25">
      <c r="C12" t="s">
        <v>125</v>
      </c>
      <c r="D12" t="s">
        <v>136</v>
      </c>
    </row>
    <row r="13" spans="2:12" x14ac:dyDescent="0.25">
      <c r="C13" t="s">
        <v>126</v>
      </c>
    </row>
    <row r="14" spans="2:12" x14ac:dyDescent="0.25">
      <c r="C14" t="s">
        <v>135</v>
      </c>
      <c r="D14" t="s">
        <v>142</v>
      </c>
    </row>
    <row r="15" spans="2:12" x14ac:dyDescent="0.25">
      <c r="C15" t="s">
        <v>137</v>
      </c>
    </row>
    <row r="16" spans="2:12" x14ac:dyDescent="0.25">
      <c r="C16" t="s">
        <v>138</v>
      </c>
    </row>
    <row r="17" spans="2:8" x14ac:dyDescent="0.25">
      <c r="C17" t="s">
        <v>140</v>
      </c>
    </row>
    <row r="18" spans="2:8" x14ac:dyDescent="0.25">
      <c r="C18" t="s">
        <v>141</v>
      </c>
      <c r="H18" t="s">
        <v>151</v>
      </c>
    </row>
    <row r="19" spans="2:8" x14ac:dyDescent="0.25">
      <c r="C19" t="s">
        <v>143</v>
      </c>
      <c r="D19" t="s">
        <v>144</v>
      </c>
      <c r="H19" t="s">
        <v>152</v>
      </c>
    </row>
    <row r="20" spans="2:8" x14ac:dyDescent="0.25">
      <c r="B20" t="s">
        <v>127</v>
      </c>
      <c r="H20" t="s">
        <v>153</v>
      </c>
    </row>
    <row r="21" spans="2:8" x14ac:dyDescent="0.25">
      <c r="C21" t="s">
        <v>132</v>
      </c>
    </row>
    <row r="22" spans="2:8" x14ac:dyDescent="0.25">
      <c r="C22" t="s">
        <v>133</v>
      </c>
    </row>
    <row r="23" spans="2:8" x14ac:dyDescent="0.25">
      <c r="C23" t="s">
        <v>134</v>
      </c>
    </row>
    <row r="24" spans="2:8" x14ac:dyDescent="0.25">
      <c r="C24" t="s">
        <v>150</v>
      </c>
    </row>
    <row r="26" spans="2:8" x14ac:dyDescent="0.25">
      <c r="C26" t="s">
        <v>128</v>
      </c>
    </row>
    <row r="27" spans="2:8" x14ac:dyDescent="0.25">
      <c r="D27" t="s">
        <v>129</v>
      </c>
    </row>
    <row r="28" spans="2:8" x14ac:dyDescent="0.25">
      <c r="D28" t="s">
        <v>130</v>
      </c>
    </row>
    <row r="29" spans="2:8" x14ac:dyDescent="0.25">
      <c r="D29" t="s">
        <v>131</v>
      </c>
    </row>
    <row r="32" spans="2:8" x14ac:dyDescent="0.25">
      <c r="C32" t="s">
        <v>145</v>
      </c>
    </row>
    <row r="33" spans="3:4" x14ac:dyDescent="0.25">
      <c r="D33" t="s">
        <v>146</v>
      </c>
    </row>
    <row r="35" spans="3:4" x14ac:dyDescent="0.25">
      <c r="C35" t="s">
        <v>147</v>
      </c>
    </row>
    <row r="37" spans="3:4" x14ac:dyDescent="0.25">
      <c r="C37" t="s">
        <v>148</v>
      </c>
    </row>
    <row r="38" spans="3:4" x14ac:dyDescent="0.25">
      <c r="C38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D4FF-6525-4291-9B79-B00D62C08099}">
  <dimension ref="A1:EK103"/>
  <sheetViews>
    <sheetView zoomScale="130" zoomScaleNormal="130" workbookViewId="0">
      <pane xSplit="2" ySplit="2" topLeftCell="AD34" activePane="bottomRight" state="frozen"/>
      <selection pane="topRight" activeCell="C1" sqref="C1"/>
      <selection pane="bottomLeft" activeCell="A4" sqref="A4"/>
      <selection pane="bottomRight" activeCell="AI34" sqref="AI34"/>
    </sheetView>
  </sheetViews>
  <sheetFormatPr defaultRowHeight="12.5" x14ac:dyDescent="0.25"/>
  <cols>
    <col min="1" max="1" width="5" bestFit="1" customWidth="1"/>
    <col min="2" max="2" width="18.453125" customWidth="1"/>
    <col min="3" max="26" width="9.1796875" style="3"/>
    <col min="78" max="79" width="9.54296875" customWidth="1"/>
  </cols>
  <sheetData>
    <row r="1" spans="1:89" x14ac:dyDescent="0.25">
      <c r="A1" s="12" t="s">
        <v>0</v>
      </c>
    </row>
    <row r="2" spans="1:89" x14ac:dyDescent="0.25">
      <c r="C2" s="3" t="s">
        <v>116</v>
      </c>
      <c r="D2" s="3" t="s">
        <v>117</v>
      </c>
      <c r="E2" s="3" t="s">
        <v>118</v>
      </c>
      <c r="F2" s="3" t="s">
        <v>115</v>
      </c>
      <c r="G2" s="3" t="s">
        <v>114</v>
      </c>
      <c r="H2" s="3" t="s">
        <v>113</v>
      </c>
      <c r="I2" s="3" t="s">
        <v>112</v>
      </c>
      <c r="J2" s="3" t="s">
        <v>51</v>
      </c>
      <c r="K2" s="3" t="s">
        <v>50</v>
      </c>
      <c r="L2" s="3" t="s">
        <v>49</v>
      </c>
      <c r="M2" s="3" t="s">
        <v>48</v>
      </c>
      <c r="N2" s="3" t="s">
        <v>47</v>
      </c>
      <c r="O2" s="3" t="s">
        <v>9</v>
      </c>
      <c r="P2" s="3" t="s">
        <v>10</v>
      </c>
      <c r="Q2" s="3" t="s">
        <v>11</v>
      </c>
      <c r="R2" s="3" t="s">
        <v>12</v>
      </c>
      <c r="S2" s="3" t="s">
        <v>13</v>
      </c>
      <c r="T2" s="3" t="s">
        <v>14</v>
      </c>
      <c r="U2" s="3" t="s">
        <v>15</v>
      </c>
      <c r="V2" s="3" t="s">
        <v>16</v>
      </c>
      <c r="W2" s="3" t="s">
        <v>7</v>
      </c>
      <c r="X2" s="3" t="s">
        <v>17</v>
      </c>
      <c r="Y2" s="3" t="s">
        <v>18</v>
      </c>
      <c r="Z2" s="3" t="s">
        <v>19</v>
      </c>
      <c r="AA2" s="3" t="s">
        <v>52</v>
      </c>
      <c r="AB2" s="3" t="s">
        <v>53</v>
      </c>
      <c r="AC2" s="3" t="s">
        <v>54</v>
      </c>
      <c r="AD2" s="3" t="s">
        <v>55</v>
      </c>
      <c r="AE2" s="3" t="s">
        <v>108</v>
      </c>
      <c r="AF2" s="3" t="s">
        <v>109</v>
      </c>
      <c r="AG2" s="3" t="s">
        <v>110</v>
      </c>
      <c r="AH2" s="3" t="s">
        <v>111</v>
      </c>
      <c r="AI2" s="3" t="s">
        <v>119</v>
      </c>
      <c r="AJ2" s="3" t="s">
        <v>120</v>
      </c>
      <c r="AK2" s="3" t="s">
        <v>121</v>
      </c>
      <c r="AL2" s="3" t="s">
        <v>122</v>
      </c>
      <c r="AM2" s="3" t="s">
        <v>155</v>
      </c>
      <c r="AN2" s="3" t="s">
        <v>156</v>
      </c>
      <c r="AO2" s="3" t="s">
        <v>157</v>
      </c>
      <c r="AP2" s="3" t="s">
        <v>158</v>
      </c>
      <c r="AR2">
        <v>1995</v>
      </c>
      <c r="AS2">
        <v>1996</v>
      </c>
      <c r="AT2">
        <v>1997</v>
      </c>
      <c r="AU2">
        <v>1998</v>
      </c>
      <c r="AV2">
        <v>1999</v>
      </c>
      <c r="AW2">
        <v>2000</v>
      </c>
      <c r="AX2">
        <f>+AW2+1</f>
        <v>2001</v>
      </c>
      <c r="AY2">
        <f t="shared" ref="AY2:CK2" si="0">+AX2+1</f>
        <v>2002</v>
      </c>
      <c r="AZ2">
        <f t="shared" si="0"/>
        <v>2003</v>
      </c>
      <c r="BA2">
        <f t="shared" si="0"/>
        <v>2004</v>
      </c>
      <c r="BB2">
        <f t="shared" si="0"/>
        <v>2005</v>
      </c>
      <c r="BC2">
        <f t="shared" si="0"/>
        <v>2006</v>
      </c>
      <c r="BD2">
        <f t="shared" si="0"/>
        <v>2007</v>
      </c>
      <c r="BE2">
        <f t="shared" si="0"/>
        <v>2008</v>
      </c>
      <c r="BF2">
        <f t="shared" si="0"/>
        <v>2009</v>
      </c>
      <c r="BG2">
        <f t="shared" si="0"/>
        <v>2010</v>
      </c>
      <c r="BH2">
        <f t="shared" si="0"/>
        <v>2011</v>
      </c>
      <c r="BI2">
        <f t="shared" si="0"/>
        <v>2012</v>
      </c>
      <c r="BJ2">
        <f t="shared" si="0"/>
        <v>2013</v>
      </c>
      <c r="BK2">
        <f t="shared" si="0"/>
        <v>2014</v>
      </c>
      <c r="BL2">
        <f t="shared" si="0"/>
        <v>2015</v>
      </c>
      <c r="BM2">
        <f t="shared" si="0"/>
        <v>2016</v>
      </c>
      <c r="BN2">
        <f t="shared" si="0"/>
        <v>2017</v>
      </c>
      <c r="BO2">
        <f t="shared" si="0"/>
        <v>2018</v>
      </c>
      <c r="BP2">
        <f t="shared" si="0"/>
        <v>2019</v>
      </c>
      <c r="BQ2">
        <f t="shared" si="0"/>
        <v>2020</v>
      </c>
      <c r="BR2">
        <f t="shared" si="0"/>
        <v>2021</v>
      </c>
      <c r="BS2">
        <f t="shared" si="0"/>
        <v>2022</v>
      </c>
      <c r="BT2">
        <f t="shared" si="0"/>
        <v>2023</v>
      </c>
      <c r="BU2">
        <f t="shared" si="0"/>
        <v>2024</v>
      </c>
      <c r="BV2">
        <f t="shared" si="0"/>
        <v>2025</v>
      </c>
      <c r="BW2">
        <f t="shared" si="0"/>
        <v>2026</v>
      </c>
      <c r="BX2">
        <f t="shared" si="0"/>
        <v>2027</v>
      </c>
      <c r="BY2">
        <f t="shared" si="0"/>
        <v>2028</v>
      </c>
      <c r="BZ2">
        <f t="shared" si="0"/>
        <v>2029</v>
      </c>
      <c r="CA2">
        <f t="shared" si="0"/>
        <v>2030</v>
      </c>
      <c r="CB2">
        <f t="shared" si="0"/>
        <v>2031</v>
      </c>
      <c r="CC2">
        <f t="shared" si="0"/>
        <v>2032</v>
      </c>
      <c r="CD2">
        <f t="shared" si="0"/>
        <v>2033</v>
      </c>
      <c r="CE2">
        <f t="shared" si="0"/>
        <v>2034</v>
      </c>
      <c r="CF2">
        <f t="shared" si="0"/>
        <v>2035</v>
      </c>
      <c r="CG2">
        <f t="shared" si="0"/>
        <v>2036</v>
      </c>
      <c r="CH2">
        <f t="shared" si="0"/>
        <v>2037</v>
      </c>
      <c r="CI2">
        <f t="shared" si="0"/>
        <v>2038</v>
      </c>
      <c r="CJ2">
        <f t="shared" si="0"/>
        <v>2039</v>
      </c>
      <c r="CK2">
        <f t="shared" si="0"/>
        <v>2040</v>
      </c>
    </row>
    <row r="3" spans="1:89" s="2" customFormat="1" x14ac:dyDescent="0.25">
      <c r="B3" s="2" t="s">
        <v>35</v>
      </c>
      <c r="C3" s="4"/>
      <c r="D3" s="4"/>
      <c r="E3" s="4"/>
      <c r="F3" s="4"/>
      <c r="G3" s="4"/>
      <c r="H3" s="4"/>
      <c r="I3" s="4"/>
      <c r="J3" s="4">
        <v>44124</v>
      </c>
      <c r="K3" s="4">
        <v>35812</v>
      </c>
      <c r="L3" s="4">
        <v>38653</v>
      </c>
      <c r="M3" s="4">
        <v>42638</v>
      </c>
      <c r="N3" s="4">
        <v>53670</v>
      </c>
      <c r="O3" s="4">
        <v>46127</v>
      </c>
      <c r="P3" s="4">
        <v>55436</v>
      </c>
      <c r="Q3" s="4">
        <v>59373</v>
      </c>
      <c r="R3" s="4">
        <v>75346</v>
      </c>
      <c r="S3" s="4">
        <v>64366</v>
      </c>
      <c r="T3" s="4">
        <v>67550</v>
      </c>
      <c r="U3" s="4">
        <v>65557</v>
      </c>
      <c r="V3" s="4">
        <v>82360</v>
      </c>
      <c r="W3" s="4">
        <v>69244</v>
      </c>
      <c r="X3" s="4">
        <v>74430</v>
      </c>
      <c r="Y3" s="4">
        <v>78843</v>
      </c>
      <c r="Z3" s="4">
        <v>93363</v>
      </c>
      <c r="AA3" s="2">
        <v>76881</v>
      </c>
      <c r="AB3" s="2">
        <v>82546</v>
      </c>
      <c r="AC3" s="2">
        <v>87887</v>
      </c>
      <c r="AD3" s="2">
        <v>105514</v>
      </c>
      <c r="AE3" s="2">
        <v>86341</v>
      </c>
      <c r="AF3" s="2">
        <v>90033</v>
      </c>
      <c r="AG3" s="2">
        <v>95537</v>
      </c>
      <c r="AH3" s="2">
        <v>115586</v>
      </c>
      <c r="AI3" s="2">
        <v>92887</v>
      </c>
      <c r="AJ3" s="2">
        <v>100068</v>
      </c>
      <c r="AK3" s="2">
        <f>+AG3*1.07</f>
        <v>102224.59000000001</v>
      </c>
      <c r="AL3" s="2">
        <f>+AH3*1.07</f>
        <v>123677.02</v>
      </c>
      <c r="BK3" s="2">
        <v>50834</v>
      </c>
      <c r="BL3" s="2">
        <v>63708</v>
      </c>
      <c r="BM3" s="2">
        <v>79785</v>
      </c>
      <c r="BN3" s="2">
        <v>106110</v>
      </c>
      <c r="BO3" s="2">
        <v>141366</v>
      </c>
      <c r="BP3" s="2">
        <f>SUM(K3:N3)</f>
        <v>170773</v>
      </c>
      <c r="BQ3" s="2">
        <f>SUM(O3:R3)</f>
        <v>236282</v>
      </c>
      <c r="BR3" s="2">
        <f>SUM(S3:V3)</f>
        <v>279833</v>
      </c>
      <c r="BS3" s="2">
        <f>SUM(W3:Z3)</f>
        <v>315880</v>
      </c>
      <c r="BT3" s="2">
        <f>SUM(AA3:AD3)</f>
        <v>352828</v>
      </c>
      <c r="BU3" s="2">
        <f>SUM(AE3:AH3)</f>
        <v>387497</v>
      </c>
    </row>
    <row r="4" spans="1:89" s="2" customFormat="1" x14ac:dyDescent="0.25">
      <c r="B4" s="2" t="s">
        <v>60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BK4" s="2">
        <v>11567</v>
      </c>
      <c r="BL4" s="2">
        <v>12483</v>
      </c>
      <c r="BM4" s="2">
        <v>13580</v>
      </c>
    </row>
    <row r="5" spans="1:89" s="2" customFormat="1" x14ac:dyDescent="0.25">
      <c r="B5" s="2" t="s">
        <v>61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BK5" s="2">
        <v>38517</v>
      </c>
      <c r="BL5" s="2">
        <v>50401</v>
      </c>
      <c r="BM5" s="2">
        <v>64887</v>
      </c>
    </row>
    <row r="6" spans="1:89" s="2" customFormat="1" x14ac:dyDescent="0.25">
      <c r="B6" s="2" t="s">
        <v>36</v>
      </c>
      <c r="C6" s="4"/>
      <c r="D6" s="4"/>
      <c r="E6" s="4"/>
      <c r="F6" s="4"/>
      <c r="G6" s="4"/>
      <c r="H6" s="4"/>
      <c r="I6" s="4"/>
      <c r="J6" s="4">
        <v>41873</v>
      </c>
      <c r="K6" s="4">
        <v>16192</v>
      </c>
      <c r="L6" s="4">
        <v>16370</v>
      </c>
      <c r="M6" s="4">
        <v>18348</v>
      </c>
      <c r="N6" s="4">
        <v>23813</v>
      </c>
      <c r="O6" s="4">
        <v>19106</v>
      </c>
      <c r="P6" s="4">
        <v>22668</v>
      </c>
      <c r="Q6" s="4">
        <v>25171</v>
      </c>
      <c r="R6" s="4">
        <v>37467</v>
      </c>
      <c r="S6" s="4">
        <v>30649</v>
      </c>
      <c r="T6" s="4">
        <v>30721</v>
      </c>
      <c r="U6" s="4">
        <v>29145</v>
      </c>
      <c r="V6" s="4">
        <v>37272</v>
      </c>
      <c r="W6" s="4">
        <v>28759</v>
      </c>
      <c r="X6" s="4">
        <v>27065</v>
      </c>
      <c r="Y6" s="4">
        <v>27720</v>
      </c>
      <c r="Z6" s="4">
        <v>34463</v>
      </c>
      <c r="AA6" s="2">
        <v>29123</v>
      </c>
      <c r="AB6" s="2">
        <v>29697</v>
      </c>
      <c r="AC6" s="2">
        <v>32137</v>
      </c>
      <c r="AD6" s="2">
        <v>40243</v>
      </c>
      <c r="AE6" s="2">
        <v>31935</v>
      </c>
      <c r="AF6" s="2">
        <v>31663</v>
      </c>
      <c r="AG6" s="2">
        <v>35888</v>
      </c>
      <c r="AH6" s="2">
        <v>43420</v>
      </c>
      <c r="AI6" s="2">
        <v>33513</v>
      </c>
      <c r="AJ6" s="2">
        <v>36761</v>
      </c>
      <c r="AK6" s="2">
        <f>+AG6*1.07</f>
        <v>38400.160000000003</v>
      </c>
      <c r="AL6" s="2">
        <f>+AH6*1.07</f>
        <v>46459.4</v>
      </c>
      <c r="BK6" s="2">
        <v>33510</v>
      </c>
      <c r="BL6" s="2">
        <v>35418</v>
      </c>
      <c r="BM6" s="2">
        <v>43983</v>
      </c>
      <c r="BN6" s="2">
        <v>103273</v>
      </c>
      <c r="BO6" s="2">
        <v>134099</v>
      </c>
      <c r="BP6" s="2">
        <f>SUM(K6:N6)</f>
        <v>74723</v>
      </c>
      <c r="BQ6" s="2">
        <f>SUM(O6:R6)</f>
        <v>104412</v>
      </c>
      <c r="BR6" s="2">
        <f>SUM(S6:V6)</f>
        <v>127787</v>
      </c>
      <c r="BS6" s="2">
        <f>SUM(W6:Z6)</f>
        <v>118007</v>
      </c>
      <c r="BT6" s="2">
        <f>SUM(AA6:AD6)</f>
        <v>131200</v>
      </c>
      <c r="BU6" s="2">
        <f>SUM(AE6:AH6)</f>
        <v>142906</v>
      </c>
    </row>
    <row r="7" spans="1:89" s="2" customFormat="1" x14ac:dyDescent="0.25">
      <c r="B7" s="2" t="s">
        <v>60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BK7" s="2">
        <v>10938</v>
      </c>
      <c r="BL7" s="2">
        <v>10026</v>
      </c>
      <c r="BM7" s="2">
        <v>10631</v>
      </c>
    </row>
    <row r="8" spans="1:89" s="2" customFormat="1" x14ac:dyDescent="0.25">
      <c r="B8" s="2" t="s">
        <v>61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BK8" s="2">
        <v>22369</v>
      </c>
      <c r="BL8" s="2">
        <v>25196</v>
      </c>
      <c r="BM8" s="2">
        <v>33107</v>
      </c>
    </row>
    <row r="9" spans="1:89" s="2" customFormat="1" x14ac:dyDescent="0.25">
      <c r="B9" s="2" t="s">
        <v>37</v>
      </c>
      <c r="C9" s="4"/>
      <c r="D9" s="4"/>
      <c r="E9" s="4"/>
      <c r="F9" s="4"/>
      <c r="G9" s="4"/>
      <c r="H9" s="4"/>
      <c r="I9" s="4"/>
      <c r="J9" s="4">
        <v>7430</v>
      </c>
      <c r="K9" s="4">
        <v>7696</v>
      </c>
      <c r="L9" s="4">
        <v>8381</v>
      </c>
      <c r="M9" s="4">
        <v>8995</v>
      </c>
      <c r="N9" s="4">
        <v>9954</v>
      </c>
      <c r="O9" s="4">
        <v>10219</v>
      </c>
      <c r="P9" s="4">
        <v>10808</v>
      </c>
      <c r="Q9" s="4">
        <v>11601</v>
      </c>
      <c r="R9" s="4">
        <v>12742</v>
      </c>
      <c r="S9" s="4">
        <v>13503</v>
      </c>
      <c r="T9" s="4">
        <v>14809</v>
      </c>
      <c r="U9" s="4">
        <v>16110</v>
      </c>
      <c r="V9" s="4">
        <v>17780</v>
      </c>
      <c r="W9" s="4">
        <v>18441</v>
      </c>
      <c r="X9" s="4">
        <v>19739</v>
      </c>
      <c r="Y9" s="4">
        <v>20538</v>
      </c>
      <c r="Z9" s="4">
        <v>21378</v>
      </c>
      <c r="AA9" s="4">
        <v>21354</v>
      </c>
      <c r="AB9" s="4">
        <v>22140</v>
      </c>
      <c r="AC9" s="4">
        <v>23059</v>
      </c>
      <c r="AD9" s="4">
        <v>24204</v>
      </c>
      <c r="AE9" s="4">
        <v>25037</v>
      </c>
      <c r="AF9" s="4">
        <v>26281</v>
      </c>
      <c r="AG9" s="4">
        <v>27452</v>
      </c>
      <c r="AH9" s="4">
        <v>28786</v>
      </c>
      <c r="AI9" s="4">
        <v>29267</v>
      </c>
      <c r="AJ9" s="4">
        <v>30873</v>
      </c>
      <c r="AK9" s="4">
        <f>+AG9*1.1</f>
        <v>30197.200000000001</v>
      </c>
      <c r="AL9" s="4">
        <f>+AH9*1.1</f>
        <v>31664.600000000002</v>
      </c>
      <c r="AM9" s="4"/>
      <c r="AN9" s="4"/>
      <c r="AO9" s="4"/>
      <c r="AP9" s="4"/>
      <c r="BK9" s="2">
        <v>4644</v>
      </c>
      <c r="BL9" s="2">
        <v>7880</v>
      </c>
      <c r="BM9" s="2">
        <v>12219</v>
      </c>
      <c r="BN9" s="2">
        <v>17459</v>
      </c>
      <c r="BO9" s="2">
        <v>25655</v>
      </c>
      <c r="BP9" s="2">
        <f>SUM(K9:N9)</f>
        <v>35026</v>
      </c>
      <c r="BQ9" s="2">
        <f>SUM(O9:R9)</f>
        <v>45370</v>
      </c>
      <c r="BR9" s="2">
        <f>SUM(S9:V9)</f>
        <v>62202</v>
      </c>
      <c r="BS9" s="2">
        <f>SUM(W9:Z9)</f>
        <v>80096</v>
      </c>
      <c r="BT9" s="2">
        <f>SUM(AA9:AD9)</f>
        <v>90757</v>
      </c>
      <c r="BU9" s="2">
        <f>SUM(AE9:AH9)</f>
        <v>107556</v>
      </c>
      <c r="BV9" s="2">
        <f>SUM(AI9:AL9)</f>
        <v>122001.8</v>
      </c>
      <c r="BW9" s="2">
        <f>+BV9*1.2</f>
        <v>146402.16</v>
      </c>
      <c r="BX9" s="2">
        <f>+BW9*1.2</f>
        <v>175682.592</v>
      </c>
      <c r="BY9" s="2">
        <f>+BX9*1.15</f>
        <v>202034.98079999999</v>
      </c>
      <c r="BZ9" s="2">
        <f>+BY9*1.1</f>
        <v>222238.47888000001</v>
      </c>
      <c r="CA9" s="2">
        <f>+BZ9*1.1</f>
        <v>244462.32676800003</v>
      </c>
    </row>
    <row r="11" spans="1:89" s="2" customFormat="1" x14ac:dyDescent="0.25">
      <c r="B11" s="2" t="s">
        <v>40</v>
      </c>
      <c r="C11" s="4"/>
      <c r="D11" s="4"/>
      <c r="E11" s="4"/>
      <c r="F11" s="4"/>
      <c r="G11" s="4"/>
      <c r="H11" s="4"/>
      <c r="I11" s="4"/>
      <c r="J11" s="4">
        <v>39822</v>
      </c>
      <c r="K11" s="4">
        <v>29498</v>
      </c>
      <c r="L11" s="4">
        <v>31053</v>
      </c>
      <c r="M11" s="4">
        <v>35039</v>
      </c>
      <c r="N11" s="4">
        <v>45657</v>
      </c>
      <c r="O11" s="4">
        <v>36652</v>
      </c>
      <c r="P11" s="4">
        <v>45896</v>
      </c>
      <c r="Q11" s="4">
        <v>48350</v>
      </c>
      <c r="R11" s="4">
        <v>66451</v>
      </c>
      <c r="S11" s="4">
        <v>52901</v>
      </c>
      <c r="T11" s="4">
        <v>53157</v>
      </c>
      <c r="U11" s="4">
        <v>49942</v>
      </c>
      <c r="V11" s="4">
        <v>66075</v>
      </c>
      <c r="W11" s="4">
        <v>51129</v>
      </c>
      <c r="X11" s="4">
        <v>50855</v>
      </c>
      <c r="Y11" s="4">
        <v>53489</v>
      </c>
      <c r="Z11" s="4">
        <v>64531</v>
      </c>
      <c r="AA11" s="4">
        <v>51096</v>
      </c>
      <c r="AB11" s="4">
        <v>52966</v>
      </c>
      <c r="AC11" s="4">
        <v>57267</v>
      </c>
      <c r="AD11" s="4">
        <v>70543</v>
      </c>
      <c r="AE11" s="4">
        <v>54670</v>
      </c>
      <c r="AF11" s="4">
        <v>55392</v>
      </c>
      <c r="AG11" s="4">
        <v>61411</v>
      </c>
      <c r="AH11" s="2">
        <v>75556</v>
      </c>
      <c r="AI11" s="2">
        <v>57407</v>
      </c>
      <c r="AJ11" s="2">
        <v>61485</v>
      </c>
      <c r="BO11" s="2">
        <f>26939+27165+29061+39822</f>
        <v>122987</v>
      </c>
      <c r="BP11" s="2">
        <f t="shared" ref="BP11:BP16" si="1">SUM(K11:N11)</f>
        <v>141247</v>
      </c>
      <c r="BQ11" s="2">
        <f t="shared" ref="BQ11:BQ16" si="2">SUM(O11:R11)</f>
        <v>197349</v>
      </c>
      <c r="BR11" s="2">
        <f t="shared" ref="BR11:BR16" si="3">SUM(S11:V11)</f>
        <v>222075</v>
      </c>
      <c r="BS11" s="2">
        <f t="shared" ref="BS11:BS16" si="4">SUM(W11:Z11)</f>
        <v>220004</v>
      </c>
      <c r="BT11" s="2">
        <f t="shared" ref="BT11:BT16" si="5">SUM(AA11:AD11)</f>
        <v>231872</v>
      </c>
      <c r="BU11" s="2">
        <f t="shared" ref="BU11:BU16" si="6">SUM(AE11:AH11)</f>
        <v>247029</v>
      </c>
      <c r="BV11" s="2">
        <f t="shared" ref="BV11:CA11" si="7">+BU11*1.05</f>
        <v>259380.45</v>
      </c>
      <c r="BW11" s="2">
        <f t="shared" si="7"/>
        <v>272349.47250000003</v>
      </c>
      <c r="BX11" s="2">
        <f t="shared" si="7"/>
        <v>285966.94612500007</v>
      </c>
      <c r="BY11" s="2">
        <f t="shared" si="7"/>
        <v>300265.29343125009</v>
      </c>
      <c r="BZ11" s="2">
        <f t="shared" si="7"/>
        <v>315278.55810281262</v>
      </c>
      <c r="CA11" s="2">
        <f t="shared" si="7"/>
        <v>331042.48600795324</v>
      </c>
    </row>
    <row r="12" spans="1:89" s="2" customFormat="1" x14ac:dyDescent="0.25">
      <c r="B12" s="2" t="s">
        <v>41</v>
      </c>
      <c r="C12" s="4"/>
      <c r="D12" s="4"/>
      <c r="E12" s="4"/>
      <c r="F12" s="4"/>
      <c r="G12" s="4"/>
      <c r="H12" s="4"/>
      <c r="I12" s="4"/>
      <c r="J12" s="4">
        <v>4401</v>
      </c>
      <c r="K12" s="4">
        <v>4307</v>
      </c>
      <c r="L12" s="4">
        <v>4330</v>
      </c>
      <c r="M12" s="4">
        <v>4192</v>
      </c>
      <c r="N12" s="4">
        <v>4363</v>
      </c>
      <c r="O12" s="4">
        <v>4640</v>
      </c>
      <c r="P12" s="4">
        <v>3774</v>
      </c>
      <c r="Q12" s="4">
        <v>3788</v>
      </c>
      <c r="R12" s="4">
        <v>4022</v>
      </c>
      <c r="S12" s="4">
        <v>3920</v>
      </c>
      <c r="T12" s="4">
        <v>4198</v>
      </c>
      <c r="U12" s="4">
        <v>4269</v>
      </c>
      <c r="V12" s="4">
        <v>4688</v>
      </c>
      <c r="W12" s="4">
        <v>4591</v>
      </c>
      <c r="X12" s="4">
        <v>4721</v>
      </c>
      <c r="Y12" s="4">
        <v>4694</v>
      </c>
      <c r="Z12" s="4">
        <v>4957</v>
      </c>
      <c r="AA12" s="4">
        <v>4895</v>
      </c>
      <c r="AB12" s="4">
        <v>5024</v>
      </c>
      <c r="AC12" s="4">
        <v>4959</v>
      </c>
      <c r="AD12" s="4">
        <v>5152</v>
      </c>
      <c r="AE12" s="4">
        <v>5202</v>
      </c>
      <c r="AF12" s="4">
        <v>5206</v>
      </c>
      <c r="AG12" s="4">
        <v>5228</v>
      </c>
      <c r="AH12" s="2">
        <v>5579</v>
      </c>
      <c r="AI12" s="2">
        <v>5533</v>
      </c>
      <c r="AJ12" s="2">
        <v>5595</v>
      </c>
      <c r="BO12" s="2">
        <f>4263+4312+4248+4401</f>
        <v>17224</v>
      </c>
      <c r="BP12" s="2">
        <f t="shared" si="1"/>
        <v>17192</v>
      </c>
      <c r="BQ12" s="2">
        <f t="shared" si="2"/>
        <v>16224</v>
      </c>
      <c r="BR12" s="2">
        <f t="shared" si="3"/>
        <v>17075</v>
      </c>
      <c r="BS12" s="2">
        <f t="shared" si="4"/>
        <v>18963</v>
      </c>
      <c r="BT12" s="2">
        <f t="shared" si="5"/>
        <v>20030</v>
      </c>
      <c r="BU12" s="2">
        <f t="shared" si="6"/>
        <v>21215</v>
      </c>
      <c r="BV12" s="2">
        <f t="shared" ref="BV12:CA12" si="8">+BU12*1.05</f>
        <v>22275.75</v>
      </c>
      <c r="BW12" s="2">
        <f t="shared" si="8"/>
        <v>23389.537500000002</v>
      </c>
      <c r="BX12" s="2">
        <f t="shared" si="8"/>
        <v>24559.014375000002</v>
      </c>
      <c r="BY12" s="2">
        <f t="shared" si="8"/>
        <v>25786.965093750005</v>
      </c>
      <c r="BZ12" s="2">
        <f t="shared" si="8"/>
        <v>27076.313348437507</v>
      </c>
      <c r="CA12" s="2">
        <f t="shared" si="8"/>
        <v>28430.129015859384</v>
      </c>
    </row>
    <row r="13" spans="1:89" s="2" customFormat="1" x14ac:dyDescent="0.25">
      <c r="B13" s="2" t="s">
        <v>42</v>
      </c>
      <c r="C13" s="4"/>
      <c r="D13" s="4"/>
      <c r="E13" s="4"/>
      <c r="F13" s="4"/>
      <c r="G13" s="4"/>
      <c r="H13" s="4"/>
      <c r="I13" s="4"/>
      <c r="J13" s="4">
        <v>13383</v>
      </c>
      <c r="K13" s="4">
        <v>11141</v>
      </c>
      <c r="L13" s="4">
        <v>11962</v>
      </c>
      <c r="M13" s="4">
        <v>13212</v>
      </c>
      <c r="N13" s="4">
        <v>17446</v>
      </c>
      <c r="O13" s="4">
        <v>14479</v>
      </c>
      <c r="P13" s="4">
        <v>18195</v>
      </c>
      <c r="Q13" s="4">
        <v>20436</v>
      </c>
      <c r="R13" s="4">
        <v>27327</v>
      </c>
      <c r="S13" s="4">
        <v>23709</v>
      </c>
      <c r="T13" s="4">
        <v>25085</v>
      </c>
      <c r="U13" s="4">
        <v>24252</v>
      </c>
      <c r="V13" s="4">
        <v>30320</v>
      </c>
      <c r="W13" s="4">
        <v>25335</v>
      </c>
      <c r="X13" s="4">
        <v>27376</v>
      </c>
      <c r="Y13" s="4">
        <v>28666</v>
      </c>
      <c r="Z13" s="4">
        <v>36339</v>
      </c>
      <c r="AA13" s="4">
        <v>29820</v>
      </c>
      <c r="AB13" s="4">
        <v>32332</v>
      </c>
      <c r="AC13" s="4">
        <v>34342</v>
      </c>
      <c r="AD13" s="4">
        <v>43559</v>
      </c>
      <c r="AE13" s="4">
        <v>34596</v>
      </c>
      <c r="AF13" s="4">
        <v>36201</v>
      </c>
      <c r="AG13" s="4">
        <v>37864</v>
      </c>
      <c r="AH13" s="2">
        <v>47485</v>
      </c>
      <c r="AI13" s="2">
        <v>36512</v>
      </c>
      <c r="AJ13" s="2">
        <v>40348</v>
      </c>
      <c r="BO13" s="2">
        <f>9265+9702+10395+13383</f>
        <v>42745</v>
      </c>
      <c r="BP13" s="2">
        <f t="shared" si="1"/>
        <v>53761</v>
      </c>
      <c r="BQ13" s="2">
        <f t="shared" si="2"/>
        <v>80437</v>
      </c>
      <c r="BR13" s="2">
        <f t="shared" si="3"/>
        <v>103366</v>
      </c>
      <c r="BS13" s="2">
        <f t="shared" si="4"/>
        <v>117716</v>
      </c>
      <c r="BT13" s="2">
        <f t="shared" si="5"/>
        <v>140053</v>
      </c>
      <c r="BU13" s="2">
        <f t="shared" si="6"/>
        <v>156146</v>
      </c>
      <c r="BV13" s="2">
        <f t="shared" ref="BV13:CA13" si="9">+BU13*1.05</f>
        <v>163953.30000000002</v>
      </c>
      <c r="BW13" s="2">
        <f t="shared" si="9"/>
        <v>172150.96500000003</v>
      </c>
      <c r="BX13" s="2">
        <f t="shared" si="9"/>
        <v>180758.51325000005</v>
      </c>
      <c r="BY13" s="2">
        <f t="shared" si="9"/>
        <v>189796.43891250005</v>
      </c>
      <c r="BZ13" s="2">
        <f t="shared" si="9"/>
        <v>199286.26085812505</v>
      </c>
      <c r="CA13" s="2">
        <f t="shared" si="9"/>
        <v>209250.57390103131</v>
      </c>
    </row>
    <row r="14" spans="1:89" s="2" customFormat="1" x14ac:dyDescent="0.25">
      <c r="B14" s="2" t="s">
        <v>43</v>
      </c>
      <c r="C14" s="4"/>
      <c r="D14" s="4"/>
      <c r="E14" s="4"/>
      <c r="F14" s="4"/>
      <c r="G14" s="4"/>
      <c r="H14" s="4"/>
      <c r="I14" s="4"/>
      <c r="J14" s="4">
        <v>3959</v>
      </c>
      <c r="K14" s="4">
        <v>4342</v>
      </c>
      <c r="L14" s="4">
        <v>4676</v>
      </c>
      <c r="M14" s="4">
        <v>4957</v>
      </c>
      <c r="N14" s="4">
        <v>5235</v>
      </c>
      <c r="O14" s="4">
        <v>5556</v>
      </c>
      <c r="P14" s="4">
        <v>6018</v>
      </c>
      <c r="Q14" s="4">
        <v>6572</v>
      </c>
      <c r="R14" s="4">
        <v>7061</v>
      </c>
      <c r="S14" s="4">
        <v>7580</v>
      </c>
      <c r="T14" s="4">
        <v>7917</v>
      </c>
      <c r="U14" s="4">
        <v>8148</v>
      </c>
      <c r="V14" s="4">
        <v>8123</v>
      </c>
      <c r="W14" s="4">
        <v>8410</v>
      </c>
      <c r="X14" s="4">
        <v>8716</v>
      </c>
      <c r="Y14" s="4">
        <v>8903</v>
      </c>
      <c r="Z14" s="4">
        <v>9189</v>
      </c>
      <c r="AA14" s="4">
        <v>9657</v>
      </c>
      <c r="AB14" s="4">
        <v>9894</v>
      </c>
      <c r="AC14" s="4">
        <v>10170</v>
      </c>
      <c r="AD14" s="4">
        <v>10488</v>
      </c>
      <c r="AE14" s="4">
        <v>11824</v>
      </c>
      <c r="AF14" s="4">
        <v>12771</v>
      </c>
      <c r="AG14" s="4">
        <v>14331</v>
      </c>
      <c r="AH14" s="2">
        <v>17288</v>
      </c>
      <c r="AI14" s="2">
        <v>13921</v>
      </c>
      <c r="AJ14" s="2">
        <v>15694</v>
      </c>
      <c r="BO14" s="2">
        <f>3102+3408+3698+3959</f>
        <v>14167</v>
      </c>
      <c r="BP14" s="2">
        <f t="shared" si="1"/>
        <v>19210</v>
      </c>
      <c r="BQ14" s="2">
        <f t="shared" si="2"/>
        <v>25207</v>
      </c>
      <c r="BR14" s="2">
        <f t="shared" si="3"/>
        <v>31768</v>
      </c>
      <c r="BS14" s="2">
        <f t="shared" si="4"/>
        <v>35218</v>
      </c>
      <c r="BT14" s="2">
        <f t="shared" si="5"/>
        <v>40209</v>
      </c>
      <c r="BU14" s="2">
        <f t="shared" si="6"/>
        <v>56214</v>
      </c>
      <c r="BV14" s="2">
        <f t="shared" ref="BV14:BX14" si="10">+BU14*1.1</f>
        <v>61835.4</v>
      </c>
      <c r="BW14" s="2">
        <f t="shared" si="10"/>
        <v>68018.94</v>
      </c>
      <c r="BX14" s="2">
        <f t="shared" si="10"/>
        <v>74820.834000000003</v>
      </c>
      <c r="BY14" s="2">
        <f t="shared" ref="BY14:CA14" si="11">+BX14*1.05</f>
        <v>78561.875700000004</v>
      </c>
      <c r="BZ14" s="2">
        <f t="shared" si="11"/>
        <v>82489.969485000009</v>
      </c>
      <c r="CA14" s="2">
        <f t="shared" si="11"/>
        <v>86614.467959250018</v>
      </c>
    </row>
    <row r="15" spans="1:89" s="2" customFormat="1" x14ac:dyDescent="0.25">
      <c r="B15" s="2" t="s">
        <v>44</v>
      </c>
      <c r="C15" s="4"/>
      <c r="D15" s="4"/>
      <c r="E15" s="4"/>
      <c r="F15" s="4"/>
      <c r="G15" s="4"/>
      <c r="H15" s="4"/>
      <c r="I15" s="4"/>
      <c r="J15" s="4">
        <v>3388</v>
      </c>
      <c r="K15" s="4">
        <v>2716</v>
      </c>
      <c r="L15" s="4">
        <v>3002</v>
      </c>
      <c r="M15" s="4">
        <v>3586</v>
      </c>
      <c r="N15" s="4">
        <v>4782</v>
      </c>
      <c r="O15" s="4">
        <v>3906</v>
      </c>
      <c r="P15" s="4">
        <v>4221</v>
      </c>
      <c r="Q15" s="4">
        <v>5398</v>
      </c>
      <c r="R15" s="4">
        <v>7350</v>
      </c>
      <c r="S15" s="4">
        <v>6381</v>
      </c>
      <c r="T15" s="4">
        <v>7451</v>
      </c>
      <c r="U15" s="4">
        <v>7612</v>
      </c>
      <c r="V15" s="4">
        <v>9716</v>
      </c>
      <c r="W15" s="4">
        <v>7877</v>
      </c>
      <c r="X15" s="4">
        <v>8757</v>
      </c>
      <c r="Y15" s="4">
        <v>9548</v>
      </c>
      <c r="Z15" s="4">
        <v>11557</v>
      </c>
      <c r="AA15" s="4">
        <v>9509</v>
      </c>
      <c r="AB15" s="4">
        <v>10683</v>
      </c>
      <c r="AC15" s="4">
        <v>12060</v>
      </c>
      <c r="AD15" s="4">
        <v>14654</v>
      </c>
      <c r="AE15" s="4">
        <v>10722</v>
      </c>
      <c r="AF15" s="4">
        <v>10866</v>
      </c>
      <c r="AG15" s="4">
        <v>11278</v>
      </c>
      <c r="AH15" s="2">
        <v>11508</v>
      </c>
      <c r="AI15" s="2">
        <v>11715</v>
      </c>
      <c r="AJ15" s="2">
        <v>12208</v>
      </c>
      <c r="BO15" s="2">
        <f>2031+2194+2495+3388</f>
        <v>10108</v>
      </c>
      <c r="BP15" s="2">
        <f t="shared" si="1"/>
        <v>14086</v>
      </c>
      <c r="BQ15" s="2">
        <f t="shared" si="2"/>
        <v>20875</v>
      </c>
      <c r="BR15" s="2">
        <f t="shared" si="3"/>
        <v>31160</v>
      </c>
      <c r="BS15" s="2">
        <f t="shared" si="4"/>
        <v>37739</v>
      </c>
      <c r="BT15" s="2">
        <f t="shared" si="5"/>
        <v>46906</v>
      </c>
      <c r="BU15" s="2">
        <f t="shared" si="6"/>
        <v>44374</v>
      </c>
      <c r="BV15" s="2">
        <f t="shared" ref="BV15:BX15" si="12">+BU15*1.1</f>
        <v>48811.4</v>
      </c>
      <c r="BW15" s="2">
        <f t="shared" si="12"/>
        <v>53692.540000000008</v>
      </c>
      <c r="BX15" s="2">
        <f t="shared" si="12"/>
        <v>59061.794000000016</v>
      </c>
      <c r="BY15" s="2">
        <f t="shared" ref="BY15:CA15" si="13">+BX15*1.05</f>
        <v>62014.88370000002</v>
      </c>
      <c r="BZ15" s="2">
        <f t="shared" si="13"/>
        <v>65115.627885000024</v>
      </c>
      <c r="CA15" s="2">
        <f t="shared" si="13"/>
        <v>68371.409279250031</v>
      </c>
    </row>
    <row r="16" spans="1:89" s="2" customFormat="1" x14ac:dyDescent="0.25">
      <c r="B16" s="2" t="s">
        <v>45</v>
      </c>
      <c r="C16" s="4"/>
      <c r="D16" s="4"/>
      <c r="E16" s="4"/>
      <c r="F16" s="4"/>
      <c r="G16" s="4"/>
      <c r="H16" s="4"/>
      <c r="I16" s="4"/>
      <c r="J16" s="4"/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602</v>
      </c>
      <c r="S16" s="4">
        <v>524</v>
      </c>
      <c r="T16" s="4">
        <v>463</v>
      </c>
      <c r="U16" s="4">
        <v>479</v>
      </c>
      <c r="V16" s="4">
        <v>710</v>
      </c>
      <c r="W16" s="4">
        <v>661</v>
      </c>
      <c r="X16" s="4">
        <v>1070</v>
      </c>
      <c r="Y16" s="4">
        <v>1263</v>
      </c>
      <c r="Z16" s="4">
        <v>1253</v>
      </c>
      <c r="AA16" s="4">
        <v>1027</v>
      </c>
      <c r="AB16" s="4">
        <v>1344</v>
      </c>
      <c r="AC16" s="4">
        <v>1226</v>
      </c>
      <c r="AD16" s="4">
        <v>1361</v>
      </c>
      <c r="AE16" s="4">
        <v>1262</v>
      </c>
      <c r="AF16" s="4">
        <v>1260</v>
      </c>
      <c r="AG16" s="4">
        <v>1313</v>
      </c>
      <c r="AH16" s="2">
        <v>1590</v>
      </c>
      <c r="AI16" s="2">
        <v>1312</v>
      </c>
      <c r="AJ16" s="2">
        <v>1499</v>
      </c>
      <c r="BP16" s="2">
        <f t="shared" si="1"/>
        <v>0</v>
      </c>
      <c r="BQ16" s="2">
        <f t="shared" si="2"/>
        <v>602</v>
      </c>
      <c r="BR16" s="2">
        <f t="shared" si="3"/>
        <v>2176</v>
      </c>
      <c r="BS16" s="2">
        <f t="shared" si="4"/>
        <v>4247</v>
      </c>
      <c r="BT16" s="2">
        <f t="shared" si="5"/>
        <v>4958</v>
      </c>
      <c r="BU16" s="2">
        <f t="shared" si="6"/>
        <v>5425</v>
      </c>
      <c r="BV16" s="2">
        <f t="shared" ref="BV16:CA16" si="14">+BU16*1.05</f>
        <v>5696.25</v>
      </c>
      <c r="BW16" s="2">
        <f t="shared" si="14"/>
        <v>5981.0625</v>
      </c>
      <c r="BX16" s="2">
        <f t="shared" si="14"/>
        <v>6280.1156250000004</v>
      </c>
      <c r="BY16" s="2">
        <f t="shared" si="14"/>
        <v>6594.1214062500003</v>
      </c>
      <c r="BZ16" s="2">
        <f t="shared" si="14"/>
        <v>6923.827476562501</v>
      </c>
      <c r="CA16" s="2">
        <f t="shared" si="14"/>
        <v>7270.0188503906265</v>
      </c>
    </row>
    <row r="17" spans="2:141" x14ac:dyDescent="0.25">
      <c r="BS17" s="2"/>
      <c r="BT17" s="2"/>
    </row>
    <row r="18" spans="2:141" s="2" customFormat="1" x14ac:dyDescent="0.25">
      <c r="B18" s="2" t="s">
        <v>20</v>
      </c>
      <c r="C18" s="4"/>
      <c r="D18" s="4"/>
      <c r="E18" s="4"/>
      <c r="F18" s="4"/>
      <c r="G18" s="4"/>
      <c r="H18" s="4"/>
      <c r="I18" s="4"/>
      <c r="J18" s="4">
        <v>44700</v>
      </c>
      <c r="K18" s="4">
        <v>34283</v>
      </c>
      <c r="L18" s="4">
        <v>35856</v>
      </c>
      <c r="M18" s="4">
        <v>39726</v>
      </c>
      <c r="N18" s="4">
        <v>50542</v>
      </c>
      <c r="O18" s="4">
        <v>41841</v>
      </c>
      <c r="P18" s="4">
        <v>50244</v>
      </c>
      <c r="Q18" s="4">
        <v>52774</v>
      </c>
      <c r="R18" s="4">
        <v>71056</v>
      </c>
      <c r="S18" s="4">
        <v>57491</v>
      </c>
      <c r="T18" s="4">
        <v>58004</v>
      </c>
      <c r="U18" s="4">
        <v>54876</v>
      </c>
      <c r="V18" s="4">
        <v>71416</v>
      </c>
      <c r="W18" s="4">
        <v>56455</v>
      </c>
      <c r="X18" s="4">
        <v>56575</v>
      </c>
      <c r="Y18" s="4">
        <v>59340</v>
      </c>
      <c r="Z18" s="4">
        <v>70531</v>
      </c>
      <c r="AA18" s="2">
        <v>56981</v>
      </c>
      <c r="AB18" s="2">
        <v>59032</v>
      </c>
      <c r="AC18" s="2">
        <v>63171</v>
      </c>
      <c r="AD18" s="2">
        <v>76703</v>
      </c>
      <c r="AE18" s="2">
        <v>60915</v>
      </c>
      <c r="AF18" s="2">
        <v>61569</v>
      </c>
      <c r="AG18" s="2">
        <v>67601</v>
      </c>
      <c r="AH18" s="2">
        <v>82226</v>
      </c>
      <c r="AI18" s="2">
        <v>63970</v>
      </c>
      <c r="AJ18" s="2">
        <v>68246</v>
      </c>
      <c r="BN18" s="2">
        <v>118573</v>
      </c>
      <c r="BO18" s="2">
        <v>141915</v>
      </c>
      <c r="BP18" s="2">
        <f>SUM(K18:N18)</f>
        <v>160407</v>
      </c>
      <c r="BQ18" s="2">
        <f>SUM(O18:R18)</f>
        <v>215915</v>
      </c>
      <c r="BR18" s="2">
        <f>SUM(S18:V18)</f>
        <v>241787</v>
      </c>
      <c r="BS18" s="2">
        <f t="shared" ref="BS18:BS19" si="15">SUM(W18:Z18)</f>
        <v>242901</v>
      </c>
      <c r="BT18" s="2">
        <f t="shared" ref="BT18:BT19" si="16">SUM(AA18:AD18)</f>
        <v>255887</v>
      </c>
      <c r="BU18" s="2">
        <f t="shared" ref="BU18:BU19" si="17">SUM(AE18:AH18)</f>
        <v>272311</v>
      </c>
    </row>
    <row r="19" spans="2:141" s="2" customFormat="1" x14ac:dyDescent="0.25">
      <c r="B19" s="2" t="s">
        <v>21</v>
      </c>
      <c r="C19" s="4"/>
      <c r="D19" s="4"/>
      <c r="E19" s="4"/>
      <c r="F19" s="4"/>
      <c r="G19" s="4"/>
      <c r="H19" s="4"/>
      <c r="I19" s="4"/>
      <c r="J19" s="4">
        <v>27683</v>
      </c>
      <c r="K19" s="4">
        <v>25417</v>
      </c>
      <c r="L19" s="4">
        <v>27548</v>
      </c>
      <c r="M19" s="4">
        <v>30255</v>
      </c>
      <c r="N19" s="4">
        <v>36895</v>
      </c>
      <c r="O19" s="4">
        <v>33611</v>
      </c>
      <c r="P19" s="4">
        <v>38668</v>
      </c>
      <c r="Q19" s="4">
        <v>43371</v>
      </c>
      <c r="R19" s="4">
        <v>54499</v>
      </c>
      <c r="S19" s="4">
        <v>51027</v>
      </c>
      <c r="T19" s="4">
        <v>55076</v>
      </c>
      <c r="U19" s="4">
        <v>55936</v>
      </c>
      <c r="V19" s="4">
        <v>65996</v>
      </c>
      <c r="W19" s="4">
        <v>59989</v>
      </c>
      <c r="X19" s="4">
        <v>64659</v>
      </c>
      <c r="Y19" s="4">
        <v>67761</v>
      </c>
      <c r="Z19" s="4">
        <v>78673</v>
      </c>
      <c r="AA19" s="2">
        <v>70377</v>
      </c>
      <c r="AB19" s="2">
        <v>75351</v>
      </c>
      <c r="AC19" s="2">
        <v>79912</v>
      </c>
      <c r="AD19" s="2">
        <v>93258</v>
      </c>
      <c r="AE19" s="2">
        <v>82398</v>
      </c>
      <c r="AF19" s="2">
        <v>86409</v>
      </c>
      <c r="AG19" s="2">
        <v>91276</v>
      </c>
      <c r="AH19" s="2">
        <v>105566</v>
      </c>
      <c r="AI19" s="2">
        <v>91697</v>
      </c>
      <c r="AJ19" s="2">
        <v>99456</v>
      </c>
      <c r="BN19" s="2">
        <v>59293</v>
      </c>
      <c r="BO19" s="2">
        <v>90972</v>
      </c>
      <c r="BP19" s="2">
        <f>SUM(K19:N19)</f>
        <v>120115</v>
      </c>
      <c r="BQ19" s="2">
        <f>SUM(O19:R19)</f>
        <v>170149</v>
      </c>
      <c r="BR19" s="2">
        <f>SUM(S19:V19)</f>
        <v>228035</v>
      </c>
      <c r="BS19" s="2">
        <f t="shared" si="15"/>
        <v>271082</v>
      </c>
      <c r="BT19" s="2">
        <f t="shared" si="16"/>
        <v>318898</v>
      </c>
      <c r="BU19" s="2">
        <f t="shared" si="17"/>
        <v>365649</v>
      </c>
    </row>
    <row r="20" spans="2:141" s="5" customFormat="1" ht="13" x14ac:dyDescent="0.3">
      <c r="B20" s="5" t="s">
        <v>8</v>
      </c>
      <c r="C20" s="6"/>
      <c r="D20" s="6"/>
      <c r="E20" s="6"/>
      <c r="F20" s="6"/>
      <c r="G20" s="6"/>
      <c r="H20" s="6"/>
      <c r="I20" s="6"/>
      <c r="J20" s="6">
        <f t="shared" ref="J20" si="18">J18+J19</f>
        <v>72383</v>
      </c>
      <c r="K20" s="6">
        <f t="shared" ref="K20:M20" si="19">K18+K19</f>
        <v>59700</v>
      </c>
      <c r="L20" s="6">
        <f t="shared" ref="L20" si="20">L18+L19</f>
        <v>63404</v>
      </c>
      <c r="M20" s="6">
        <f t="shared" si="19"/>
        <v>69981</v>
      </c>
      <c r="N20" s="6">
        <f t="shared" ref="N20" si="21">N18+N19</f>
        <v>87437</v>
      </c>
      <c r="O20" s="6">
        <f t="shared" ref="O20" si="22">O18+O19</f>
        <v>75452</v>
      </c>
      <c r="P20" s="6">
        <f t="shared" ref="P20" si="23">P18+P19</f>
        <v>88912</v>
      </c>
      <c r="Q20" s="6">
        <f t="shared" ref="Q20:V20" si="24">Q18+Q19</f>
        <v>96145</v>
      </c>
      <c r="R20" s="6">
        <f t="shared" si="24"/>
        <v>125555</v>
      </c>
      <c r="S20" s="6">
        <f t="shared" si="24"/>
        <v>108518</v>
      </c>
      <c r="T20" s="6">
        <f t="shared" si="24"/>
        <v>113080</v>
      </c>
      <c r="U20" s="6">
        <f t="shared" si="24"/>
        <v>110812</v>
      </c>
      <c r="V20" s="6">
        <f t="shared" si="24"/>
        <v>137412</v>
      </c>
      <c r="W20" s="6">
        <f>W18+W19</f>
        <v>116444</v>
      </c>
      <c r="X20" s="6">
        <f>X18+X19</f>
        <v>121234</v>
      </c>
      <c r="Y20" s="6">
        <f>+Y18+Y19</f>
        <v>127101</v>
      </c>
      <c r="Z20" s="6">
        <f>+Z19+Z18</f>
        <v>149204</v>
      </c>
      <c r="AA20" s="6">
        <f>AA19+AA18</f>
        <v>127358</v>
      </c>
      <c r="AB20" s="6">
        <f>+AB18+AB19</f>
        <v>134383</v>
      </c>
      <c r="AC20" s="6">
        <f>SUM(AC9:AC16)</f>
        <v>143083</v>
      </c>
      <c r="AD20" s="6">
        <f>SUM(AD9:AD16)</f>
        <v>169961</v>
      </c>
      <c r="AE20" s="6">
        <f>SUM(AE9:AE16)</f>
        <v>143313</v>
      </c>
      <c r="AF20" s="6">
        <f>+AF19+AF18</f>
        <v>147978</v>
      </c>
      <c r="AG20" s="6">
        <f>+AG19+AG18</f>
        <v>158877</v>
      </c>
      <c r="AH20" s="6">
        <f>+AH19+AH18</f>
        <v>187792</v>
      </c>
      <c r="AI20" s="6">
        <f>+AI19+AI18</f>
        <v>155667</v>
      </c>
      <c r="AJ20" s="6">
        <f>+AJ18+AJ19</f>
        <v>167702</v>
      </c>
      <c r="AK20" s="6">
        <f>+AG20*1.1</f>
        <v>174764.7</v>
      </c>
      <c r="AL20" s="6">
        <f>+AH20*1.1</f>
        <v>206571.2</v>
      </c>
      <c r="AM20" s="6"/>
      <c r="AN20" s="6"/>
      <c r="AO20" s="6"/>
      <c r="AP20" s="6"/>
      <c r="AR20" s="5">
        <v>0.51100000000000001</v>
      </c>
      <c r="AS20" s="5">
        <v>15.746</v>
      </c>
      <c r="AT20" s="5">
        <v>147.78700000000001</v>
      </c>
      <c r="AU20" s="5">
        <v>609.81899999999996</v>
      </c>
      <c r="AV20" s="5">
        <v>1639.8389999999999</v>
      </c>
      <c r="AW20" s="5">
        <v>2761.9830000000002</v>
      </c>
      <c r="AX20" s="5">
        <v>3122.433</v>
      </c>
      <c r="AY20" s="5">
        <v>3932.9360000000001</v>
      </c>
      <c r="AZ20" s="5">
        <v>5263.6989999999996</v>
      </c>
      <c r="BA20" s="5">
        <v>6921</v>
      </c>
      <c r="BB20" s="5">
        <v>8490</v>
      </c>
      <c r="BC20" s="5">
        <v>10711</v>
      </c>
      <c r="BD20" s="5">
        <v>14835</v>
      </c>
      <c r="BE20" s="5">
        <v>19166</v>
      </c>
      <c r="BF20" s="5">
        <v>24509</v>
      </c>
      <c r="BG20" s="5">
        <v>34204</v>
      </c>
      <c r="BH20" s="5">
        <v>48077</v>
      </c>
      <c r="BI20" s="5">
        <v>61093</v>
      </c>
      <c r="BJ20" s="5">
        <v>74452</v>
      </c>
      <c r="BK20" s="5">
        <f>+BK3+BK6+BK9</f>
        <v>88988</v>
      </c>
      <c r="BL20" s="5">
        <f t="shared" ref="BL20:BM20" si="25">+BL3+BL6+BL9</f>
        <v>107006</v>
      </c>
      <c r="BM20" s="5">
        <f t="shared" si="25"/>
        <v>135987</v>
      </c>
      <c r="BN20" s="6">
        <f t="shared" ref="BN20" si="26">BN18+BN19</f>
        <v>177866</v>
      </c>
      <c r="BO20" s="6">
        <f t="shared" ref="BO20" si="27">BO18+BO19</f>
        <v>232887</v>
      </c>
      <c r="BP20" s="6">
        <f>BP18+BP19</f>
        <v>280522</v>
      </c>
      <c r="BQ20" s="6">
        <f>BQ18+BQ19</f>
        <v>386064</v>
      </c>
      <c r="BR20" s="6">
        <f>BR18+BR19</f>
        <v>469822</v>
      </c>
      <c r="BS20" s="5">
        <f>SUM(BS9:BS16)</f>
        <v>513983</v>
      </c>
      <c r="BT20" s="5">
        <f>SUM(BT9:BT16)</f>
        <v>574785</v>
      </c>
      <c r="BU20" s="5">
        <f>SUM(BU9:BU16)</f>
        <v>637959</v>
      </c>
      <c r="BV20" s="5">
        <f t="shared" ref="BV20:CA20" si="28">SUM(BV9:BV16)</f>
        <v>683954.35000000009</v>
      </c>
      <c r="BW20" s="5">
        <f t="shared" si="28"/>
        <v>741984.67749999999</v>
      </c>
      <c r="BX20" s="5">
        <f t="shared" si="28"/>
        <v>807129.80937500019</v>
      </c>
      <c r="BY20" s="5">
        <f t="shared" si="28"/>
        <v>865054.55904375017</v>
      </c>
      <c r="BZ20" s="5">
        <f t="shared" si="28"/>
        <v>918409.03603593772</v>
      </c>
      <c r="CA20" s="5">
        <f t="shared" si="28"/>
        <v>975441.41178173455</v>
      </c>
    </row>
    <row r="21" spans="2:141" s="2" customFormat="1" x14ac:dyDescent="0.25">
      <c r="B21" s="2" t="s">
        <v>22</v>
      </c>
      <c r="C21" s="4"/>
      <c r="D21" s="4"/>
      <c r="E21" s="4"/>
      <c r="F21" s="4"/>
      <c r="G21" s="4"/>
      <c r="H21" s="4"/>
      <c r="I21" s="4"/>
      <c r="J21" s="4">
        <v>44786</v>
      </c>
      <c r="K21" s="4">
        <v>33920</v>
      </c>
      <c r="L21" s="4">
        <v>36337</v>
      </c>
      <c r="M21" s="4">
        <v>41302</v>
      </c>
      <c r="N21" s="4">
        <v>53977</v>
      </c>
      <c r="O21" s="4">
        <v>44257</v>
      </c>
      <c r="P21" s="4">
        <v>52660</v>
      </c>
      <c r="Q21" s="4">
        <v>57106</v>
      </c>
      <c r="R21" s="4">
        <v>79284</v>
      </c>
      <c r="S21" s="4">
        <v>62403</v>
      </c>
      <c r="T21" s="4">
        <v>64176</v>
      </c>
      <c r="U21" s="4">
        <v>62930</v>
      </c>
      <c r="V21" s="4">
        <v>82835</v>
      </c>
      <c r="W21" s="4">
        <v>66499</v>
      </c>
      <c r="X21" s="4">
        <v>66424</v>
      </c>
      <c r="Y21" s="4">
        <v>70268</v>
      </c>
      <c r="Z21" s="4">
        <v>85640</v>
      </c>
      <c r="AA21" s="4">
        <v>67791</v>
      </c>
      <c r="AB21" s="4">
        <v>69373</v>
      </c>
      <c r="AC21" s="4">
        <v>75022</v>
      </c>
      <c r="AD21" s="4">
        <v>92553</v>
      </c>
      <c r="AE21" s="4">
        <v>72633</v>
      </c>
      <c r="AF21" s="4">
        <v>73785</v>
      </c>
      <c r="AG21" s="4">
        <v>80977</v>
      </c>
      <c r="AH21" s="2">
        <v>98893</v>
      </c>
      <c r="AI21" s="2">
        <v>76976</v>
      </c>
      <c r="AJ21" s="2">
        <v>80809</v>
      </c>
      <c r="AX21" s="2">
        <v>2323.875</v>
      </c>
      <c r="AY21" s="2">
        <v>2940.3180000000002</v>
      </c>
      <c r="AZ21" s="2">
        <v>4006.5309999999999</v>
      </c>
      <c r="BK21" s="2">
        <v>62752</v>
      </c>
      <c r="BL21" s="2">
        <v>71651</v>
      </c>
      <c r="BM21" s="2">
        <v>88265</v>
      </c>
      <c r="BN21" s="2">
        <v>111934</v>
      </c>
      <c r="BO21" s="2">
        <v>139156</v>
      </c>
      <c r="BP21" s="2">
        <f>SUM(K21:N21)</f>
        <v>165536</v>
      </c>
      <c r="BQ21" s="2">
        <f>SUM(O21:R21)</f>
        <v>233307</v>
      </c>
      <c r="BR21" s="2">
        <f>SUM(S21:V21)</f>
        <v>272344</v>
      </c>
      <c r="BS21" s="2">
        <f>SUM(W21:Z21)</f>
        <v>288831</v>
      </c>
      <c r="BT21" s="2">
        <f>SUM(AA21:AD21)</f>
        <v>304739</v>
      </c>
      <c r="BU21" s="4">
        <f t="shared" ref="BU21:CA21" si="29">SUM(BU11:BU13)*0.8+BU9*0.7</f>
        <v>414801.2</v>
      </c>
      <c r="BV21" s="4">
        <f t="shared" si="29"/>
        <v>441888.86000000004</v>
      </c>
      <c r="BW21" s="4">
        <f t="shared" si="29"/>
        <v>476793.49200000003</v>
      </c>
      <c r="BX21" s="4">
        <f t="shared" si="29"/>
        <v>516005.39340000012</v>
      </c>
      <c r="BY21" s="4">
        <f t="shared" si="29"/>
        <v>554103.44451000006</v>
      </c>
      <c r="BZ21" s="4">
        <f t="shared" si="29"/>
        <v>588879.84106350003</v>
      </c>
      <c r="CA21" s="4">
        <f t="shared" si="29"/>
        <v>626102.17987747514</v>
      </c>
    </row>
    <row r="22" spans="2:141" s="2" customFormat="1" x14ac:dyDescent="0.25">
      <c r="B22" s="2" t="s">
        <v>23</v>
      </c>
      <c r="C22" s="4"/>
      <c r="D22" s="4"/>
      <c r="E22" s="4"/>
      <c r="F22" s="4"/>
      <c r="G22" s="4"/>
      <c r="H22" s="4"/>
      <c r="I22" s="4"/>
      <c r="J22" s="4">
        <v>10028</v>
      </c>
      <c r="K22" s="4">
        <v>8601</v>
      </c>
      <c r="L22" s="4">
        <v>9271</v>
      </c>
      <c r="M22" s="4">
        <v>10167</v>
      </c>
      <c r="N22" s="4">
        <v>12192</v>
      </c>
      <c r="O22" s="4">
        <v>11531</v>
      </c>
      <c r="P22" s="4">
        <v>13806</v>
      </c>
      <c r="Q22" s="4">
        <v>14705</v>
      </c>
      <c r="R22" s="4">
        <v>18474</v>
      </c>
      <c r="S22" s="4">
        <v>16530</v>
      </c>
      <c r="T22" s="4">
        <v>17638</v>
      </c>
      <c r="U22" s="4">
        <v>18498</v>
      </c>
      <c r="V22" s="4">
        <v>22445</v>
      </c>
      <c r="W22" s="4">
        <v>20271</v>
      </c>
      <c r="X22" s="4">
        <v>20342</v>
      </c>
      <c r="Y22" s="4">
        <v>20583</v>
      </c>
      <c r="Z22" s="4">
        <v>23103</v>
      </c>
      <c r="AA22" s="4">
        <v>20905</v>
      </c>
      <c r="AB22" s="4">
        <v>21305</v>
      </c>
      <c r="AC22" s="4">
        <v>22314</v>
      </c>
      <c r="AD22" s="4">
        <v>26095</v>
      </c>
      <c r="AE22" s="4">
        <v>22317</v>
      </c>
      <c r="AF22" s="4">
        <v>23566</v>
      </c>
      <c r="AG22" s="4">
        <v>24660</v>
      </c>
      <c r="AH22" s="2">
        <v>27962</v>
      </c>
      <c r="AI22" s="2">
        <v>24593</v>
      </c>
      <c r="AJ22" s="2">
        <v>25976</v>
      </c>
      <c r="AX22" s="2">
        <v>798.55799999999999</v>
      </c>
      <c r="AY22" s="2">
        <v>392.46699999999998</v>
      </c>
      <c r="AZ22" s="2">
        <v>477.03199999999998</v>
      </c>
      <c r="BK22" s="2">
        <v>10766</v>
      </c>
      <c r="BL22" s="2">
        <v>13410</v>
      </c>
      <c r="BM22" s="2">
        <v>17619</v>
      </c>
      <c r="BN22" s="2">
        <v>25249</v>
      </c>
      <c r="BO22" s="2">
        <v>34027</v>
      </c>
      <c r="BP22" s="2">
        <f>SUM(K22:N22)</f>
        <v>40231</v>
      </c>
      <c r="BQ22" s="2">
        <f>SUM(O22:R22)</f>
        <v>58516</v>
      </c>
      <c r="BR22" s="2">
        <f>SUM(S22:V22)</f>
        <v>75111</v>
      </c>
      <c r="BS22" s="2">
        <f>SUM(W22:Z22)</f>
        <v>84299</v>
      </c>
      <c r="BT22" s="2">
        <f>SUM(AA22:AD22)</f>
        <v>90619</v>
      </c>
      <c r="BU22" s="4">
        <f t="shared" ref="BU22:CA22" si="30">(BU13+BU11)*0.1</f>
        <v>40317.5</v>
      </c>
      <c r="BV22" s="4">
        <f t="shared" si="30"/>
        <v>42333.375</v>
      </c>
      <c r="BW22" s="4">
        <f t="shared" si="30"/>
        <v>44450.043750000012</v>
      </c>
      <c r="BX22" s="4">
        <f t="shared" si="30"/>
        <v>46672.545937500014</v>
      </c>
      <c r="BY22" s="4">
        <f t="shared" si="30"/>
        <v>49006.173234375019</v>
      </c>
      <c r="BZ22" s="4">
        <f t="shared" si="30"/>
        <v>51456.48189609377</v>
      </c>
      <c r="CA22" s="4">
        <f t="shared" si="30"/>
        <v>54029.305990898458</v>
      </c>
    </row>
    <row r="23" spans="2:141" s="2" customFormat="1" x14ac:dyDescent="0.25">
      <c r="B23" s="2" t="s">
        <v>29</v>
      </c>
      <c r="C23" s="4"/>
      <c r="D23" s="4"/>
      <c r="E23" s="4"/>
      <c r="F23" s="4"/>
      <c r="G23" s="4"/>
      <c r="H23" s="4"/>
      <c r="I23" s="4"/>
      <c r="J23" s="4">
        <f t="shared" ref="J23" si="31">J20-J21-J22</f>
        <v>17569</v>
      </c>
      <c r="K23" s="4">
        <f>K20-K21-K22</f>
        <v>17179</v>
      </c>
      <c r="L23" s="4">
        <f t="shared" ref="L23" si="32">L20-L21-L22</f>
        <v>17796</v>
      </c>
      <c r="M23" s="4">
        <f>M20-M21-M22</f>
        <v>18512</v>
      </c>
      <c r="N23" s="4">
        <f t="shared" ref="N23" si="33">N20-N21-N22</f>
        <v>21268</v>
      </c>
      <c r="O23" s="4">
        <f t="shared" ref="O23" si="34">O20-O21-O22</f>
        <v>19664</v>
      </c>
      <c r="P23" s="4">
        <f t="shared" ref="P23" si="35">P20-P21-P22</f>
        <v>22446</v>
      </c>
      <c r="Q23" s="4">
        <f>Q20-Q21-Q22</f>
        <v>24334</v>
      </c>
      <c r="R23" s="4">
        <f t="shared" ref="R23" si="36">R20-R21-R22</f>
        <v>27797</v>
      </c>
      <c r="S23" s="4">
        <f>S20-S21-S22</f>
        <v>29585</v>
      </c>
      <c r="T23" s="4">
        <f t="shared" ref="T23:AE23" si="37">T20-T21-T22</f>
        <v>31266</v>
      </c>
      <c r="U23" s="4">
        <f t="shared" si="37"/>
        <v>29384</v>
      </c>
      <c r="V23" s="4">
        <f t="shared" si="37"/>
        <v>32132</v>
      </c>
      <c r="W23" s="4">
        <f t="shared" si="37"/>
        <v>29674</v>
      </c>
      <c r="X23" s="4">
        <f t="shared" si="37"/>
        <v>34468</v>
      </c>
      <c r="Y23" s="4">
        <f>Y20-Y21-Y22</f>
        <v>36250</v>
      </c>
      <c r="Z23" s="4">
        <f>Z20-Z21-Z22</f>
        <v>40461</v>
      </c>
      <c r="AA23" s="4">
        <f>AA20-AA21-AA22</f>
        <v>38662</v>
      </c>
      <c r="AB23" s="4">
        <f t="shared" si="37"/>
        <v>43705</v>
      </c>
      <c r="AC23" s="4">
        <f>AC20-AC21-AC22</f>
        <v>45747</v>
      </c>
      <c r="AD23" s="4">
        <f t="shared" si="37"/>
        <v>51313</v>
      </c>
      <c r="AE23" s="4">
        <f t="shared" si="37"/>
        <v>48363</v>
      </c>
      <c r="AF23" s="4">
        <f>AF20-AF21-AF22</f>
        <v>50627</v>
      </c>
      <c r="AG23" s="4">
        <f>AG20-AG21-AG22</f>
        <v>53240</v>
      </c>
      <c r="AH23" s="4">
        <f>AH20-AH21-AH22</f>
        <v>60937</v>
      </c>
      <c r="AI23" s="4">
        <f>AI20-AI21-AI22</f>
        <v>54098</v>
      </c>
      <c r="AJ23" s="4">
        <f>AJ20-AJ21-AJ22</f>
        <v>60917</v>
      </c>
      <c r="AK23" s="2">
        <f t="shared" ref="AK23:AL23" si="38">+AK20*0.34</f>
        <v>59419.998000000007</v>
      </c>
      <c r="AL23" s="2">
        <f t="shared" si="38"/>
        <v>70234.208000000013</v>
      </c>
      <c r="AX23" s="2">
        <f>AX20-AX21-AX22</f>
        <v>0</v>
      </c>
      <c r="AY23" s="2">
        <f>AY20-AY21-AY22</f>
        <v>600.15099999999995</v>
      </c>
      <c r="AZ23" s="2">
        <f>AZ20-AZ21-AZ22</f>
        <v>780.13599999999974</v>
      </c>
      <c r="BK23" s="4">
        <f t="shared" ref="BK23:BN23" si="39">BK20-BK21-BK22</f>
        <v>15470</v>
      </c>
      <c r="BL23" s="4">
        <f t="shared" si="39"/>
        <v>21945</v>
      </c>
      <c r="BM23" s="4">
        <f t="shared" si="39"/>
        <v>30103</v>
      </c>
      <c r="BN23" s="4">
        <f t="shared" si="39"/>
        <v>40683</v>
      </c>
      <c r="BO23" s="4">
        <f t="shared" ref="BO23:BP23" si="40">BO20-BO21-BO22</f>
        <v>59704</v>
      </c>
      <c r="BP23" s="4">
        <f t="shared" si="40"/>
        <v>74755</v>
      </c>
      <c r="BQ23" s="4">
        <f t="shared" ref="BQ23:CA23" si="41">BQ20-BQ21-BQ22</f>
        <v>94241</v>
      </c>
      <c r="BR23" s="4">
        <f t="shared" si="41"/>
        <v>122367</v>
      </c>
      <c r="BS23" s="4">
        <f t="shared" si="41"/>
        <v>140853</v>
      </c>
      <c r="BT23" s="4">
        <f t="shared" si="41"/>
        <v>179427</v>
      </c>
      <c r="BU23" s="4">
        <f t="shared" si="41"/>
        <v>182840.3</v>
      </c>
      <c r="BV23" s="4">
        <f t="shared" si="41"/>
        <v>199732.11500000005</v>
      </c>
      <c r="BW23" s="4">
        <f t="shared" si="41"/>
        <v>220741.14174999995</v>
      </c>
      <c r="BX23" s="4">
        <f t="shared" si="41"/>
        <v>244451.87003750005</v>
      </c>
      <c r="BY23" s="4">
        <f t="shared" si="41"/>
        <v>261944.94129937509</v>
      </c>
      <c r="BZ23" s="4">
        <f t="shared" si="41"/>
        <v>278072.71307634393</v>
      </c>
      <c r="CA23" s="4">
        <f t="shared" si="41"/>
        <v>295309.92591336096</v>
      </c>
    </row>
    <row r="24" spans="2:141" s="2" customFormat="1" x14ac:dyDescent="0.25">
      <c r="B24" s="2" t="s">
        <v>24</v>
      </c>
      <c r="C24" s="4"/>
      <c r="D24" s="4"/>
      <c r="E24" s="4"/>
      <c r="F24" s="4"/>
      <c r="G24" s="4"/>
      <c r="H24" s="4"/>
      <c r="I24" s="4"/>
      <c r="J24" s="4">
        <v>7669</v>
      </c>
      <c r="K24" s="4">
        <v>7927</v>
      </c>
      <c r="L24" s="4">
        <v>9065</v>
      </c>
      <c r="M24" s="4">
        <v>9200</v>
      </c>
      <c r="N24" s="4">
        <v>9740</v>
      </c>
      <c r="O24" s="4">
        <v>9325</v>
      </c>
      <c r="P24" s="4">
        <v>10388</v>
      </c>
      <c r="Q24" s="4">
        <v>10976</v>
      </c>
      <c r="R24" s="4">
        <v>12049</v>
      </c>
      <c r="S24" s="4">
        <v>12488</v>
      </c>
      <c r="T24" s="4">
        <v>13871</v>
      </c>
      <c r="U24" s="4">
        <v>14380</v>
      </c>
      <c r="V24" s="4">
        <v>15313</v>
      </c>
      <c r="W24" s="4">
        <v>14842</v>
      </c>
      <c r="X24" s="4">
        <v>18072</v>
      </c>
      <c r="Y24" s="4">
        <v>19485</v>
      </c>
      <c r="Z24" s="4">
        <v>20814</v>
      </c>
      <c r="AA24" s="4">
        <v>20450</v>
      </c>
      <c r="AB24" s="4">
        <v>21931</v>
      </c>
      <c r="AC24" s="4">
        <v>21203</v>
      </c>
      <c r="AD24" s="4">
        <v>22038</v>
      </c>
      <c r="AE24" s="4">
        <v>20424</v>
      </c>
      <c r="AF24" s="4">
        <v>22304</v>
      </c>
      <c r="AG24" s="4">
        <v>24660</v>
      </c>
      <c r="AH24" s="2">
        <v>23571</v>
      </c>
      <c r="AI24" s="2">
        <f>+AE24*1.07</f>
        <v>21853.68</v>
      </c>
      <c r="AJ24" s="2">
        <v>27166</v>
      </c>
      <c r="AX24" s="2">
        <v>241.16499999999999</v>
      </c>
      <c r="AY24" s="2">
        <v>215.61699999999999</v>
      </c>
      <c r="AZ24" s="2">
        <v>207.809</v>
      </c>
      <c r="BK24" s="2">
        <v>9275</v>
      </c>
      <c r="BL24" s="2">
        <v>12540</v>
      </c>
      <c r="BM24" s="2">
        <v>16085</v>
      </c>
      <c r="BN24" s="2">
        <v>22620</v>
      </c>
      <c r="BO24" s="2">
        <v>28837</v>
      </c>
      <c r="BP24" s="2">
        <f>SUM(K24:N24)</f>
        <v>35932</v>
      </c>
      <c r="BQ24" s="2">
        <f>SUM(O24:R24)</f>
        <v>42738</v>
      </c>
      <c r="BR24" s="2">
        <f>SUM(S24:V24)</f>
        <v>56052</v>
      </c>
      <c r="BS24" s="2">
        <f>SUM(W24:Z24)</f>
        <v>73213</v>
      </c>
      <c r="BT24" s="2">
        <f>SUM(AA24:AD24)</f>
        <v>85622</v>
      </c>
      <c r="BU24" s="2">
        <f>+BT24*1.03</f>
        <v>88190.66</v>
      </c>
      <c r="BV24" s="2">
        <f t="shared" ref="BV24:CA24" si="42">+BU24*1.03</f>
        <v>90836.37980000001</v>
      </c>
      <c r="BW24" s="2">
        <f t="shared" si="42"/>
        <v>93561.471194000012</v>
      </c>
      <c r="BX24" s="2">
        <f t="shared" si="42"/>
        <v>96368.31532982002</v>
      </c>
      <c r="BY24" s="2">
        <f t="shared" si="42"/>
        <v>99259.364789714629</v>
      </c>
      <c r="BZ24" s="2">
        <f t="shared" si="42"/>
        <v>102237.14573340607</v>
      </c>
      <c r="CA24" s="2">
        <f t="shared" si="42"/>
        <v>105304.26010540825</v>
      </c>
    </row>
    <row r="25" spans="2:141" s="2" customFormat="1" x14ac:dyDescent="0.25">
      <c r="B25" s="2" t="s">
        <v>25</v>
      </c>
      <c r="C25" s="4"/>
      <c r="D25" s="4"/>
      <c r="E25" s="4"/>
      <c r="F25" s="4"/>
      <c r="G25" s="4"/>
      <c r="H25" s="4"/>
      <c r="I25" s="4"/>
      <c r="J25" s="4">
        <v>4911</v>
      </c>
      <c r="K25" s="4">
        <v>3664</v>
      </c>
      <c r="L25" s="4">
        <v>4291</v>
      </c>
      <c r="M25" s="4">
        <v>4752</v>
      </c>
      <c r="N25" s="4">
        <v>6172</v>
      </c>
      <c r="O25" s="4">
        <v>4828</v>
      </c>
      <c r="P25" s="4">
        <v>4345</v>
      </c>
      <c r="Q25" s="4">
        <v>5434</v>
      </c>
      <c r="R25" s="4">
        <v>7403</v>
      </c>
      <c r="S25" s="4">
        <v>6207</v>
      </c>
      <c r="T25" s="4">
        <v>7524</v>
      </c>
      <c r="U25" s="4">
        <v>8010</v>
      </c>
      <c r="V25" s="4">
        <v>10810</v>
      </c>
      <c r="W25" s="4">
        <v>8320</v>
      </c>
      <c r="X25" s="4">
        <v>10086</v>
      </c>
      <c r="Y25" s="4">
        <v>11014</v>
      </c>
      <c r="Z25" s="4">
        <v>12818</v>
      </c>
      <c r="AA25" s="4">
        <v>10172</v>
      </c>
      <c r="AB25" s="4">
        <v>10745</v>
      </c>
      <c r="AC25" s="4">
        <v>10551</v>
      </c>
      <c r="AD25" s="4">
        <v>12902</v>
      </c>
      <c r="AE25" s="4">
        <v>9662</v>
      </c>
      <c r="AF25" s="4">
        <v>10512</v>
      </c>
      <c r="AG25" s="4">
        <v>10609</v>
      </c>
      <c r="AH25" s="2">
        <v>13124</v>
      </c>
      <c r="AI25" s="2">
        <f>+AE25*1.07</f>
        <v>10338.34</v>
      </c>
      <c r="AJ25" s="2">
        <v>11416</v>
      </c>
      <c r="AX25" s="2">
        <v>138.28299999999999</v>
      </c>
      <c r="AY25" s="2">
        <v>125.383</v>
      </c>
      <c r="AZ25" s="2">
        <v>122.78700000000001</v>
      </c>
      <c r="BK25" s="2">
        <v>4332</v>
      </c>
      <c r="BL25" s="2">
        <v>5254</v>
      </c>
      <c r="BM25" s="2">
        <v>7233</v>
      </c>
      <c r="BN25" s="2">
        <v>10069</v>
      </c>
      <c r="BO25" s="2">
        <v>13814</v>
      </c>
      <c r="BP25" s="2">
        <f>SUM(K25:N25)</f>
        <v>18879</v>
      </c>
      <c r="BQ25" s="2">
        <f>SUM(O25:R25)</f>
        <v>22010</v>
      </c>
      <c r="BR25" s="2">
        <f>SUM(S25:V25)</f>
        <v>32551</v>
      </c>
      <c r="BS25" s="2">
        <f>SUM(W25:Z25)</f>
        <v>42238</v>
      </c>
      <c r="BT25" s="2">
        <f>SUM(AA25:AD25)</f>
        <v>44370</v>
      </c>
      <c r="BU25" s="2">
        <f t="shared" ref="BU25:CA25" si="43">+BT25*1.03</f>
        <v>45701.1</v>
      </c>
      <c r="BV25" s="2">
        <f t="shared" si="43"/>
        <v>47072.133000000002</v>
      </c>
      <c r="BW25" s="2">
        <f t="shared" si="43"/>
        <v>48484.296990000003</v>
      </c>
      <c r="BX25" s="2">
        <f t="shared" si="43"/>
        <v>49938.825899700001</v>
      </c>
      <c r="BY25" s="2">
        <f t="shared" si="43"/>
        <v>51436.990676690999</v>
      </c>
      <c r="BZ25" s="2">
        <f t="shared" si="43"/>
        <v>52980.100396991729</v>
      </c>
      <c r="CA25" s="2">
        <f t="shared" si="43"/>
        <v>54569.503408901481</v>
      </c>
    </row>
    <row r="26" spans="2:141" x14ac:dyDescent="0.25">
      <c r="B26" s="2" t="s">
        <v>26</v>
      </c>
      <c r="C26" s="4"/>
      <c r="D26" s="4"/>
      <c r="E26" s="4"/>
      <c r="F26" s="4"/>
      <c r="G26" s="4"/>
      <c r="H26" s="4"/>
      <c r="I26" s="4"/>
      <c r="J26" s="4">
        <v>1117</v>
      </c>
      <c r="K26" s="4">
        <v>1173</v>
      </c>
      <c r="L26" s="4">
        <v>1270</v>
      </c>
      <c r="M26" s="4">
        <v>1348</v>
      </c>
      <c r="N26" s="4">
        <v>1412</v>
      </c>
      <c r="O26" s="4">
        <v>1452</v>
      </c>
      <c r="P26" s="4">
        <v>1580</v>
      </c>
      <c r="Q26" s="4">
        <v>1668</v>
      </c>
      <c r="R26" s="4">
        <v>1968</v>
      </c>
      <c r="S26" s="4">
        <v>1987</v>
      </c>
      <c r="T26" s="4">
        <v>2158</v>
      </c>
      <c r="U26" s="4">
        <v>2153</v>
      </c>
      <c r="V26" s="4">
        <v>2525</v>
      </c>
      <c r="W26" s="4">
        <v>2594</v>
      </c>
      <c r="X26" s="4">
        <v>2903</v>
      </c>
      <c r="Y26" s="4">
        <v>3061</v>
      </c>
      <c r="Z26" s="4">
        <v>3333</v>
      </c>
      <c r="AA26" s="4">
        <v>3043</v>
      </c>
      <c r="AB26" s="4">
        <v>3202</v>
      </c>
      <c r="AC26" s="4">
        <v>2561</v>
      </c>
      <c r="AD26" s="4">
        <v>3010</v>
      </c>
      <c r="AE26" s="4">
        <v>2742</v>
      </c>
      <c r="AF26" s="4">
        <f>3041+97</f>
        <v>3138</v>
      </c>
      <c r="AG26" s="4">
        <v>2713</v>
      </c>
      <c r="AH26" s="2">
        <v>2863</v>
      </c>
      <c r="AI26" s="2">
        <f>+AE26*1.07</f>
        <v>2933.94</v>
      </c>
      <c r="AJ26" s="2">
        <v>2965</v>
      </c>
      <c r="AX26" s="2">
        <v>89.861999999999995</v>
      </c>
      <c r="AY26" s="2">
        <v>79.049000000000007</v>
      </c>
      <c r="AZ26" s="2">
        <v>88.302000000000007</v>
      </c>
      <c r="BK26" s="2">
        <v>1552</v>
      </c>
      <c r="BL26" s="2">
        <v>1747</v>
      </c>
      <c r="BM26" s="2">
        <v>2432</v>
      </c>
      <c r="BN26" s="2">
        <v>3674</v>
      </c>
      <c r="BO26" s="2">
        <v>4336</v>
      </c>
      <c r="BP26" s="2">
        <f>SUM(K26:N26)</f>
        <v>5203</v>
      </c>
      <c r="BQ26" s="2">
        <f>SUM(O26:R26)</f>
        <v>6668</v>
      </c>
      <c r="BR26" s="2">
        <f>SUM(S26:V26)</f>
        <v>8823</v>
      </c>
      <c r="BS26" s="2">
        <f>SUM(W26:Z26)</f>
        <v>11891</v>
      </c>
      <c r="BT26" s="2">
        <f>SUM(AA26:AD26)</f>
        <v>11816</v>
      </c>
      <c r="BU26" s="2">
        <f t="shared" ref="BU26:CA26" si="44">+BT26*1.03</f>
        <v>12170.48</v>
      </c>
      <c r="BV26" s="2">
        <f t="shared" si="44"/>
        <v>12535.5944</v>
      </c>
      <c r="BW26" s="2">
        <f t="shared" si="44"/>
        <v>12911.662232000001</v>
      </c>
      <c r="BX26" s="2">
        <f t="shared" si="44"/>
        <v>13299.012098960002</v>
      </c>
      <c r="BY26" s="2">
        <f t="shared" si="44"/>
        <v>13697.982461928803</v>
      </c>
      <c r="BZ26" s="2">
        <f t="shared" si="44"/>
        <v>14108.921935786668</v>
      </c>
      <c r="CA26" s="2">
        <f t="shared" si="44"/>
        <v>14532.189593860268</v>
      </c>
    </row>
    <row r="27" spans="2:141" x14ac:dyDescent="0.25">
      <c r="B27" s="2" t="s">
        <v>27</v>
      </c>
      <c r="C27" s="4"/>
      <c r="D27" s="4"/>
      <c r="E27" s="4"/>
      <c r="F27" s="4"/>
      <c r="G27" s="4"/>
      <c r="H27" s="4"/>
      <c r="I27" s="4"/>
      <c r="J27" s="4">
        <f t="shared" ref="J27" si="45">SUM(J24:J26)</f>
        <v>13697</v>
      </c>
      <c r="K27" s="4">
        <f>SUM(K24:K26)</f>
        <v>12764</v>
      </c>
      <c r="L27" s="4">
        <f t="shared" ref="L27" si="46">SUM(L24:L26)</f>
        <v>14626</v>
      </c>
      <c r="M27" s="4">
        <f>SUM(M24:M26)</f>
        <v>15300</v>
      </c>
      <c r="N27" s="4">
        <f t="shared" ref="N27" si="47">SUM(N24:N26)</f>
        <v>17324</v>
      </c>
      <c r="O27" s="4">
        <f t="shared" ref="O27" si="48">SUM(O24:O26)</f>
        <v>15605</v>
      </c>
      <c r="P27" s="4">
        <f t="shared" ref="P27" si="49">SUM(P24:P26)</f>
        <v>16313</v>
      </c>
      <c r="Q27" s="4">
        <f>SUM(Q24:Q26)</f>
        <v>18078</v>
      </c>
      <c r="R27" s="4">
        <f t="shared" ref="R27" si="50">SUM(R24:R26)</f>
        <v>21420</v>
      </c>
      <c r="S27" s="4">
        <f>SUM(S24:S26)</f>
        <v>20682</v>
      </c>
      <c r="T27" s="4">
        <f t="shared" ref="T27:W27" si="51">SUM(T24:T26)</f>
        <v>23553</v>
      </c>
      <c r="U27" s="4">
        <f t="shared" si="51"/>
        <v>24543</v>
      </c>
      <c r="V27" s="4">
        <f t="shared" si="51"/>
        <v>28648</v>
      </c>
      <c r="W27" s="4">
        <f t="shared" si="51"/>
        <v>25756</v>
      </c>
      <c r="X27" s="4">
        <f t="shared" ref="X27:AL27" si="52">SUM(X24:X26)</f>
        <v>31061</v>
      </c>
      <c r="Y27" s="4">
        <f>SUM(Y24:Y26)</f>
        <v>33560</v>
      </c>
      <c r="Z27" s="4">
        <f t="shared" si="52"/>
        <v>36965</v>
      </c>
      <c r="AA27" s="4">
        <f t="shared" si="52"/>
        <v>33665</v>
      </c>
      <c r="AB27" s="4">
        <f t="shared" si="52"/>
        <v>35878</v>
      </c>
      <c r="AC27" s="4">
        <f t="shared" si="52"/>
        <v>34315</v>
      </c>
      <c r="AD27" s="4">
        <f t="shared" si="52"/>
        <v>37950</v>
      </c>
      <c r="AE27" s="4">
        <f t="shared" si="52"/>
        <v>32828</v>
      </c>
      <c r="AF27" s="4">
        <f t="shared" si="52"/>
        <v>35954</v>
      </c>
      <c r="AG27" s="4">
        <f t="shared" si="52"/>
        <v>37982</v>
      </c>
      <c r="AH27" s="4">
        <f t="shared" si="52"/>
        <v>39558</v>
      </c>
      <c r="AI27" s="4">
        <f t="shared" si="52"/>
        <v>35125.96</v>
      </c>
      <c r="AJ27" s="4">
        <f t="shared" si="52"/>
        <v>41547</v>
      </c>
      <c r="AK27" s="4">
        <f t="shared" si="52"/>
        <v>0</v>
      </c>
      <c r="AL27" s="4">
        <f t="shared" si="52"/>
        <v>0</v>
      </c>
      <c r="AM27" s="4"/>
      <c r="AN27" s="4"/>
      <c r="AO27" s="4"/>
      <c r="AP27" s="4"/>
      <c r="AX27" s="2">
        <f>AX26+AX25+AX24</f>
        <v>469.30999999999995</v>
      </c>
      <c r="AY27" s="2">
        <f>AY26+AY25+AY24</f>
        <v>420.04899999999998</v>
      </c>
      <c r="AZ27" s="2">
        <f>AZ26+AZ25+AZ24</f>
        <v>418.89800000000002</v>
      </c>
      <c r="BK27" s="4">
        <f t="shared" ref="BK27:BM27" si="53">SUM(BK24:BK26)</f>
        <v>15159</v>
      </c>
      <c r="BL27" s="4">
        <f t="shared" si="53"/>
        <v>19541</v>
      </c>
      <c r="BM27" s="4">
        <f t="shared" si="53"/>
        <v>25750</v>
      </c>
      <c r="BN27" s="4">
        <f t="shared" ref="BN27" si="54">SUM(BN24:BN26)</f>
        <v>36363</v>
      </c>
      <c r="BO27" s="4">
        <f t="shared" ref="BO27:BP27" si="55">SUM(BO24:BO26)</f>
        <v>46987</v>
      </c>
      <c r="BP27" s="4">
        <f t="shared" si="55"/>
        <v>60014</v>
      </c>
      <c r="BQ27" s="4">
        <f t="shared" ref="BQ27:BR27" si="56">SUM(BQ24:BQ26)</f>
        <v>71416</v>
      </c>
      <c r="BR27" s="4">
        <f t="shared" si="56"/>
        <v>97426</v>
      </c>
      <c r="BS27" s="4">
        <f t="shared" ref="BS27:BT27" si="57">SUM(BS24:BS26)</f>
        <v>127342</v>
      </c>
      <c r="BT27" s="4">
        <f t="shared" si="57"/>
        <v>141808</v>
      </c>
      <c r="BU27" s="4">
        <f t="shared" ref="BU27:CA27" si="58">SUM(BU24:BU26)</f>
        <v>146062.24000000002</v>
      </c>
      <c r="BV27" s="4">
        <f t="shared" si="58"/>
        <v>150444.10720000003</v>
      </c>
      <c r="BW27" s="4">
        <f t="shared" si="58"/>
        <v>154957.43041600002</v>
      </c>
      <c r="BX27" s="4">
        <f t="shared" si="58"/>
        <v>159606.15332848002</v>
      </c>
      <c r="BY27" s="4">
        <f t="shared" si="58"/>
        <v>164394.33792833443</v>
      </c>
      <c r="BZ27" s="4">
        <f t="shared" si="58"/>
        <v>169326.16806618447</v>
      </c>
      <c r="CA27" s="4">
        <f t="shared" si="58"/>
        <v>174405.95310816998</v>
      </c>
    </row>
    <row r="28" spans="2:141" x14ac:dyDescent="0.25">
      <c r="B28" s="2" t="s">
        <v>28</v>
      </c>
      <c r="C28" s="4"/>
      <c r="D28" s="4"/>
      <c r="E28" s="4"/>
      <c r="F28" s="4"/>
      <c r="G28" s="4"/>
      <c r="H28" s="4"/>
      <c r="I28" s="4"/>
      <c r="J28" s="4">
        <f t="shared" ref="J28" si="59">J23-J27</f>
        <v>3872</v>
      </c>
      <c r="K28" s="4">
        <f>K23-K27</f>
        <v>4415</v>
      </c>
      <c r="L28" s="4">
        <f t="shared" ref="L28" si="60">L23-L27</f>
        <v>3170</v>
      </c>
      <c r="M28" s="4">
        <f>M23-M27</f>
        <v>3212</v>
      </c>
      <c r="N28" s="4">
        <f t="shared" ref="N28" si="61">N23-N27</f>
        <v>3944</v>
      </c>
      <c r="O28" s="4">
        <f t="shared" ref="O28" si="62">O23-O27</f>
        <v>4059</v>
      </c>
      <c r="P28" s="4">
        <f t="shared" ref="P28" si="63">P23-P27</f>
        <v>6133</v>
      </c>
      <c r="Q28" s="4">
        <f>Q23-Q27</f>
        <v>6256</v>
      </c>
      <c r="R28" s="4">
        <f t="shared" ref="R28" si="64">R23-R27</f>
        <v>6377</v>
      </c>
      <c r="S28" s="4">
        <f>S23-S27</f>
        <v>8903</v>
      </c>
      <c r="T28" s="4">
        <f t="shared" ref="T28:W28" si="65">T23-T27</f>
        <v>7713</v>
      </c>
      <c r="U28" s="4">
        <f t="shared" si="65"/>
        <v>4841</v>
      </c>
      <c r="V28" s="4">
        <f t="shared" si="65"/>
        <v>3484</v>
      </c>
      <c r="W28" s="4">
        <f t="shared" si="65"/>
        <v>3918</v>
      </c>
      <c r="X28" s="4">
        <f t="shared" ref="X28:AE28" si="66">X23-X27</f>
        <v>3407</v>
      </c>
      <c r="Y28" s="4">
        <f>Y23-Y27</f>
        <v>2690</v>
      </c>
      <c r="Z28" s="4">
        <f t="shared" si="66"/>
        <v>3496</v>
      </c>
      <c r="AA28" s="4">
        <f>AA23-AA27</f>
        <v>4997</v>
      </c>
      <c r="AB28" s="4">
        <f t="shared" si="66"/>
        <v>7827</v>
      </c>
      <c r="AC28" s="4">
        <f>AC23-AC27</f>
        <v>11432</v>
      </c>
      <c r="AD28" s="4">
        <f t="shared" si="66"/>
        <v>13363</v>
      </c>
      <c r="AE28" s="4">
        <f t="shared" si="66"/>
        <v>15535</v>
      </c>
      <c r="AF28" s="4">
        <f t="shared" ref="AF28:AL28" si="67">AF23-AF27</f>
        <v>14673</v>
      </c>
      <c r="AG28" s="4">
        <f t="shared" si="67"/>
        <v>15258</v>
      </c>
      <c r="AH28" s="4">
        <f t="shared" si="67"/>
        <v>21379</v>
      </c>
      <c r="AI28" s="4">
        <f t="shared" si="67"/>
        <v>18972.04</v>
      </c>
      <c r="AJ28" s="4">
        <f t="shared" si="67"/>
        <v>19370</v>
      </c>
      <c r="AK28" s="4">
        <f t="shared" si="67"/>
        <v>59419.998000000007</v>
      </c>
      <c r="AL28" s="4">
        <f t="shared" si="67"/>
        <v>70234.208000000013</v>
      </c>
      <c r="AM28" s="4"/>
      <c r="AN28" s="4"/>
      <c r="AO28" s="4"/>
      <c r="AP28" s="4"/>
      <c r="AX28" s="2">
        <f>AX23-AX27</f>
        <v>-469.30999999999995</v>
      </c>
      <c r="AY28" s="2">
        <f>AY23-AY27</f>
        <v>180.10199999999998</v>
      </c>
      <c r="AZ28" s="2">
        <f>AZ23-AZ27</f>
        <v>361.23799999999972</v>
      </c>
      <c r="BK28" s="4">
        <f t="shared" ref="BK28:BM28" si="68">BK23-BK27</f>
        <v>311</v>
      </c>
      <c r="BL28" s="4">
        <f t="shared" si="68"/>
        <v>2404</v>
      </c>
      <c r="BM28" s="4">
        <f t="shared" si="68"/>
        <v>4353</v>
      </c>
      <c r="BN28" s="4">
        <f t="shared" ref="BN28" si="69">BN23-BN27</f>
        <v>4320</v>
      </c>
      <c r="BO28" s="4">
        <f t="shared" ref="BO28:BP28" si="70">BO23-BO27</f>
        <v>12717</v>
      </c>
      <c r="BP28" s="4">
        <f t="shared" si="70"/>
        <v>14741</v>
      </c>
      <c r="BQ28" s="4">
        <f t="shared" ref="BQ28:BR28" si="71">BQ23-BQ27</f>
        <v>22825</v>
      </c>
      <c r="BR28" s="4">
        <f t="shared" si="71"/>
        <v>24941</v>
      </c>
      <c r="BS28" s="4">
        <f t="shared" ref="BS28:BT28" si="72">BS23-BS27</f>
        <v>13511</v>
      </c>
      <c r="BT28" s="4">
        <f t="shared" si="72"/>
        <v>37619</v>
      </c>
      <c r="BU28" s="4">
        <f t="shared" ref="BU28:CA28" si="73">BU23-BU27</f>
        <v>36778.059999999969</v>
      </c>
      <c r="BV28" s="4">
        <f t="shared" si="73"/>
        <v>49288.007800000021</v>
      </c>
      <c r="BW28" s="4">
        <f t="shared" si="73"/>
        <v>65783.711333999934</v>
      </c>
      <c r="BX28" s="4">
        <f t="shared" si="73"/>
        <v>84845.716709020024</v>
      </c>
      <c r="BY28" s="4">
        <f t="shared" si="73"/>
        <v>97550.603371040663</v>
      </c>
      <c r="BZ28" s="4">
        <f t="shared" si="73"/>
        <v>108746.54501015946</v>
      </c>
      <c r="CA28" s="4">
        <f t="shared" si="73"/>
        <v>120903.97280519098</v>
      </c>
    </row>
    <row r="29" spans="2:141" s="2" customFormat="1" x14ac:dyDescent="0.25">
      <c r="B29" s="2" t="s">
        <v>31</v>
      </c>
      <c r="C29" s="4"/>
      <c r="D29" s="4"/>
      <c r="E29" s="4"/>
      <c r="F29" s="4"/>
      <c r="G29" s="4"/>
      <c r="H29" s="4"/>
      <c r="I29" s="4"/>
      <c r="J29" s="4">
        <f>-86+150-387-199</f>
        <v>-522</v>
      </c>
      <c r="K29" s="4">
        <f>5+183-366+164</f>
        <v>-14</v>
      </c>
      <c r="L29" s="4">
        <f>-86+215-383-27</f>
        <v>-281</v>
      </c>
      <c r="M29" s="4">
        <f>-55+224-396-353</f>
        <v>-580</v>
      </c>
      <c r="N29" s="4">
        <f>-65+211-455+418</f>
        <v>109</v>
      </c>
      <c r="O29" s="4">
        <f>-70+202-402-406</f>
        <v>-676</v>
      </c>
      <c r="P29" s="4">
        <f>-290+135-403+646</f>
        <v>88</v>
      </c>
      <c r="Q29" s="4">
        <f>-62+118-428+925</f>
        <v>553</v>
      </c>
      <c r="R29" s="4">
        <f>496+100-414+1206</f>
        <v>1388</v>
      </c>
      <c r="S29" s="4">
        <f>-38+105-399+1697</f>
        <v>1365</v>
      </c>
      <c r="T29" s="4">
        <f>-11+106-435+1261</f>
        <v>921</v>
      </c>
      <c r="U29" s="4">
        <f>11+119-493-163</f>
        <v>-526</v>
      </c>
      <c r="V29" s="4">
        <f>-24+118-482+11838</f>
        <v>11450</v>
      </c>
      <c r="W29" s="4">
        <f>-249+108-472-8570</f>
        <v>-9183</v>
      </c>
      <c r="X29" s="4">
        <f>159-584</f>
        <v>-425</v>
      </c>
      <c r="Y29" s="4">
        <f>-165+277-617+759</f>
        <v>254</v>
      </c>
      <c r="Z29" s="4">
        <f>445-694</f>
        <v>-249</v>
      </c>
      <c r="AA29" s="2">
        <f>-223+611-823-443</f>
        <v>-878</v>
      </c>
      <c r="AB29" s="2">
        <f>-146+661-840+61</f>
        <v>-264</v>
      </c>
      <c r="AC29" s="2">
        <f>-244+776-806+1031</f>
        <v>757</v>
      </c>
      <c r="AD29" s="2">
        <f>-154+901-713+289</f>
        <v>323</v>
      </c>
      <c r="AE29" s="2">
        <f>-228+993-644-2673</f>
        <v>-2552</v>
      </c>
      <c r="AF29" s="2">
        <f>1180-589-18</f>
        <v>573</v>
      </c>
      <c r="AG29" s="2">
        <f>-262+1256-603</f>
        <v>391</v>
      </c>
      <c r="AH29" s="2">
        <f>-176+1248-570+468</f>
        <v>970</v>
      </c>
      <c r="AJ29" s="2">
        <f>-199+1085-516+1117</f>
        <v>1487</v>
      </c>
      <c r="AX29" s="2">
        <f>29.103-139.232</f>
        <v>-110.12899999999999</v>
      </c>
      <c r="AY29" s="2">
        <f>23.687-142.925</f>
        <v>-119.23800000000001</v>
      </c>
      <c r="AZ29" s="2">
        <f>21.955-129.979</f>
        <v>-108.02400000000002</v>
      </c>
      <c r="BK29" s="2">
        <f>-133+39-210-118</f>
        <v>-422</v>
      </c>
      <c r="BL29" s="2">
        <f>-171+50-459-256</f>
        <v>-836</v>
      </c>
      <c r="BM29" s="2">
        <f>-167+100-484+90</f>
        <v>-461</v>
      </c>
      <c r="BN29" s="2">
        <f>-214+202-848+346</f>
        <v>-514</v>
      </c>
      <c r="BO29" s="2">
        <f>-296+440-1417-183</f>
        <v>-1456</v>
      </c>
      <c r="BP29" s="2">
        <f>SUM(K29:N29)</f>
        <v>-766</v>
      </c>
      <c r="BQ29" s="2">
        <f>SUM(O29:R29)</f>
        <v>1353</v>
      </c>
      <c r="BR29" s="2">
        <f>SUM(S29:V29)</f>
        <v>13210</v>
      </c>
      <c r="BS29" s="2">
        <f>SUM(W29:Z29)</f>
        <v>-9603</v>
      </c>
      <c r="BT29" s="2">
        <f>SUM(AA29:AD29)</f>
        <v>-62</v>
      </c>
      <c r="BU29" s="2">
        <f>+BT47*$CD$46</f>
        <v>284.66000000000003</v>
      </c>
      <c r="BV29" s="2">
        <f t="shared" ref="BV29:CA29" si="74">+BU47*$CD$46</f>
        <v>485.79</v>
      </c>
      <c r="BW29" s="2">
        <f t="shared" si="74"/>
        <v>908.86728130000017</v>
      </c>
      <c r="BX29" s="2">
        <f t="shared" si="74"/>
        <v>1475.7541995300498</v>
      </c>
      <c r="BY29" s="2">
        <f t="shared" si="74"/>
        <v>2209.4867022527255</v>
      </c>
      <c r="BZ29" s="2">
        <f t="shared" si="74"/>
        <v>3057.4474678757192</v>
      </c>
      <c r="CA29" s="2">
        <f t="shared" si="74"/>
        <v>4007.7814039390187</v>
      </c>
    </row>
    <row r="30" spans="2:141" s="2" customFormat="1" x14ac:dyDescent="0.25">
      <c r="B30" s="2" t="s">
        <v>30</v>
      </c>
      <c r="C30" s="4"/>
      <c r="D30" s="4"/>
      <c r="E30" s="4"/>
      <c r="F30" s="4"/>
      <c r="G30" s="4"/>
      <c r="H30" s="4"/>
      <c r="I30" s="4"/>
      <c r="J30" s="4">
        <f t="shared" ref="J30" si="75">J28+J29</f>
        <v>3350</v>
      </c>
      <c r="K30" s="4">
        <f>K28+K29</f>
        <v>4401</v>
      </c>
      <c r="L30" s="4">
        <f t="shared" ref="L30" si="76">L28+L29</f>
        <v>2889</v>
      </c>
      <c r="M30" s="4">
        <f>M28+M29</f>
        <v>2632</v>
      </c>
      <c r="N30" s="4">
        <f t="shared" ref="N30" si="77">N28+N29</f>
        <v>4053</v>
      </c>
      <c r="O30" s="4">
        <f t="shared" ref="O30" si="78">O28+O29</f>
        <v>3383</v>
      </c>
      <c r="P30" s="4">
        <f t="shared" ref="P30" si="79">P28+P29</f>
        <v>6221</v>
      </c>
      <c r="Q30" s="4">
        <f>Q28+Q29</f>
        <v>6809</v>
      </c>
      <c r="R30" s="4">
        <f t="shared" ref="R30" si="80">R28+R29</f>
        <v>7765</v>
      </c>
      <c r="S30" s="4">
        <f>S28+S29</f>
        <v>10268</v>
      </c>
      <c r="T30" s="4">
        <f t="shared" ref="T30:AL30" si="81">T28+T29</f>
        <v>8634</v>
      </c>
      <c r="U30" s="4">
        <f t="shared" si="81"/>
        <v>4315</v>
      </c>
      <c r="V30" s="4">
        <f t="shared" si="81"/>
        <v>14934</v>
      </c>
      <c r="W30" s="4">
        <f t="shared" si="81"/>
        <v>-5265</v>
      </c>
      <c r="X30" s="4">
        <f t="shared" si="81"/>
        <v>2982</v>
      </c>
      <c r="Y30" s="4">
        <f t="shared" si="81"/>
        <v>2944</v>
      </c>
      <c r="Z30" s="4">
        <f t="shared" si="81"/>
        <v>3247</v>
      </c>
      <c r="AA30" s="4">
        <f t="shared" si="81"/>
        <v>4119</v>
      </c>
      <c r="AB30" s="4">
        <f t="shared" si="81"/>
        <v>7563</v>
      </c>
      <c r="AC30" s="4">
        <f>AC28+AC29</f>
        <v>12189</v>
      </c>
      <c r="AD30" s="4">
        <f t="shared" si="81"/>
        <v>13686</v>
      </c>
      <c r="AE30" s="4">
        <f t="shared" si="81"/>
        <v>12983</v>
      </c>
      <c r="AF30" s="4">
        <f t="shared" si="81"/>
        <v>15246</v>
      </c>
      <c r="AG30" s="4">
        <f t="shared" si="81"/>
        <v>15649</v>
      </c>
      <c r="AH30" s="4">
        <f t="shared" si="81"/>
        <v>22349</v>
      </c>
      <c r="AI30" s="4">
        <f t="shared" si="81"/>
        <v>18972.04</v>
      </c>
      <c r="AJ30" s="4">
        <f t="shared" si="81"/>
        <v>20857</v>
      </c>
      <c r="AK30" s="4">
        <f t="shared" si="81"/>
        <v>59419.998000000007</v>
      </c>
      <c r="AL30" s="4">
        <f t="shared" si="81"/>
        <v>70234.208000000013</v>
      </c>
      <c r="AM30" s="4"/>
      <c r="AN30" s="4"/>
      <c r="AO30" s="4"/>
      <c r="AP30" s="4"/>
      <c r="AX30" s="2">
        <f>AX28+AX29</f>
        <v>-579.43899999999996</v>
      </c>
      <c r="AY30" s="2">
        <f>AY28+AY29</f>
        <v>60.863999999999962</v>
      </c>
      <c r="AZ30" s="2">
        <f>AZ28+AZ29</f>
        <v>253.21399999999971</v>
      </c>
      <c r="BK30" s="4">
        <f t="shared" ref="BK30:BM30" si="82">BK28+BK29</f>
        <v>-111</v>
      </c>
      <c r="BL30" s="4">
        <f t="shared" si="82"/>
        <v>1568</v>
      </c>
      <c r="BM30" s="4">
        <f t="shared" si="82"/>
        <v>3892</v>
      </c>
      <c r="BN30" s="4">
        <f t="shared" ref="BN30" si="83">BN28+BN29</f>
        <v>3806</v>
      </c>
      <c r="BO30" s="4">
        <f t="shared" ref="BO30:BP30" si="84">BO28+BO29</f>
        <v>11261</v>
      </c>
      <c r="BP30" s="4">
        <f t="shared" si="84"/>
        <v>13975</v>
      </c>
      <c r="BQ30" s="4">
        <f t="shared" ref="BQ30:CA30" si="85">BQ28+BQ29</f>
        <v>24178</v>
      </c>
      <c r="BR30" s="4">
        <f t="shared" si="85"/>
        <v>38151</v>
      </c>
      <c r="BS30" s="4">
        <f t="shared" si="85"/>
        <v>3908</v>
      </c>
      <c r="BT30" s="4">
        <f t="shared" si="85"/>
        <v>37557</v>
      </c>
      <c r="BU30" s="4">
        <f t="shared" si="85"/>
        <v>37062.719999999972</v>
      </c>
      <c r="BV30" s="4">
        <f t="shared" si="85"/>
        <v>49773.797800000022</v>
      </c>
      <c r="BW30" s="4">
        <f t="shared" si="85"/>
        <v>66692.578615299935</v>
      </c>
      <c r="BX30" s="4">
        <f t="shared" si="85"/>
        <v>86321.47090855008</v>
      </c>
      <c r="BY30" s="4">
        <f t="shared" si="85"/>
        <v>99760.090073293395</v>
      </c>
      <c r="BZ30" s="4">
        <f t="shared" si="85"/>
        <v>111803.99247803519</v>
      </c>
      <c r="CA30" s="4">
        <f t="shared" si="85"/>
        <v>124911.75420913</v>
      </c>
    </row>
    <row r="31" spans="2:141" s="2" customFormat="1" x14ac:dyDescent="0.25">
      <c r="B31" s="2" t="s">
        <v>32</v>
      </c>
      <c r="C31" s="4"/>
      <c r="D31" s="4"/>
      <c r="E31" s="4"/>
      <c r="F31" s="4"/>
      <c r="G31" s="4"/>
      <c r="H31" s="4"/>
      <c r="I31" s="4"/>
      <c r="J31" s="4">
        <f>327-4</f>
        <v>323</v>
      </c>
      <c r="K31" s="4">
        <f>836+4</f>
        <v>840</v>
      </c>
      <c r="L31" s="4">
        <f>257+7</f>
        <v>264</v>
      </c>
      <c r="M31" s="4">
        <f>494+4</f>
        <v>498</v>
      </c>
      <c r="N31" s="4">
        <f>786-1</f>
        <v>785</v>
      </c>
      <c r="O31" s="4">
        <f>744+104</f>
        <v>848</v>
      </c>
      <c r="P31" s="4">
        <f>984-6</f>
        <v>978</v>
      </c>
      <c r="Q31" s="4">
        <f>569-91</f>
        <v>478</v>
      </c>
      <c r="R31" s="4">
        <f>566-23</f>
        <v>543</v>
      </c>
      <c r="S31" s="4">
        <f>2156+5</f>
        <v>2161</v>
      </c>
      <c r="T31" s="4">
        <f>868-12</f>
        <v>856</v>
      </c>
      <c r="U31" s="4">
        <f>1155+4</f>
        <v>1159</v>
      </c>
      <c r="V31" s="4">
        <f>612-1</f>
        <v>611</v>
      </c>
      <c r="W31" s="4">
        <f>-1422+1</f>
        <v>-1421</v>
      </c>
      <c r="X31" s="4">
        <v>0</v>
      </c>
      <c r="Y31" s="4">
        <f>69+3</f>
        <v>72</v>
      </c>
      <c r="Z31" s="4">
        <v>0</v>
      </c>
      <c r="AA31" s="4">
        <f>948-1</f>
        <v>947</v>
      </c>
      <c r="AB31" s="4">
        <f>804+9</f>
        <v>813</v>
      </c>
      <c r="AC31" s="4">
        <f>2306+4</f>
        <v>2310</v>
      </c>
      <c r="AD31" s="4">
        <v>3062</v>
      </c>
      <c r="AE31" s="4">
        <f>2467+85</f>
        <v>2552</v>
      </c>
      <c r="AF31" s="4">
        <f>1767-7</f>
        <v>1760</v>
      </c>
      <c r="AG31" s="4">
        <f>2706+3</f>
        <v>2709</v>
      </c>
      <c r="AH31" s="2">
        <v>2325</v>
      </c>
      <c r="AI31" s="2">
        <f>+AI30*0.1</f>
        <v>1897.2040000000002</v>
      </c>
      <c r="AJ31" s="2">
        <f>2678+15</f>
        <v>2693</v>
      </c>
      <c r="AX31" s="2">
        <v>0</v>
      </c>
      <c r="AY31" s="2">
        <v>0</v>
      </c>
      <c r="AZ31" s="2">
        <v>0</v>
      </c>
      <c r="BK31" s="2">
        <f>167-37</f>
        <v>130</v>
      </c>
      <c r="BL31" s="2">
        <f>950+22</f>
        <v>972</v>
      </c>
      <c r="BM31" s="2">
        <f>1425+96</f>
        <v>1521</v>
      </c>
      <c r="BN31" s="2">
        <f>769+4</f>
        <v>773</v>
      </c>
      <c r="BO31" s="2">
        <f>1197-9</f>
        <v>1188</v>
      </c>
      <c r="BP31" s="2">
        <f>SUM(K31:N31)</f>
        <v>2387</v>
      </c>
      <c r="BQ31" s="2">
        <f>SUM(O31:R31)</f>
        <v>2847</v>
      </c>
      <c r="BR31" s="2">
        <f>SUM(S31:V31)</f>
        <v>4787</v>
      </c>
      <c r="BS31" s="2">
        <f>SUM(W31:Z31)</f>
        <v>-1349</v>
      </c>
      <c r="BT31" s="2">
        <f>SUM(AA31:AD31)</f>
        <v>7132</v>
      </c>
      <c r="BU31" s="2">
        <f>+BU30*0.15</f>
        <v>5559.4079999999958</v>
      </c>
      <c r="BV31" s="2">
        <f t="shared" ref="BV31:CA31" si="86">+BV30*0.15</f>
        <v>7466.0696700000026</v>
      </c>
      <c r="BW31" s="2">
        <f t="shared" si="86"/>
        <v>10003.88679229499</v>
      </c>
      <c r="BX31" s="2">
        <f t="shared" si="86"/>
        <v>12948.220636282511</v>
      </c>
      <c r="BY31" s="2">
        <f t="shared" si="86"/>
        <v>14964.013510994009</v>
      </c>
      <c r="BZ31" s="2">
        <f t="shared" si="86"/>
        <v>16770.598871705279</v>
      </c>
      <c r="CA31" s="2">
        <f t="shared" si="86"/>
        <v>18736.763131369498</v>
      </c>
    </row>
    <row r="32" spans="2:141" s="2" customFormat="1" x14ac:dyDescent="0.25">
      <c r="B32" s="2" t="s">
        <v>33</v>
      </c>
      <c r="C32" s="4"/>
      <c r="D32" s="4"/>
      <c r="E32" s="4"/>
      <c r="F32" s="4"/>
      <c r="G32" s="4"/>
      <c r="H32" s="4"/>
      <c r="I32" s="4"/>
      <c r="J32" s="4">
        <f t="shared" ref="J32" si="87">J30-J31</f>
        <v>3027</v>
      </c>
      <c r="K32" s="4">
        <f>K30-K31</f>
        <v>3561</v>
      </c>
      <c r="L32" s="4">
        <f t="shared" ref="L32" si="88">L30-L31</f>
        <v>2625</v>
      </c>
      <c r="M32" s="4">
        <f>M30-M31</f>
        <v>2134</v>
      </c>
      <c r="N32" s="4">
        <f t="shared" ref="N32" si="89">N30-N31</f>
        <v>3268</v>
      </c>
      <c r="O32" s="4">
        <f t="shared" ref="O32" si="90">O30-O31</f>
        <v>2535</v>
      </c>
      <c r="P32" s="4">
        <f t="shared" ref="P32" si="91">P30-P31</f>
        <v>5243</v>
      </c>
      <c r="Q32" s="4">
        <f>Q30-Q31</f>
        <v>6331</v>
      </c>
      <c r="R32" s="4">
        <f t="shared" ref="R32" si="92">R30-R31</f>
        <v>7222</v>
      </c>
      <c r="S32" s="4">
        <f>S30-S31</f>
        <v>8107</v>
      </c>
      <c r="T32" s="4">
        <f t="shared" ref="T32:AL32" si="93">T30-T31</f>
        <v>7778</v>
      </c>
      <c r="U32" s="4">
        <f t="shared" si="93"/>
        <v>3156</v>
      </c>
      <c r="V32" s="4">
        <f t="shared" si="93"/>
        <v>14323</v>
      </c>
      <c r="W32" s="4">
        <f t="shared" si="93"/>
        <v>-3844</v>
      </c>
      <c r="X32" s="4">
        <f t="shared" si="93"/>
        <v>2982</v>
      </c>
      <c r="Y32" s="4">
        <f t="shared" si="93"/>
        <v>2872</v>
      </c>
      <c r="Z32" s="4">
        <f t="shared" si="93"/>
        <v>3247</v>
      </c>
      <c r="AA32" s="4">
        <f t="shared" si="93"/>
        <v>3172</v>
      </c>
      <c r="AB32" s="4">
        <f t="shared" si="93"/>
        <v>6750</v>
      </c>
      <c r="AC32" s="4">
        <f t="shared" si="93"/>
        <v>9879</v>
      </c>
      <c r="AD32" s="4">
        <f t="shared" si="93"/>
        <v>10624</v>
      </c>
      <c r="AE32" s="4">
        <f t="shared" si="93"/>
        <v>10431</v>
      </c>
      <c r="AF32" s="4">
        <f t="shared" si="93"/>
        <v>13486</v>
      </c>
      <c r="AG32" s="4">
        <f t="shared" si="93"/>
        <v>12940</v>
      </c>
      <c r="AH32" s="4">
        <f t="shared" si="93"/>
        <v>20024</v>
      </c>
      <c r="AI32" s="4">
        <f t="shared" si="93"/>
        <v>17074.835999999999</v>
      </c>
      <c r="AJ32" s="4">
        <f t="shared" si="93"/>
        <v>18164</v>
      </c>
      <c r="AK32" s="4">
        <f t="shared" si="93"/>
        <v>59419.998000000007</v>
      </c>
      <c r="AL32" s="4">
        <f t="shared" si="93"/>
        <v>70234.208000000013</v>
      </c>
      <c r="AM32" s="4"/>
      <c r="AN32" s="4"/>
      <c r="AO32" s="4"/>
      <c r="AP32" s="4"/>
      <c r="AX32" s="2">
        <f>AX30-AX31</f>
        <v>-579.43899999999996</v>
      </c>
      <c r="AY32" s="2">
        <f>AY30-AY31</f>
        <v>60.863999999999962</v>
      </c>
      <c r="AZ32" s="2">
        <f>AZ30-AZ31</f>
        <v>253.21399999999971</v>
      </c>
      <c r="BK32" s="4">
        <f t="shared" ref="BK32:BM32" si="94">BK30-BK31</f>
        <v>-241</v>
      </c>
      <c r="BL32" s="4">
        <f t="shared" si="94"/>
        <v>596</v>
      </c>
      <c r="BM32" s="4">
        <f t="shared" si="94"/>
        <v>2371</v>
      </c>
      <c r="BN32" s="4">
        <f t="shared" ref="BN32" si="95">BN30-BN31</f>
        <v>3033</v>
      </c>
      <c r="BO32" s="4">
        <f t="shared" ref="BO32:BP32" si="96">BO30-BO31</f>
        <v>10073</v>
      </c>
      <c r="BP32" s="4">
        <f t="shared" si="96"/>
        <v>11588</v>
      </c>
      <c r="BQ32" s="4">
        <f t="shared" ref="BQ32:BT32" si="97">BQ30-BQ31</f>
        <v>21331</v>
      </c>
      <c r="BR32" s="4">
        <f t="shared" si="97"/>
        <v>33364</v>
      </c>
      <c r="BS32" s="4">
        <f t="shared" si="97"/>
        <v>5257</v>
      </c>
      <c r="BT32" s="4">
        <f t="shared" si="97"/>
        <v>30425</v>
      </c>
      <c r="BU32" s="4">
        <f t="shared" ref="BU32:CA32" si="98">BU30-BU31</f>
        <v>31503.311999999976</v>
      </c>
      <c r="BV32" s="4">
        <f t="shared" si="98"/>
        <v>42307.728130000018</v>
      </c>
      <c r="BW32" s="4">
        <f t="shared" si="98"/>
        <v>56688.691823004949</v>
      </c>
      <c r="BX32" s="4">
        <f t="shared" si="98"/>
        <v>73373.250272267571</v>
      </c>
      <c r="BY32" s="4">
        <f t="shared" si="98"/>
        <v>84796.076562299393</v>
      </c>
      <c r="BZ32" s="4">
        <f t="shared" si="98"/>
        <v>95033.393606329904</v>
      </c>
      <c r="CA32" s="4">
        <f t="shared" si="98"/>
        <v>106174.9910777605</v>
      </c>
      <c r="CB32" s="2">
        <f>+CA32*(1+$CD$47)</f>
        <v>106174.9910777605</v>
      </c>
      <c r="CC32" s="2">
        <f t="shared" ref="CC32:EK32" si="99">+CB32*(1+$CD$47)</f>
        <v>106174.9910777605</v>
      </c>
      <c r="CD32" s="2">
        <f t="shared" si="99"/>
        <v>106174.9910777605</v>
      </c>
      <c r="CE32" s="2">
        <f t="shared" si="99"/>
        <v>106174.9910777605</v>
      </c>
      <c r="CF32" s="2">
        <f t="shared" si="99"/>
        <v>106174.9910777605</v>
      </c>
      <c r="CG32" s="2">
        <f t="shared" si="99"/>
        <v>106174.9910777605</v>
      </c>
      <c r="CH32" s="2">
        <f t="shared" si="99"/>
        <v>106174.9910777605</v>
      </c>
      <c r="CI32" s="2">
        <f t="shared" si="99"/>
        <v>106174.9910777605</v>
      </c>
      <c r="CJ32" s="2">
        <f t="shared" si="99"/>
        <v>106174.9910777605</v>
      </c>
      <c r="CK32" s="2">
        <f t="shared" si="99"/>
        <v>106174.9910777605</v>
      </c>
      <c r="CL32" s="2">
        <f t="shared" si="99"/>
        <v>106174.9910777605</v>
      </c>
      <c r="CM32" s="2">
        <f t="shared" si="99"/>
        <v>106174.9910777605</v>
      </c>
      <c r="CN32" s="2">
        <f t="shared" si="99"/>
        <v>106174.9910777605</v>
      </c>
      <c r="CO32" s="2">
        <f t="shared" si="99"/>
        <v>106174.9910777605</v>
      </c>
      <c r="CP32" s="2">
        <f t="shared" si="99"/>
        <v>106174.9910777605</v>
      </c>
      <c r="CQ32" s="2">
        <f t="shared" si="99"/>
        <v>106174.9910777605</v>
      </c>
      <c r="CR32" s="2">
        <f t="shared" si="99"/>
        <v>106174.9910777605</v>
      </c>
      <c r="CS32" s="2">
        <f t="shared" si="99"/>
        <v>106174.9910777605</v>
      </c>
      <c r="CT32" s="2">
        <f t="shared" si="99"/>
        <v>106174.9910777605</v>
      </c>
      <c r="CU32" s="2">
        <f t="shared" si="99"/>
        <v>106174.9910777605</v>
      </c>
      <c r="CV32" s="2">
        <f t="shared" si="99"/>
        <v>106174.9910777605</v>
      </c>
      <c r="CW32" s="2">
        <f t="shared" si="99"/>
        <v>106174.9910777605</v>
      </c>
      <c r="CX32" s="2">
        <f t="shared" si="99"/>
        <v>106174.9910777605</v>
      </c>
      <c r="CY32" s="2">
        <f t="shared" si="99"/>
        <v>106174.9910777605</v>
      </c>
      <c r="CZ32" s="2">
        <f t="shared" si="99"/>
        <v>106174.9910777605</v>
      </c>
      <c r="DA32" s="2">
        <f t="shared" si="99"/>
        <v>106174.9910777605</v>
      </c>
      <c r="DB32" s="2">
        <f t="shared" si="99"/>
        <v>106174.9910777605</v>
      </c>
      <c r="DC32" s="2">
        <f t="shared" si="99"/>
        <v>106174.9910777605</v>
      </c>
      <c r="DD32" s="2">
        <f t="shared" si="99"/>
        <v>106174.9910777605</v>
      </c>
      <c r="DE32" s="2">
        <f t="shared" si="99"/>
        <v>106174.9910777605</v>
      </c>
      <c r="DF32" s="2">
        <f t="shared" si="99"/>
        <v>106174.9910777605</v>
      </c>
      <c r="DG32" s="2">
        <f t="shared" si="99"/>
        <v>106174.9910777605</v>
      </c>
      <c r="DH32" s="2">
        <f t="shared" si="99"/>
        <v>106174.9910777605</v>
      </c>
      <c r="DI32" s="2">
        <f t="shared" si="99"/>
        <v>106174.9910777605</v>
      </c>
      <c r="DJ32" s="2">
        <f t="shared" si="99"/>
        <v>106174.9910777605</v>
      </c>
      <c r="DK32" s="2">
        <f t="shared" si="99"/>
        <v>106174.9910777605</v>
      </c>
      <c r="DL32" s="2">
        <f t="shared" si="99"/>
        <v>106174.9910777605</v>
      </c>
      <c r="DM32" s="2">
        <f t="shared" si="99"/>
        <v>106174.9910777605</v>
      </c>
      <c r="DN32" s="2">
        <f t="shared" si="99"/>
        <v>106174.9910777605</v>
      </c>
      <c r="DO32" s="2">
        <f t="shared" si="99"/>
        <v>106174.9910777605</v>
      </c>
      <c r="DP32" s="2">
        <f t="shared" si="99"/>
        <v>106174.9910777605</v>
      </c>
      <c r="DQ32" s="2">
        <f t="shared" si="99"/>
        <v>106174.9910777605</v>
      </c>
      <c r="DR32" s="2">
        <f t="shared" si="99"/>
        <v>106174.9910777605</v>
      </c>
      <c r="DS32" s="2">
        <f t="shared" si="99"/>
        <v>106174.9910777605</v>
      </c>
      <c r="DT32" s="2">
        <f t="shared" si="99"/>
        <v>106174.9910777605</v>
      </c>
      <c r="DU32" s="2">
        <f t="shared" si="99"/>
        <v>106174.9910777605</v>
      </c>
      <c r="DV32" s="2">
        <f t="shared" si="99"/>
        <v>106174.9910777605</v>
      </c>
      <c r="DW32" s="2">
        <f t="shared" si="99"/>
        <v>106174.9910777605</v>
      </c>
      <c r="DX32" s="2">
        <f t="shared" si="99"/>
        <v>106174.9910777605</v>
      </c>
      <c r="DY32" s="2">
        <f t="shared" si="99"/>
        <v>106174.9910777605</v>
      </c>
      <c r="DZ32" s="2">
        <f t="shared" si="99"/>
        <v>106174.9910777605</v>
      </c>
      <c r="EA32" s="2">
        <f t="shared" si="99"/>
        <v>106174.9910777605</v>
      </c>
      <c r="EB32" s="2">
        <f t="shared" si="99"/>
        <v>106174.9910777605</v>
      </c>
      <c r="EC32" s="2">
        <f t="shared" si="99"/>
        <v>106174.9910777605</v>
      </c>
      <c r="ED32" s="2">
        <f t="shared" si="99"/>
        <v>106174.9910777605</v>
      </c>
      <c r="EE32" s="2">
        <f t="shared" si="99"/>
        <v>106174.9910777605</v>
      </c>
      <c r="EF32" s="2">
        <f t="shared" si="99"/>
        <v>106174.9910777605</v>
      </c>
      <c r="EG32" s="2">
        <f t="shared" si="99"/>
        <v>106174.9910777605</v>
      </c>
      <c r="EH32" s="2">
        <f t="shared" si="99"/>
        <v>106174.9910777605</v>
      </c>
      <c r="EI32" s="2">
        <f t="shared" si="99"/>
        <v>106174.9910777605</v>
      </c>
      <c r="EJ32" s="2">
        <f t="shared" si="99"/>
        <v>106174.9910777605</v>
      </c>
      <c r="EK32" s="2">
        <f t="shared" si="99"/>
        <v>106174.9910777605</v>
      </c>
    </row>
    <row r="33" spans="2:82" x14ac:dyDescent="0.25">
      <c r="B33" s="2" t="s">
        <v>34</v>
      </c>
      <c r="C33" s="7"/>
      <c r="D33" s="7"/>
      <c r="E33" s="7"/>
      <c r="F33" s="7"/>
      <c r="G33" s="7"/>
      <c r="H33" s="7"/>
      <c r="I33" s="7"/>
      <c r="J33" s="7">
        <f t="shared" ref="J33" si="100">J32/J34</f>
        <v>6.0419161676646711</v>
      </c>
      <c r="K33" s="7">
        <f>K32/K34</f>
        <v>7.0936254980079685</v>
      </c>
      <c r="L33" s="7">
        <f t="shared" ref="L33" si="101">L32/L34</f>
        <v>5.2186878727634198</v>
      </c>
      <c r="M33" s="7">
        <f>M32/M34</f>
        <v>4.2341269841269842</v>
      </c>
      <c r="N33" s="7">
        <f t="shared" ref="N33" si="102">N32/N34</f>
        <v>6.4712871287128717</v>
      </c>
      <c r="O33" s="7">
        <f t="shared" ref="O33" si="103">O32/O34</f>
        <v>5.0098814229249014</v>
      </c>
      <c r="P33" s="7">
        <f t="shared" ref="P33" si="104">P32/P34</f>
        <v>10.300589390962672</v>
      </c>
      <c r="Q33" s="7">
        <f>Q32/Q34</f>
        <v>12.365234375</v>
      </c>
      <c r="R33" s="7">
        <f t="shared" ref="R33" si="105">R32/R34</f>
        <v>14.077972709551657</v>
      </c>
      <c r="S33" s="7">
        <f>S32/S34</f>
        <v>15.803118908382066</v>
      </c>
      <c r="T33" s="7">
        <f>T32/T34</f>
        <v>0.75617343962667705</v>
      </c>
      <c r="U33" s="7">
        <f>U32/U34</f>
        <v>6.1281553398058248</v>
      </c>
      <c r="V33" s="7">
        <f>V32/V34</f>
        <v>1.3873498643936459</v>
      </c>
      <c r="W33" s="7">
        <f>W32/W34</f>
        <v>-7.5520628683693518</v>
      </c>
      <c r="X33" s="7">
        <f t="shared" ref="X33:AL33" si="106">X32/X34</f>
        <v>0.29307125307125309</v>
      </c>
      <c r="Y33" s="7">
        <f t="shared" si="106"/>
        <v>0.27799825767108705</v>
      </c>
      <c r="Z33" s="7">
        <f t="shared" si="106"/>
        <v>0.31499805975941014</v>
      </c>
      <c r="AA33" s="7">
        <f t="shared" si="106"/>
        <v>0.3065622885860636</v>
      </c>
      <c r="AB33" s="7">
        <f t="shared" si="106"/>
        <v>0.64599483204134367</v>
      </c>
      <c r="AC33" s="7">
        <f t="shared" si="106"/>
        <v>0.93568857738207989</v>
      </c>
      <c r="AD33" s="7">
        <f t="shared" si="106"/>
        <v>1.0013195098963241</v>
      </c>
      <c r="AE33" s="7">
        <f t="shared" si="106"/>
        <v>0.97760074976569822</v>
      </c>
      <c r="AF33" s="7">
        <f t="shared" si="106"/>
        <v>1.2594322002241314</v>
      </c>
      <c r="AG33" s="7">
        <f t="shared" si="106"/>
        <v>1.2054028877503493</v>
      </c>
      <c r="AH33" s="7">
        <f t="shared" si="106"/>
        <v>1.8590660105839756</v>
      </c>
      <c r="AI33" s="7">
        <f t="shared" si="106"/>
        <v>1.5820287223200222</v>
      </c>
      <c r="AJ33" s="7">
        <f t="shared" si="106"/>
        <v>1.6809180085137887</v>
      </c>
      <c r="AK33" s="7">
        <f t="shared" si="106"/>
        <v>5.4987967795669075</v>
      </c>
      <c r="AL33" s="7">
        <f t="shared" si="106"/>
        <v>6.4995565426614856</v>
      </c>
      <c r="AM33" s="7"/>
      <c r="AN33" s="7"/>
      <c r="AO33" s="7"/>
      <c r="AP33" s="7"/>
      <c r="AX33" s="1">
        <f>AX32/AX34</f>
        <v>-1.5909431620681416</v>
      </c>
      <c r="AY33" s="1">
        <f>AY32/AY34</f>
        <v>0.16086139500955421</v>
      </c>
      <c r="AZ33" s="1">
        <f>AZ32/AZ34</f>
        <v>0.60382208741105259</v>
      </c>
      <c r="BK33" s="7">
        <f t="shared" ref="BK33" si="107">BK32/BK34</f>
        <v>-0.52164502164502169</v>
      </c>
      <c r="BL33" s="7">
        <f t="shared" ref="BL33" si="108">BL32/BL34</f>
        <v>1.249475890985325</v>
      </c>
      <c r="BM33" s="7">
        <f t="shared" ref="BM33" si="109">BM32/BM34</f>
        <v>4.8987603305785123</v>
      </c>
      <c r="BN33" s="7">
        <f t="shared" ref="BN33" si="110">BN32/BN34</f>
        <v>6.1521298174442194</v>
      </c>
      <c r="BO33" s="7">
        <f t="shared" ref="BO33:BP33" si="111">BO32/BO34</f>
        <v>20.146000000000001</v>
      </c>
      <c r="BP33" s="7">
        <f t="shared" si="111"/>
        <v>23.014895729890764</v>
      </c>
      <c r="BQ33" s="7">
        <f>BQ32/BQ34</f>
        <v>41.825490196078434</v>
      </c>
      <c r="BR33" s="7">
        <f>BR32/BR34</f>
        <v>6.1676679914964412</v>
      </c>
      <c r="BS33" s="7">
        <f t="shared" ref="BS33:BT33" si="112">BS32/BS34</f>
        <v>0.51665847665847664</v>
      </c>
      <c r="BT33" s="7">
        <f t="shared" si="112"/>
        <v>2.9001048517777144</v>
      </c>
      <c r="BU33" s="7">
        <f t="shared" ref="BU33" si="113">BU32/BU34</f>
        <v>2.9384676802537055</v>
      </c>
      <c r="BV33" s="7">
        <f t="shared" ref="BV33" si="114">BV32/BV34</f>
        <v>3.9163850065955446</v>
      </c>
      <c r="BW33" s="7">
        <f t="shared" ref="BW33" si="115">BW32/BW34</f>
        <v>5.2476167478655853</v>
      </c>
      <c r="BX33" s="7">
        <f t="shared" ref="BX33" si="116">BX32/BX34</f>
        <v>6.79209000229271</v>
      </c>
      <c r="BY33" s="7">
        <f t="shared" ref="BY33" si="117">BY32/BY34</f>
        <v>7.8494898578879813</v>
      </c>
      <c r="BZ33" s="7">
        <f t="shared" ref="BZ33" si="118">BZ32/BZ34</f>
        <v>8.7971482822734863</v>
      </c>
      <c r="CA33" s="7">
        <f t="shared" ref="CA33" si="119">CA32/CA34</f>
        <v>9.8285150612353789</v>
      </c>
    </row>
    <row r="34" spans="2:82" x14ac:dyDescent="0.25">
      <c r="B34" s="2" t="s">
        <v>2</v>
      </c>
      <c r="J34" s="4">
        <v>501</v>
      </c>
      <c r="K34" s="4">
        <v>502</v>
      </c>
      <c r="L34" s="4">
        <v>503</v>
      </c>
      <c r="M34" s="4">
        <v>504</v>
      </c>
      <c r="N34" s="4">
        <v>505</v>
      </c>
      <c r="O34" s="4">
        <v>506</v>
      </c>
      <c r="P34" s="4">
        <v>509</v>
      </c>
      <c r="Q34" s="4">
        <v>512</v>
      </c>
      <c r="R34" s="4">
        <v>513</v>
      </c>
      <c r="S34" s="4">
        <v>513</v>
      </c>
      <c r="T34" s="4">
        <v>10286</v>
      </c>
      <c r="U34" s="4">
        <v>515</v>
      </c>
      <c r="V34" s="4">
        <v>10324</v>
      </c>
      <c r="W34" s="4">
        <v>509</v>
      </c>
      <c r="X34" s="4">
        <v>10175</v>
      </c>
      <c r="Y34" s="4">
        <v>10331</v>
      </c>
      <c r="Z34" s="4">
        <v>10308</v>
      </c>
      <c r="AA34" s="4">
        <v>10347</v>
      </c>
      <c r="AB34" s="4">
        <v>10449</v>
      </c>
      <c r="AC34" s="4">
        <v>10558</v>
      </c>
      <c r="AD34" s="4">
        <v>10610</v>
      </c>
      <c r="AE34" s="4">
        <v>10670</v>
      </c>
      <c r="AF34" s="4">
        <v>10708</v>
      </c>
      <c r="AG34" s="4">
        <v>10735</v>
      </c>
      <c r="AH34" s="4">
        <v>10771</v>
      </c>
      <c r="AI34" s="2">
        <v>10793</v>
      </c>
      <c r="AJ34" s="2">
        <v>10806</v>
      </c>
      <c r="AK34" s="2">
        <f>+AJ34</f>
        <v>10806</v>
      </c>
      <c r="AL34" s="2">
        <f>+AK34</f>
        <v>10806</v>
      </c>
      <c r="AM34" s="2"/>
      <c r="AN34" s="2"/>
      <c r="AO34" s="2"/>
      <c r="AP34" s="2"/>
      <c r="AV34" s="2">
        <v>161.096869</v>
      </c>
      <c r="AX34" s="2">
        <v>364.21100000000001</v>
      </c>
      <c r="AY34" s="2">
        <v>378.363</v>
      </c>
      <c r="AZ34" s="2">
        <v>419.35199999999998</v>
      </c>
      <c r="BK34" s="2">
        <v>462</v>
      </c>
      <c r="BL34" s="2">
        <v>477</v>
      </c>
      <c r="BM34" s="2">
        <v>484</v>
      </c>
      <c r="BN34" s="4">
        <v>493</v>
      </c>
      <c r="BO34" s="4">
        <v>500</v>
      </c>
      <c r="BP34" s="4">
        <f>AVERAGE(K34:N34)</f>
        <v>503.5</v>
      </c>
      <c r="BQ34" s="4">
        <f>AVERAGE(O34:R34)</f>
        <v>510</v>
      </c>
      <c r="BR34" s="4">
        <f>AVERAGE(S34:V34)</f>
        <v>5409.5</v>
      </c>
      <c r="BS34" s="2">
        <f>X34</f>
        <v>10175</v>
      </c>
      <c r="BT34" s="2">
        <f>AVERAGE(AA34:AD34)</f>
        <v>10491</v>
      </c>
      <c r="BU34" s="2">
        <f>AVERAGE(AE34:AH34)</f>
        <v>10721</v>
      </c>
      <c r="BV34" s="2">
        <f>AVERAGE(AI34:AL34)</f>
        <v>10802.75</v>
      </c>
      <c r="BW34" s="2">
        <f t="shared" ref="BW34:CA34" si="120">+BV34</f>
        <v>10802.75</v>
      </c>
      <c r="BX34" s="2">
        <f t="shared" si="120"/>
        <v>10802.75</v>
      </c>
      <c r="BY34" s="2">
        <f t="shared" si="120"/>
        <v>10802.75</v>
      </c>
      <c r="BZ34" s="2">
        <f t="shared" si="120"/>
        <v>10802.75</v>
      </c>
      <c r="CA34" s="2">
        <f t="shared" si="120"/>
        <v>10802.75</v>
      </c>
    </row>
    <row r="36" spans="2:82" s="11" customFormat="1" ht="13" x14ac:dyDescent="0.3">
      <c r="B36" s="5" t="s">
        <v>38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10">
        <f>N20/J20-1</f>
        <v>0.20797701117665746</v>
      </c>
      <c r="O36" s="10">
        <f>O20/K20-1</f>
        <v>0.26385259631490787</v>
      </c>
      <c r="P36" s="10">
        <f t="shared" ref="P36:R36" si="121">P20/L20-1</f>
        <v>0.40230900258658764</v>
      </c>
      <c r="Q36" s="10">
        <f t="shared" si="121"/>
        <v>0.37387290836084075</v>
      </c>
      <c r="R36" s="10">
        <f t="shared" si="121"/>
        <v>0.43594816839553041</v>
      </c>
      <c r="S36" s="10">
        <f t="shared" ref="S36" si="122">S20/O20-1</f>
        <v>0.43823888034777081</v>
      </c>
      <c r="T36" s="10">
        <f t="shared" ref="T36" si="123">T20/P20-1</f>
        <v>0.27181932697498645</v>
      </c>
      <c r="U36" s="10">
        <f t="shared" ref="U36" si="124">U20/Q20-1</f>
        <v>0.15255083467679031</v>
      </c>
      <c r="V36" s="10">
        <f t="shared" ref="V36" si="125">V20/R20-1</f>
        <v>9.4436701047349692E-2</v>
      </c>
      <c r="W36" s="10">
        <f>W20/S20-1</f>
        <v>7.3038574245747334E-2</v>
      </c>
      <c r="X36" s="10">
        <f t="shared" ref="X36:AE36" si="126">X20/T20-1</f>
        <v>7.2108241952600016E-2</v>
      </c>
      <c r="Y36" s="10">
        <f>Y20/U20-1</f>
        <v>0.14699671515720314</v>
      </c>
      <c r="Z36" s="10">
        <f t="shared" si="126"/>
        <v>8.5814921549791867E-2</v>
      </c>
      <c r="AA36" s="10">
        <f>AA20/W20-1</f>
        <v>9.3727456975026602E-2</v>
      </c>
      <c r="AB36" s="10">
        <f t="shared" si="126"/>
        <v>0.10845967302901816</v>
      </c>
      <c r="AC36" s="10">
        <f t="shared" si="126"/>
        <v>0.125742519728405</v>
      </c>
      <c r="AD36" s="10">
        <f t="shared" si="126"/>
        <v>0.13911825420230017</v>
      </c>
      <c r="AE36" s="10">
        <f t="shared" si="126"/>
        <v>0.12527677884388888</v>
      </c>
      <c r="AF36" s="10">
        <f>AF20/AB20-1</f>
        <v>0.10116607011303502</v>
      </c>
      <c r="AG36" s="10">
        <f t="shared" ref="AG36:AL36" si="127">AG20/AC20-1</f>
        <v>0.11038348371225104</v>
      </c>
      <c r="AH36" s="10">
        <f t="shared" si="127"/>
        <v>0.10491230341078239</v>
      </c>
      <c r="AI36" s="10">
        <f t="shared" si="127"/>
        <v>8.6202926461660834E-2</v>
      </c>
      <c r="AJ36" s="10">
        <f t="shared" si="127"/>
        <v>0.13329008366108486</v>
      </c>
      <c r="AK36" s="10">
        <f t="shared" si="127"/>
        <v>0.10000000000000009</v>
      </c>
      <c r="AL36" s="10">
        <f t="shared" si="127"/>
        <v>0.10000000000000009</v>
      </c>
      <c r="AM36" s="10"/>
      <c r="AN36" s="10"/>
      <c r="AO36" s="10"/>
      <c r="AP36" s="10"/>
      <c r="AU36" s="15">
        <f t="shared" ref="AU36:AV36" si="128">AU20/AT20-1</f>
        <v>3.1263372285789677</v>
      </c>
      <c r="AV36" s="15">
        <f t="shared" si="128"/>
        <v>1.6890585567192891</v>
      </c>
      <c r="AW36" s="15">
        <f t="shared" ref="AW36" si="129">AW20/AV20-1</f>
        <v>0.68430132470321792</v>
      </c>
      <c r="AX36" s="15">
        <f t="shared" ref="AX36" si="130">AX20/AW20-1</f>
        <v>0.1305040617556299</v>
      </c>
      <c r="AY36" s="15">
        <f t="shared" ref="AY36" si="131">AY20/AX20-1</f>
        <v>0.25957418461821291</v>
      </c>
      <c r="AZ36" s="15">
        <f t="shared" ref="AZ36" si="132">AZ20/AY20-1</f>
        <v>0.3383637567455966</v>
      </c>
      <c r="BA36" s="15">
        <f t="shared" ref="BA36" si="133">BA20/AZ20-1</f>
        <v>0.31485481977597884</v>
      </c>
      <c r="BB36" s="15">
        <f t="shared" ref="BB36" si="134">BB20/BA20-1</f>
        <v>0.22670134373645423</v>
      </c>
      <c r="BC36" s="15">
        <f t="shared" ref="BC36" si="135">BC20/BB20-1</f>
        <v>0.26160188457008249</v>
      </c>
      <c r="BD36" s="15">
        <f t="shared" ref="BD36" si="136">BD20/BC20-1</f>
        <v>0.38502474092054895</v>
      </c>
      <c r="BE36" s="15">
        <f t="shared" ref="BE36" si="137">BE20/BD20-1</f>
        <v>0.29194472531176263</v>
      </c>
      <c r="BF36" s="15">
        <f t="shared" ref="BF36" si="138">BF20/BE20-1</f>
        <v>0.27877491391004905</v>
      </c>
      <c r="BG36" s="15">
        <f t="shared" ref="BG36" si="139">BG20/BF20-1</f>
        <v>0.39556897466236896</v>
      </c>
      <c r="BH36" s="15">
        <f t="shared" ref="BH36" si="140">BH20/BG20-1</f>
        <v>0.40559583674424049</v>
      </c>
      <c r="BI36" s="15">
        <f t="shared" ref="BI36" si="141">BI20/BH20-1</f>
        <v>0.27073236682821311</v>
      </c>
      <c r="BJ36" s="15">
        <f t="shared" ref="BJ36:BN36" si="142">BJ20/BI20-1</f>
        <v>0.21866662301736706</v>
      </c>
      <c r="BK36" s="15">
        <f t="shared" si="142"/>
        <v>0.1952398861011122</v>
      </c>
      <c r="BL36" s="15">
        <f t="shared" si="142"/>
        <v>0.20247673843664304</v>
      </c>
      <c r="BM36" s="15">
        <f t="shared" si="142"/>
        <v>0.27083528026465808</v>
      </c>
      <c r="BN36" s="15">
        <f t="shared" si="142"/>
        <v>0.30796326119408479</v>
      </c>
      <c r="BO36" s="15">
        <f t="shared" ref="BO36" si="143">BO20/BN20-1</f>
        <v>0.3093396152159491</v>
      </c>
      <c r="BP36" s="15">
        <f t="shared" ref="BP36" si="144">BP20/BO20-1</f>
        <v>0.20454125820676983</v>
      </c>
      <c r="BQ36" s="15">
        <f t="shared" ref="BQ36" si="145">BQ20/BP20-1</f>
        <v>0.37623430604373276</v>
      </c>
      <c r="BR36" s="15">
        <f>BR20/BQ20-1</f>
        <v>0.21695366571345676</v>
      </c>
      <c r="BS36" s="15">
        <f t="shared" ref="BS36:CA36" si="146">BS20/BR20-1</f>
        <v>9.399517263985091E-2</v>
      </c>
      <c r="BT36" s="15">
        <f>BT20/BS20-1</f>
        <v>0.1182957412988368</v>
      </c>
      <c r="BU36" s="15">
        <f t="shared" si="146"/>
        <v>0.1099089224666614</v>
      </c>
      <c r="BV36" s="15">
        <f t="shared" si="146"/>
        <v>7.2097658313465374E-2</v>
      </c>
      <c r="BW36" s="15">
        <f t="shared" si="146"/>
        <v>8.4845322644705679E-2</v>
      </c>
      <c r="BX36" s="15">
        <f t="shared" si="146"/>
        <v>8.7798486748400739E-2</v>
      </c>
      <c r="BY36" s="15">
        <f t="shared" si="146"/>
        <v>7.1766336710576972E-2</v>
      </c>
      <c r="BZ36" s="15">
        <f t="shared" si="146"/>
        <v>6.167758603707818E-2</v>
      </c>
      <c r="CA36" s="15">
        <f t="shared" si="146"/>
        <v>6.2099101280581381E-2</v>
      </c>
    </row>
    <row r="37" spans="2:82" s="11" customFormat="1" ht="13" x14ac:dyDescent="0.3">
      <c r="B37" s="5" t="s">
        <v>123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>
        <v>0.11</v>
      </c>
      <c r="AC37" s="10">
        <v>0.11</v>
      </c>
      <c r="AD37" s="10">
        <v>0.13</v>
      </c>
      <c r="AE37" s="10">
        <v>0.13</v>
      </c>
      <c r="AF37" s="10">
        <v>0.11</v>
      </c>
      <c r="AG37" s="10">
        <v>0.11</v>
      </c>
      <c r="AH37" s="10">
        <v>0.11</v>
      </c>
      <c r="AI37" s="10">
        <v>0.1</v>
      </c>
      <c r="AJ37" s="10"/>
      <c r="AK37" s="10"/>
      <c r="AL37" s="10"/>
      <c r="AM37" s="10"/>
      <c r="AN37" s="10"/>
      <c r="AO37" s="10"/>
      <c r="AP37" s="10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</row>
    <row r="38" spans="2:82" x14ac:dyDescent="0.25">
      <c r="B38" s="2" t="s">
        <v>100</v>
      </c>
      <c r="I38" s="8"/>
      <c r="K38" s="8"/>
      <c r="L38" s="8"/>
      <c r="M38" s="8"/>
      <c r="N38" s="8"/>
      <c r="O38" s="8">
        <f t="shared" ref="O38:R39" si="147">+O18/K18-1</f>
        <v>0.22045911968030807</v>
      </c>
      <c r="P38" s="8">
        <f t="shared" si="147"/>
        <v>0.40127175368139234</v>
      </c>
      <c r="Q38" s="8">
        <f t="shared" si="147"/>
        <v>0.32844988168957356</v>
      </c>
      <c r="R38" s="8">
        <f t="shared" si="147"/>
        <v>0.40588025800324479</v>
      </c>
      <c r="S38" s="8">
        <f t="shared" ref="S38:W38" si="148">+S18/O18-1</f>
        <v>0.37403503740350375</v>
      </c>
      <c r="T38" s="8">
        <f t="shared" si="148"/>
        <v>0.15444630204601539</v>
      </c>
      <c r="U38" s="8">
        <f t="shared" si="148"/>
        <v>3.9830219426232549E-2</v>
      </c>
      <c r="V38" s="8">
        <f t="shared" si="148"/>
        <v>5.0664264805224679E-3</v>
      </c>
      <c r="W38" s="8">
        <f t="shared" si="148"/>
        <v>-1.8020211859247515E-2</v>
      </c>
      <c r="X38" s="8">
        <f t="shared" ref="X38:AF38" si="149">+X18/T18-1</f>
        <v>-2.4636231984001111E-2</v>
      </c>
      <c r="Y38" s="8">
        <f t="shared" si="149"/>
        <v>8.1347036956046281E-2</v>
      </c>
      <c r="Z38" s="8">
        <f t="shared" si="149"/>
        <v>-1.2392181023860194E-2</v>
      </c>
      <c r="AA38" s="8">
        <f t="shared" si="149"/>
        <v>9.317155256398868E-3</v>
      </c>
      <c r="AB38" s="8">
        <f t="shared" si="149"/>
        <v>4.342907644719407E-2</v>
      </c>
      <c r="AC38" s="8">
        <f t="shared" si="149"/>
        <v>6.4560161779575242E-2</v>
      </c>
      <c r="AD38" s="8">
        <f t="shared" si="149"/>
        <v>8.7507620762501626E-2</v>
      </c>
      <c r="AE38" s="8">
        <f t="shared" si="149"/>
        <v>6.9040557378775347E-2</v>
      </c>
      <c r="AF38" s="8">
        <f t="shared" si="149"/>
        <v>4.2976690608483636E-2</v>
      </c>
      <c r="AG38" s="8">
        <f t="shared" ref="AG38:AL38" si="150">+AG18/AC18-1</f>
        <v>7.0127115290243847E-2</v>
      </c>
      <c r="AH38" s="8">
        <f t="shared" si="150"/>
        <v>7.200500632309037E-2</v>
      </c>
      <c r="AI38" s="8">
        <f t="shared" si="150"/>
        <v>5.0151850939834208E-2</v>
      </c>
      <c r="AJ38" s="8">
        <f t="shared" si="150"/>
        <v>0.10844743296139292</v>
      </c>
      <c r="AK38" s="8">
        <f t="shared" si="150"/>
        <v>-1</v>
      </c>
      <c r="AL38" s="8">
        <f t="shared" si="150"/>
        <v>-1</v>
      </c>
      <c r="AM38" s="8"/>
      <c r="AN38" s="8"/>
      <c r="AO38" s="8"/>
      <c r="AP38" s="8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</row>
    <row r="39" spans="2:82" x14ac:dyDescent="0.25">
      <c r="B39" s="2" t="s">
        <v>101</v>
      </c>
      <c r="I39" s="8"/>
      <c r="K39" s="8"/>
      <c r="L39" s="8"/>
      <c r="M39" s="8"/>
      <c r="N39" s="8"/>
      <c r="O39" s="8">
        <f t="shared" si="147"/>
        <v>0.32238265727662596</v>
      </c>
      <c r="P39" s="8">
        <f t="shared" si="147"/>
        <v>0.40365906780891536</v>
      </c>
      <c r="Q39" s="8">
        <f t="shared" si="147"/>
        <v>0.43351512146752613</v>
      </c>
      <c r="R39" s="8">
        <f t="shared" si="147"/>
        <v>0.47713782355332701</v>
      </c>
      <c r="S39" s="8">
        <f t="shared" ref="S39" si="151">+S19/O19-1</f>
        <v>0.5181636964089138</v>
      </c>
      <c r="T39" s="8">
        <f t="shared" ref="T39" si="152">+T19/P19-1</f>
        <v>0.42433019551049966</v>
      </c>
      <c r="U39" s="8">
        <f t="shared" ref="U39" si="153">+U19/Q19-1</f>
        <v>0.28970971386410271</v>
      </c>
      <c r="V39" s="8">
        <f t="shared" ref="V39" si="154">+V19/R19-1</f>
        <v>0.21095799922934355</v>
      </c>
      <c r="W39" s="8">
        <f t="shared" ref="W39:AA39" si="155">+W19/S19-1</f>
        <v>0.17563250827993016</v>
      </c>
      <c r="X39" s="8">
        <f t="shared" si="155"/>
        <v>0.17399593289273008</v>
      </c>
      <c r="Y39" s="8">
        <f t="shared" si="155"/>
        <v>0.21140231693363853</v>
      </c>
      <c r="Z39" s="8">
        <f t="shared" si="155"/>
        <v>0.19208739923631746</v>
      </c>
      <c r="AA39" s="8">
        <f t="shared" si="155"/>
        <v>0.17316508026471511</v>
      </c>
      <c r="AB39" s="8">
        <f>+AB19/X19-1</f>
        <v>0.16535981069920669</v>
      </c>
      <c r="AC39" s="8">
        <f>+AC19/Y19-1</f>
        <v>0.179321438585617</v>
      </c>
      <c r="AD39" s="8">
        <f>+AD19/Z19-1</f>
        <v>0.1853876170986235</v>
      </c>
      <c r="AE39" s="8">
        <f>+AE19/AA19-1</f>
        <v>0.17080864486977276</v>
      </c>
      <c r="AF39" s="8">
        <f>+AF19/AB19-1</f>
        <v>0.14675319504717921</v>
      </c>
      <c r="AG39" s="8">
        <f t="shared" ref="AG39:AL39" si="156">+AG19/AC19-1</f>
        <v>0.14220642706977671</v>
      </c>
      <c r="AH39" s="8">
        <f t="shared" si="156"/>
        <v>0.13197795363400466</v>
      </c>
      <c r="AI39" s="8">
        <f t="shared" si="156"/>
        <v>0.11285468093885775</v>
      </c>
      <c r="AJ39" s="8">
        <f t="shared" si="156"/>
        <v>0.15099121619275779</v>
      </c>
      <c r="AK39" s="8">
        <f t="shared" si="156"/>
        <v>-1</v>
      </c>
      <c r="AL39" s="8">
        <f t="shared" si="156"/>
        <v>-1</v>
      </c>
      <c r="AM39" s="8"/>
      <c r="AN39" s="8"/>
      <c r="AO39" s="8"/>
      <c r="AP39" s="8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</row>
    <row r="40" spans="2:82" x14ac:dyDescent="0.25">
      <c r="B40" s="2" t="s">
        <v>56</v>
      </c>
      <c r="N40" s="8">
        <f t="shared" ref="N40" si="157">+N11/J11-1</f>
        <v>0.14652704535181549</v>
      </c>
      <c r="O40" s="8">
        <f t="shared" ref="O40" si="158">+O11/K11-1</f>
        <v>0.24252491694352152</v>
      </c>
      <c r="P40" s="8">
        <f t="shared" ref="P40" si="159">+P11/L11-1</f>
        <v>0.47798924419540789</v>
      </c>
      <c r="Q40" s="8">
        <f t="shared" ref="Q40" si="160">+Q11/M11-1</f>
        <v>0.37989097862381915</v>
      </c>
      <c r="R40" s="8">
        <f t="shared" ref="R40:V40" si="161">+R11/N11-1</f>
        <v>0.45543947258908823</v>
      </c>
      <c r="S40" s="8">
        <f t="shared" si="161"/>
        <v>0.44333187820582776</v>
      </c>
      <c r="T40" s="8">
        <f t="shared" si="161"/>
        <v>0.15820550810528156</v>
      </c>
      <c r="U40" s="8">
        <f t="shared" si="161"/>
        <v>3.2926577042399208E-2</v>
      </c>
      <c r="V40" s="8">
        <f t="shared" si="161"/>
        <v>-5.6583046154309313E-3</v>
      </c>
      <c r="W40" s="8">
        <f>+W11/S11-1</f>
        <v>-3.3496531256497986E-2</v>
      </c>
      <c r="X40" s="8">
        <f t="shared" ref="X40:AD40" si="162">+X11/T11-1</f>
        <v>-4.3305679402524611E-2</v>
      </c>
      <c r="Y40" s="8">
        <f t="shared" si="162"/>
        <v>7.102238596772259E-2</v>
      </c>
      <c r="Z40" s="8">
        <f t="shared" si="162"/>
        <v>-2.3367385546727237E-2</v>
      </c>
      <c r="AA40" s="8">
        <f t="shared" si="162"/>
        <v>-6.4542627471686487E-4</v>
      </c>
      <c r="AB40" s="8">
        <f t="shared" si="162"/>
        <v>4.1510175990561393E-2</v>
      </c>
      <c r="AC40" s="8">
        <f t="shared" si="162"/>
        <v>7.0631344762474457E-2</v>
      </c>
      <c r="AD40" s="8">
        <f t="shared" si="162"/>
        <v>9.3164525576854507E-2</v>
      </c>
      <c r="AE40" s="8">
        <f>+AE11/AA11-1</f>
        <v>6.9946766870205179E-2</v>
      </c>
      <c r="AF40" s="8">
        <f>+AF11/AB11-1</f>
        <v>4.5802967941698469E-2</v>
      </c>
      <c r="AG40" s="8">
        <f t="shared" ref="AG40:AL40" si="163">+AG11/AC11-1</f>
        <v>7.2362791834738927E-2</v>
      </c>
      <c r="AH40" s="8">
        <f t="shared" si="163"/>
        <v>7.1063039564520869E-2</v>
      </c>
      <c r="AI40" s="8">
        <f t="shared" si="163"/>
        <v>5.0064020486555671E-2</v>
      </c>
      <c r="AJ40" s="8">
        <f t="shared" si="163"/>
        <v>0.10999783362218363</v>
      </c>
      <c r="AK40" s="8">
        <f t="shared" si="163"/>
        <v>-1</v>
      </c>
      <c r="AL40" s="8">
        <f t="shared" si="163"/>
        <v>-1</v>
      </c>
      <c r="AM40" s="8"/>
      <c r="AN40" s="8"/>
      <c r="AO40" s="8"/>
      <c r="AP40" s="8"/>
      <c r="BO40" s="13"/>
      <c r="BP40" s="13">
        <f t="shared" ref="BP40" si="164">BP11/BO11-1</f>
        <v>0.14847097660728359</v>
      </c>
      <c r="BQ40" s="13">
        <f t="shared" ref="BQ40" si="165">BQ11/BP11-1</f>
        <v>0.39719073679440986</v>
      </c>
      <c r="BR40" s="13">
        <f>BR11/BQ11-1</f>
        <v>0.12529072860769497</v>
      </c>
      <c r="BS40" s="13">
        <f t="shared" ref="BS40:CA40" si="166">BS11/BR11-1</f>
        <v>-9.3256782618484912E-3</v>
      </c>
      <c r="BT40" s="13">
        <f t="shared" si="166"/>
        <v>5.3944473736841081E-2</v>
      </c>
      <c r="BU40" s="13">
        <f t="shared" si="166"/>
        <v>6.5367961634005045E-2</v>
      </c>
      <c r="BV40" s="13">
        <f t="shared" si="166"/>
        <v>5.0000000000000044E-2</v>
      </c>
      <c r="BW40" s="13">
        <f t="shared" si="166"/>
        <v>5.0000000000000044E-2</v>
      </c>
      <c r="BX40" s="13">
        <f t="shared" si="166"/>
        <v>5.0000000000000044E-2</v>
      </c>
      <c r="BY40" s="13">
        <f t="shared" si="166"/>
        <v>5.0000000000000044E-2</v>
      </c>
      <c r="BZ40" s="13">
        <f t="shared" si="166"/>
        <v>5.0000000000000044E-2</v>
      </c>
      <c r="CA40" s="13">
        <f t="shared" si="166"/>
        <v>5.0000000000000044E-2</v>
      </c>
    </row>
    <row r="41" spans="2:82" x14ac:dyDescent="0.25">
      <c r="B41" s="2" t="s">
        <v>57</v>
      </c>
      <c r="N41" s="8">
        <f t="shared" ref="N41:V41" si="167">+N13/J13-1</f>
        <v>0.30359411193304942</v>
      </c>
      <c r="O41" s="8">
        <f t="shared" si="167"/>
        <v>0.29961403823714217</v>
      </c>
      <c r="P41" s="8">
        <f t="shared" si="167"/>
        <v>0.52106671125229886</v>
      </c>
      <c r="Q41" s="8">
        <f t="shared" si="167"/>
        <v>0.54677565849227983</v>
      </c>
      <c r="R41" s="8">
        <f t="shared" si="167"/>
        <v>0.56637624670411557</v>
      </c>
      <c r="S41" s="8">
        <f t="shared" si="167"/>
        <v>0.63747496374058987</v>
      </c>
      <c r="T41" s="8">
        <f t="shared" si="167"/>
        <v>0.37867546029128873</v>
      </c>
      <c r="U41" s="8">
        <f t="shared" si="167"/>
        <v>0.18672930123311793</v>
      </c>
      <c r="V41" s="8">
        <f t="shared" si="167"/>
        <v>0.10952537783144867</v>
      </c>
      <c r="W41" s="8">
        <f>+W13/S13-1</f>
        <v>6.8581551309629285E-2</v>
      </c>
      <c r="X41" s="8">
        <f t="shared" ref="X41:AD41" si="168">+X13/T13-1</f>
        <v>9.1329479768786026E-2</v>
      </c>
      <c r="Y41" s="8">
        <f t="shared" si="168"/>
        <v>0.18200560778492503</v>
      </c>
      <c r="Z41" s="8">
        <f t="shared" si="168"/>
        <v>0.19851583113456472</v>
      </c>
      <c r="AA41" s="8">
        <f t="shared" si="168"/>
        <v>0.177027827116637</v>
      </c>
      <c r="AB41" s="8">
        <f t="shared" si="168"/>
        <v>0.18103448275862077</v>
      </c>
      <c r="AC41" s="8">
        <f t="shared" si="168"/>
        <v>0.19800460475825021</v>
      </c>
      <c r="AD41" s="8">
        <f t="shared" si="168"/>
        <v>0.19868460882247718</v>
      </c>
      <c r="AE41" s="8">
        <f t="shared" ref="AE41:AL43" si="169">+AE13/AA13-1</f>
        <v>0.16016096579476868</v>
      </c>
      <c r="AF41" s="8">
        <f t="shared" si="169"/>
        <v>0.11966472844240994</v>
      </c>
      <c r="AG41" s="8">
        <f t="shared" si="169"/>
        <v>0.10255663618892319</v>
      </c>
      <c r="AH41" s="8">
        <f t="shared" si="169"/>
        <v>9.0130627424872101E-2</v>
      </c>
      <c r="AI41" s="8">
        <f t="shared" si="169"/>
        <v>5.538212510116769E-2</v>
      </c>
      <c r="AJ41" s="8">
        <f t="shared" si="169"/>
        <v>0.1145548465512003</v>
      </c>
      <c r="AK41" s="8">
        <f t="shared" si="169"/>
        <v>-1</v>
      </c>
      <c r="AL41" s="8">
        <f t="shared" si="169"/>
        <v>-1</v>
      </c>
      <c r="AM41" s="8"/>
      <c r="AN41" s="8"/>
      <c r="AO41" s="8"/>
      <c r="AP41" s="8"/>
      <c r="BO41" s="13"/>
      <c r="BP41" s="13">
        <f t="shared" ref="BP41" si="170">BP13/BO13-1</f>
        <v>0.25771435255585451</v>
      </c>
      <c r="BQ41" s="13">
        <f t="shared" ref="BQ41" si="171">BQ13/BP13-1</f>
        <v>0.4961961273041795</v>
      </c>
      <c r="BR41" s="13">
        <f>BR13/BQ13-1</f>
        <v>0.28505538495965776</v>
      </c>
      <c r="BS41" s="13">
        <f t="shared" ref="BS41:CA41" si="172">BS13/BR13-1</f>
        <v>0.13882708047133496</v>
      </c>
      <c r="BT41" s="13">
        <f t="shared" si="172"/>
        <v>0.18975330456352579</v>
      </c>
      <c r="BU41" s="13">
        <f t="shared" si="172"/>
        <v>0.11490649968226307</v>
      </c>
      <c r="BV41" s="13">
        <f t="shared" si="172"/>
        <v>5.0000000000000044E-2</v>
      </c>
      <c r="BW41" s="13">
        <f t="shared" si="172"/>
        <v>5.0000000000000044E-2</v>
      </c>
      <c r="BX41" s="13">
        <f t="shared" si="172"/>
        <v>5.0000000000000044E-2</v>
      </c>
      <c r="BY41" s="13">
        <f t="shared" si="172"/>
        <v>5.0000000000000044E-2</v>
      </c>
      <c r="BZ41" s="13">
        <f t="shared" si="172"/>
        <v>5.0000000000000044E-2</v>
      </c>
      <c r="CA41" s="13">
        <f t="shared" si="172"/>
        <v>5.0000000000000044E-2</v>
      </c>
    </row>
    <row r="42" spans="2:82" x14ac:dyDescent="0.25">
      <c r="B42" s="2" t="s">
        <v>58</v>
      </c>
      <c r="N42" s="8">
        <f t="shared" ref="N42:V43" si="173">+N14/J14-1</f>
        <v>0.3223036120232381</v>
      </c>
      <c r="O42" s="8">
        <f t="shared" si="173"/>
        <v>0.27959465684016571</v>
      </c>
      <c r="P42" s="8">
        <f t="shared" si="173"/>
        <v>0.28699743370402042</v>
      </c>
      <c r="Q42" s="8">
        <f t="shared" si="173"/>
        <v>0.32580189630825096</v>
      </c>
      <c r="R42" s="8">
        <f t="shared" si="173"/>
        <v>0.34880611270296091</v>
      </c>
      <c r="S42" s="8">
        <f t="shared" si="173"/>
        <v>0.36429085673146155</v>
      </c>
      <c r="T42" s="8">
        <f t="shared" si="173"/>
        <v>0.31555333998005985</v>
      </c>
      <c r="U42" s="8">
        <f t="shared" si="173"/>
        <v>0.23980523432744971</v>
      </c>
      <c r="V42" s="8">
        <f t="shared" si="173"/>
        <v>0.15040362554878905</v>
      </c>
      <c r="W42" s="8">
        <f>+W14/S14-1</f>
        <v>0.10949868073878632</v>
      </c>
      <c r="X42" s="8">
        <f t="shared" ref="X42:AD43" si="174">+X14/T14-1</f>
        <v>0.10092206643930779</v>
      </c>
      <c r="Y42" s="8">
        <f t="shared" si="174"/>
        <v>9.2660775650466265E-2</v>
      </c>
      <c r="Z42" s="8">
        <f t="shared" si="174"/>
        <v>0.13123230333620572</v>
      </c>
      <c r="AA42" s="8">
        <f t="shared" si="174"/>
        <v>0.14827586206896548</v>
      </c>
      <c r="AB42" s="8">
        <f t="shared" si="174"/>
        <v>0.13515374024782001</v>
      </c>
      <c r="AC42" s="8">
        <f t="shared" si="174"/>
        <v>0.14231158036616876</v>
      </c>
      <c r="AD42" s="8">
        <f t="shared" si="174"/>
        <v>0.14136467515507678</v>
      </c>
      <c r="AE42" s="8">
        <f t="shared" si="169"/>
        <v>0.22439681060370709</v>
      </c>
      <c r="AF42" s="8">
        <f t="shared" si="169"/>
        <v>0.29078229229836272</v>
      </c>
      <c r="AG42" s="8">
        <f t="shared" si="169"/>
        <v>0.40914454277286127</v>
      </c>
      <c r="AH42" s="8">
        <f t="shared" si="169"/>
        <v>0.64836003051106017</v>
      </c>
      <c r="AI42" s="8">
        <f t="shared" si="169"/>
        <v>0.17735115020297698</v>
      </c>
      <c r="AJ42" s="8">
        <f t="shared" si="169"/>
        <v>0.22887792655234507</v>
      </c>
      <c r="AK42" s="8">
        <f t="shared" si="169"/>
        <v>-1</v>
      </c>
      <c r="AL42" s="8">
        <f t="shared" si="169"/>
        <v>-1</v>
      </c>
      <c r="AM42" s="8"/>
      <c r="AN42" s="8"/>
      <c r="AO42" s="8"/>
      <c r="AP42" s="8"/>
      <c r="BO42" s="13"/>
      <c r="BP42" s="13">
        <f t="shared" ref="BP42" si="175">BP14/BO14-1</f>
        <v>0.35596809486835612</v>
      </c>
      <c r="BQ42" s="13">
        <f t="shared" ref="BQ42" si="176">BQ14/BP14-1</f>
        <v>0.31218115564810001</v>
      </c>
      <c r="BR42" s="13">
        <f>BR14/BQ14-1</f>
        <v>0.26028484151227826</v>
      </c>
      <c r="BS42" s="13">
        <f t="shared" ref="BS42:CA42" si="177">BS14/BR14-1</f>
        <v>0.10859984890455809</v>
      </c>
      <c r="BT42" s="13">
        <f t="shared" si="177"/>
        <v>0.14171730365154178</v>
      </c>
      <c r="BU42" s="13">
        <f t="shared" si="177"/>
        <v>0.39804521375811386</v>
      </c>
      <c r="BV42" s="13">
        <f t="shared" si="177"/>
        <v>0.10000000000000009</v>
      </c>
      <c r="BW42" s="13">
        <f t="shared" si="177"/>
        <v>0.10000000000000009</v>
      </c>
      <c r="BX42" s="13">
        <f t="shared" si="177"/>
        <v>0.10000000000000009</v>
      </c>
      <c r="BY42" s="13">
        <f t="shared" si="177"/>
        <v>5.0000000000000044E-2</v>
      </c>
      <c r="BZ42" s="13">
        <f t="shared" si="177"/>
        <v>5.0000000000000044E-2</v>
      </c>
      <c r="CA42" s="13">
        <f t="shared" si="177"/>
        <v>5.0000000000000044E-2</v>
      </c>
    </row>
    <row r="43" spans="2:82" x14ac:dyDescent="0.25">
      <c r="B43" s="2" t="s">
        <v>59</v>
      </c>
      <c r="N43" s="8">
        <f t="shared" si="173"/>
        <v>0.41145218417945695</v>
      </c>
      <c r="O43" s="8">
        <f t="shared" si="173"/>
        <v>0.43814432989690721</v>
      </c>
      <c r="P43" s="8">
        <f t="shared" si="173"/>
        <v>0.40606262491672229</v>
      </c>
      <c r="Q43" s="8">
        <f t="shared" si="173"/>
        <v>0.50529838259899607</v>
      </c>
      <c r="R43" s="8">
        <f t="shared" si="173"/>
        <v>0.53701380175658731</v>
      </c>
      <c r="S43" s="8">
        <f t="shared" si="173"/>
        <v>0.63364055299539168</v>
      </c>
      <c r="T43" s="8">
        <f t="shared" si="173"/>
        <v>0.76522151149016815</v>
      </c>
      <c r="U43" s="8">
        <f t="shared" si="173"/>
        <v>0.41015190811411628</v>
      </c>
      <c r="V43" s="8">
        <f t="shared" si="173"/>
        <v>0.32190476190476192</v>
      </c>
      <c r="W43" s="8">
        <f t="shared" ref="W43" si="178">+W15/S15-1</f>
        <v>0.23444601159692846</v>
      </c>
      <c r="X43" s="8">
        <f t="shared" si="174"/>
        <v>0.17527848610924712</v>
      </c>
      <c r="Y43" s="8">
        <f t="shared" si="174"/>
        <v>0.25433526011560703</v>
      </c>
      <c r="Z43" s="8">
        <f t="shared" si="174"/>
        <v>0.18948126801152743</v>
      </c>
      <c r="AA43" s="8">
        <f t="shared" si="174"/>
        <v>0.20718547670432907</v>
      </c>
      <c r="AB43" s="8">
        <f t="shared" si="174"/>
        <v>0.21993833504624871</v>
      </c>
      <c r="AC43" s="8">
        <f t="shared" si="174"/>
        <v>0.26309174696271476</v>
      </c>
      <c r="AD43" s="8">
        <f t="shared" si="174"/>
        <v>0.26797611836981905</v>
      </c>
      <c r="AE43" s="8">
        <f t="shared" si="169"/>
        <v>0.12756336102639598</v>
      </c>
      <c r="AF43" s="8">
        <f t="shared" si="169"/>
        <v>1.7130019657399576E-2</v>
      </c>
      <c r="AG43" s="8">
        <f t="shared" si="169"/>
        <v>-6.4842454394693161E-2</v>
      </c>
      <c r="AH43" s="8">
        <f t="shared" si="169"/>
        <v>-0.21468541012692777</v>
      </c>
      <c r="AI43" s="8">
        <f t="shared" si="169"/>
        <v>9.2613318410744272E-2</v>
      </c>
      <c r="AJ43" s="8">
        <f t="shared" si="169"/>
        <v>0.12350450947910918</v>
      </c>
      <c r="AK43" s="8">
        <f t="shared" si="169"/>
        <v>-1</v>
      </c>
      <c r="AL43" s="8">
        <f t="shared" si="169"/>
        <v>-1</v>
      </c>
      <c r="AM43" s="8"/>
      <c r="AN43" s="8"/>
      <c r="AO43" s="8"/>
      <c r="AP43" s="8"/>
      <c r="BO43" s="13"/>
      <c r="BP43" s="13">
        <f t="shared" ref="BP43" si="179">BP15/BO15-1</f>
        <v>0.39354966363276622</v>
      </c>
      <c r="BQ43" s="13">
        <f t="shared" ref="BQ43:BR43" si="180">BQ15/BP15-1</f>
        <v>0.4819679114013915</v>
      </c>
      <c r="BR43" s="13">
        <f t="shared" si="180"/>
        <v>0.49269461077844312</v>
      </c>
      <c r="BS43" s="13">
        <f t="shared" ref="BS43:CA43" si="181">BS15/BR15-1</f>
        <v>0.21113607188703476</v>
      </c>
      <c r="BT43" s="13">
        <f t="shared" si="181"/>
        <v>0.24290521741434601</v>
      </c>
      <c r="BU43" s="13">
        <f t="shared" si="181"/>
        <v>-5.3980301027587108E-2</v>
      </c>
      <c r="BV43" s="13">
        <f t="shared" si="181"/>
        <v>0.10000000000000009</v>
      </c>
      <c r="BW43" s="13">
        <f t="shared" si="181"/>
        <v>0.10000000000000009</v>
      </c>
      <c r="BX43" s="13">
        <f t="shared" si="181"/>
        <v>0.10000000000000009</v>
      </c>
      <c r="BY43" s="13">
        <f t="shared" si="181"/>
        <v>5.0000000000000044E-2</v>
      </c>
      <c r="BZ43" s="13">
        <f t="shared" si="181"/>
        <v>5.0000000000000044E-2</v>
      </c>
      <c r="CA43" s="13">
        <f t="shared" si="181"/>
        <v>5.0000000000000044E-2</v>
      </c>
    </row>
    <row r="44" spans="2:82" x14ac:dyDescent="0.25">
      <c r="B44" s="2" t="s">
        <v>39</v>
      </c>
      <c r="N44" s="8">
        <f t="shared" ref="N44:O44" si="182">N9/J9-1</f>
        <v>0.33970390309555865</v>
      </c>
      <c r="O44" s="8">
        <f t="shared" si="182"/>
        <v>0.32783264033264037</v>
      </c>
      <c r="P44" s="8">
        <f t="shared" ref="P44" si="183">P9/L9-1</f>
        <v>0.28958358191146649</v>
      </c>
      <c r="Q44" s="8">
        <f t="shared" ref="Q44" si="184">Q9/M9-1</f>
        <v>0.28971650917176217</v>
      </c>
      <c r="R44" s="8">
        <f t="shared" ref="R44" si="185">R9/N9-1</f>
        <v>0.28008840667068524</v>
      </c>
      <c r="S44" s="8">
        <f t="shared" ref="S44" si="186">S9/O9-1</f>
        <v>0.32136216850963883</v>
      </c>
      <c r="T44" s="8">
        <f t="shared" ref="T44" si="187">T9/P9-1</f>
        <v>0.37018874907475952</v>
      </c>
      <c r="U44" s="8">
        <f t="shared" ref="U44" si="188">U9/Q9-1</f>
        <v>0.3886733902249806</v>
      </c>
      <c r="V44" s="8">
        <f t="shared" ref="V44:AA44" si="189">V9/R9-1</f>
        <v>0.39538533982106427</v>
      </c>
      <c r="W44" s="8">
        <f t="shared" si="189"/>
        <v>0.36569651188624741</v>
      </c>
      <c r="X44" s="8">
        <f t="shared" si="189"/>
        <v>0.33290566547369838</v>
      </c>
      <c r="Y44" s="8">
        <f t="shared" si="189"/>
        <v>0.27486033519553077</v>
      </c>
      <c r="Z44" s="8">
        <f t="shared" si="189"/>
        <v>0.20236220472440936</v>
      </c>
      <c r="AA44" s="8">
        <f t="shared" si="189"/>
        <v>0.157963234097934</v>
      </c>
      <c r="AB44" s="8">
        <f t="shared" ref="AB44:AD44" si="190">AB9/X9-1</f>
        <v>0.12163736764780375</v>
      </c>
      <c r="AC44" s="8">
        <f t="shared" si="190"/>
        <v>0.1227480767358069</v>
      </c>
      <c r="AD44" s="8">
        <f t="shared" si="190"/>
        <v>0.13219197305641317</v>
      </c>
      <c r="AE44" s="8">
        <f>AE9/AA9-1</f>
        <v>0.17247354125690739</v>
      </c>
      <c r="AF44" s="8">
        <f>AF9/AB9-1</f>
        <v>0.18703703703703711</v>
      </c>
      <c r="AG44" s="8">
        <f t="shared" ref="AG44:AL44" si="191">AG9/AC9-1</f>
        <v>0.1905112971074201</v>
      </c>
      <c r="AH44" s="8">
        <f t="shared" si="191"/>
        <v>0.189307552470666</v>
      </c>
      <c r="AI44" s="8">
        <f t="shared" si="191"/>
        <v>0.1689499540679793</v>
      </c>
      <c r="AJ44" s="8">
        <f t="shared" si="191"/>
        <v>0.17472698907956308</v>
      </c>
      <c r="AK44" s="8">
        <f t="shared" si="191"/>
        <v>0.10000000000000009</v>
      </c>
      <c r="AL44" s="8">
        <f t="shared" si="191"/>
        <v>0.10000000000000009</v>
      </c>
      <c r="AM44" s="8"/>
      <c r="AN44" s="8"/>
      <c r="AO44" s="8"/>
      <c r="AP44" s="8"/>
      <c r="BL44" s="13">
        <f t="shared" ref="BL44:BN44" si="192">BL9/BK9-1</f>
        <v>0.69681309216192933</v>
      </c>
      <c r="BM44" s="13">
        <f t="shared" si="192"/>
        <v>0.55063451776649752</v>
      </c>
      <c r="BN44" s="13">
        <f t="shared" si="192"/>
        <v>0.42884033063262139</v>
      </c>
      <c r="BO44" s="13">
        <f t="shared" ref="BO44" si="193">BO9/BN9-1</f>
        <v>0.46944269431238905</v>
      </c>
      <c r="BP44" s="13">
        <f t="shared" ref="BP44" si="194">BP9/BO9-1</f>
        <v>0.36526992788930035</v>
      </c>
      <c r="BQ44" s="13">
        <f t="shared" ref="BQ44" si="195">BQ9/BP9-1</f>
        <v>0.29532347399074976</v>
      </c>
      <c r="BR44" s="13">
        <f>BR9/BQ9-1</f>
        <v>0.37099404893101173</v>
      </c>
      <c r="BS44" s="13">
        <f t="shared" ref="BS44:CA44" si="196">BS9/BR9-1</f>
        <v>0.28767563743931057</v>
      </c>
      <c r="BT44" s="13">
        <f t="shared" si="196"/>
        <v>0.13310277666799841</v>
      </c>
      <c r="BU44" s="13">
        <f t="shared" si="196"/>
        <v>0.18509867007503544</v>
      </c>
      <c r="BV44" s="13">
        <f t="shared" si="196"/>
        <v>0.13430956896872326</v>
      </c>
      <c r="BW44" s="13">
        <f t="shared" si="196"/>
        <v>0.19999999999999996</v>
      </c>
      <c r="BX44" s="13">
        <f t="shared" si="196"/>
        <v>0.19999999999999996</v>
      </c>
      <c r="BY44" s="13">
        <f t="shared" si="196"/>
        <v>0.14999999999999991</v>
      </c>
      <c r="BZ44" s="13">
        <f t="shared" si="196"/>
        <v>0.10000000000000009</v>
      </c>
      <c r="CA44" s="13">
        <f t="shared" si="196"/>
        <v>0.10000000000000009</v>
      </c>
    </row>
    <row r="45" spans="2:82" ht="13" x14ac:dyDescent="0.3">
      <c r="B45" s="2" t="s">
        <v>29</v>
      </c>
      <c r="C45" s="16"/>
      <c r="D45" s="16"/>
      <c r="E45" s="16"/>
      <c r="F45" s="16"/>
      <c r="G45" s="16"/>
      <c r="H45" s="16"/>
      <c r="I45" s="16"/>
      <c r="J45" s="16">
        <f t="shared" ref="J45:O45" si="197">J23/J20</f>
        <v>0.24272273876462705</v>
      </c>
      <c r="K45" s="16">
        <f t="shared" si="197"/>
        <v>0.28775544388609714</v>
      </c>
      <c r="L45" s="16">
        <f t="shared" si="197"/>
        <v>0.28067629802536115</v>
      </c>
      <c r="M45" s="16">
        <f t="shared" si="197"/>
        <v>0.26452894357039769</v>
      </c>
      <c r="N45" s="16">
        <f t="shared" si="197"/>
        <v>0.24323798849457323</v>
      </c>
      <c r="O45" s="16">
        <f t="shared" si="197"/>
        <v>0.26061602078142393</v>
      </c>
      <c r="P45" s="16">
        <f>P23/P20</f>
        <v>0.25245186251574592</v>
      </c>
      <c r="Q45" s="16">
        <f>Q23/Q20</f>
        <v>0.25309688491341203</v>
      </c>
      <c r="R45" s="16">
        <f>R23/R20</f>
        <v>0.22139301501334077</v>
      </c>
      <c r="S45" s="16">
        <f>S23/S20</f>
        <v>0.2726275825208721</v>
      </c>
      <c r="T45" s="16">
        <f t="shared" ref="T45:W45" si="198">T23/T20</f>
        <v>0.27649451715599577</v>
      </c>
      <c r="U45" s="16">
        <f t="shared" si="198"/>
        <v>0.26516983720174708</v>
      </c>
      <c r="V45" s="16">
        <f>V23/V20</f>
        <v>0.23383692836142403</v>
      </c>
      <c r="W45" s="16">
        <f t="shared" si="198"/>
        <v>0.25483494211809971</v>
      </c>
      <c r="X45" s="16">
        <f t="shared" ref="X45:AD45" si="199">X23/X20</f>
        <v>0.2843096821023805</v>
      </c>
      <c r="Y45" s="16">
        <f>Y23/Y20</f>
        <v>0.28520625329462396</v>
      </c>
      <c r="Z45" s="16">
        <f>Z23/Z20</f>
        <v>0.27117905686174631</v>
      </c>
      <c r="AA45" s="16">
        <f>AA23/AA20</f>
        <v>0.30356946560090453</v>
      </c>
      <c r="AB45" s="16">
        <f t="shared" si="199"/>
        <v>0.32522714926739243</v>
      </c>
      <c r="AC45" s="16">
        <f t="shared" si="199"/>
        <v>0.3197235171194342</v>
      </c>
      <c r="AD45" s="16">
        <f t="shared" si="199"/>
        <v>0.30191043827701647</v>
      </c>
      <c r="AE45" s="17">
        <f>AE23/AE20</f>
        <v>0.33746415189131479</v>
      </c>
      <c r="AF45" s="18">
        <f>AF23/AF20</f>
        <v>0.3421251807701145</v>
      </c>
      <c r="AG45" s="16">
        <f t="shared" ref="AG45:AL45" si="200">AG23/AG20</f>
        <v>0.33510199714244354</v>
      </c>
      <c r="AH45" s="16">
        <f t="shared" si="200"/>
        <v>0.32449199113913268</v>
      </c>
      <c r="AI45" s="16">
        <f t="shared" si="200"/>
        <v>0.34752388110517962</v>
      </c>
      <c r="AJ45" s="16">
        <f>AJ23/AJ20</f>
        <v>0.36324551883698464</v>
      </c>
      <c r="AK45" s="16">
        <f t="shared" si="200"/>
        <v>0.34</v>
      </c>
      <c r="AL45" s="16">
        <f t="shared" si="200"/>
        <v>0.34</v>
      </c>
      <c r="AM45" s="16"/>
      <c r="AN45" s="16"/>
      <c r="AO45" s="16"/>
      <c r="AP45" s="16"/>
      <c r="BK45" s="14">
        <f t="shared" ref="BK45:BM45" si="201">BK23/BK20</f>
        <v>0.17384366431428958</v>
      </c>
      <c r="BL45" s="14">
        <f t="shared" si="201"/>
        <v>0.20508195802104554</v>
      </c>
      <c r="BM45" s="14">
        <f t="shared" si="201"/>
        <v>0.22136674829211617</v>
      </c>
      <c r="BN45" s="14">
        <f t="shared" ref="BN45" si="202">BN23/BN20</f>
        <v>0.22872836854710848</v>
      </c>
      <c r="BO45" s="14">
        <f t="shared" ref="BO45:BP45" si="203">BO23/BO20</f>
        <v>0.25636467471348767</v>
      </c>
      <c r="BP45" s="14">
        <f t="shared" si="203"/>
        <v>0.26648533804835273</v>
      </c>
      <c r="BQ45" s="14">
        <f t="shared" ref="BQ45" si="204">BQ23/BQ20</f>
        <v>0.24410719466202496</v>
      </c>
      <c r="BR45" s="14">
        <f>BR23/BR20</f>
        <v>0.26045395915900066</v>
      </c>
      <c r="BS45" s="14">
        <f t="shared" ref="BS45:CA45" si="205">BS23/BS20</f>
        <v>0.27404213758042584</v>
      </c>
      <c r="BT45" s="14">
        <f t="shared" si="205"/>
        <v>0.31216367859286515</v>
      </c>
      <c r="BU45" s="14">
        <f t="shared" si="205"/>
        <v>0.28660196031406404</v>
      </c>
      <c r="BV45" s="14">
        <f t="shared" si="205"/>
        <v>0.29202550579581815</v>
      </c>
      <c r="BW45" s="14">
        <f t="shared" si="205"/>
        <v>0.29750094367683211</v>
      </c>
      <c r="BX45" s="14">
        <f t="shared" si="205"/>
        <v>0.3028656198769204</v>
      </c>
      <c r="BY45" s="14">
        <f t="shared" si="205"/>
        <v>0.30280742244620346</v>
      </c>
      <c r="BZ45" s="14">
        <f t="shared" si="205"/>
        <v>0.302776543093009</v>
      </c>
      <c r="CA45" s="14">
        <f t="shared" si="205"/>
        <v>0.30274491358117539</v>
      </c>
      <c r="CC45" t="s">
        <v>77</v>
      </c>
      <c r="CD45" s="13">
        <v>0.08</v>
      </c>
    </row>
    <row r="46" spans="2:82" x14ac:dyDescent="0.25">
      <c r="CC46" t="s">
        <v>76</v>
      </c>
      <c r="CD46" s="13">
        <v>0.01</v>
      </c>
    </row>
    <row r="47" spans="2:82" x14ac:dyDescent="0.25">
      <c r="B47" s="2" t="s">
        <v>75</v>
      </c>
      <c r="O47" s="4">
        <f t="shared" ref="O47:P47" si="206">+O48-O61</f>
        <v>25855</v>
      </c>
      <c r="P47" s="4">
        <f t="shared" si="206"/>
        <v>38263</v>
      </c>
      <c r="Q47" s="4">
        <f t="shared" ref="Q47" si="207">+Q48-Q61</f>
        <v>35473</v>
      </c>
      <c r="R47" s="4">
        <f t="shared" ref="R47:AB47" si="208">+R48-R61</f>
        <v>52580</v>
      </c>
      <c r="S47" s="4">
        <f t="shared" si="208"/>
        <v>41402</v>
      </c>
      <c r="T47" s="4">
        <f t="shared" si="208"/>
        <v>39615</v>
      </c>
      <c r="U47" s="4">
        <f t="shared" si="208"/>
        <v>28933</v>
      </c>
      <c r="V47" s="4">
        <f t="shared" si="208"/>
        <v>47305</v>
      </c>
      <c r="W47" s="4">
        <f t="shared" si="208"/>
        <v>18829</v>
      </c>
      <c r="X47" s="4">
        <f t="shared" si="208"/>
        <v>2657</v>
      </c>
      <c r="Y47" s="4">
        <f t="shared" si="208"/>
        <v>-257</v>
      </c>
      <c r="Z47" s="4">
        <f t="shared" si="208"/>
        <v>2876</v>
      </c>
      <c r="AA47" s="4">
        <f t="shared" si="208"/>
        <v>-2679</v>
      </c>
      <c r="AB47" s="4">
        <f t="shared" si="208"/>
        <v>878</v>
      </c>
      <c r="AC47" s="4">
        <f t="shared" ref="AC47:AD47" si="209">+AC48-AC61</f>
        <v>3071</v>
      </c>
      <c r="AD47" s="4">
        <f t="shared" si="209"/>
        <v>28466</v>
      </c>
      <c r="AE47" s="4">
        <f t="shared" ref="AE47:AF47" si="210">+AE48-AE61</f>
        <v>27440</v>
      </c>
      <c r="AF47" s="4">
        <f t="shared" si="210"/>
        <v>34203</v>
      </c>
      <c r="AG47" s="4">
        <f>+AG48-AG61</f>
        <v>33161</v>
      </c>
      <c r="AH47" s="4">
        <f>+AH48-AH61</f>
        <v>48579</v>
      </c>
      <c r="AI47" s="4">
        <f>+AI48-AI61</f>
        <v>41191</v>
      </c>
      <c r="AJ47" s="4">
        <f>+AJ48-AJ61</f>
        <v>42462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BS47" s="2">
        <f>+BS48-BS61</f>
        <v>2876</v>
      </c>
      <c r="BT47" s="2">
        <f>+BT48-BT61</f>
        <v>28466</v>
      </c>
      <c r="BU47" s="2">
        <f>+BU48-BU61</f>
        <v>48579</v>
      </c>
      <c r="BV47" s="2">
        <f t="shared" ref="BV47:CA47" si="211">+BU47+BV32</f>
        <v>90886.728130000018</v>
      </c>
      <c r="BW47" s="2">
        <f t="shared" si="211"/>
        <v>147575.41995300498</v>
      </c>
      <c r="BX47" s="2">
        <f t="shared" si="211"/>
        <v>220948.67022527254</v>
      </c>
      <c r="BY47" s="2">
        <f t="shared" si="211"/>
        <v>305744.74678757193</v>
      </c>
      <c r="BZ47" s="2">
        <f t="shared" si="211"/>
        <v>400778.14039390185</v>
      </c>
      <c r="CA47" s="2">
        <f t="shared" si="211"/>
        <v>506953.13147166232</v>
      </c>
      <c r="CC47" t="s">
        <v>78</v>
      </c>
      <c r="CD47" s="13">
        <v>0</v>
      </c>
    </row>
    <row r="48" spans="2:82" s="2" customFormat="1" x14ac:dyDescent="0.25">
      <c r="B48" s="2" t="s">
        <v>4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>
        <f>27201+22091</f>
        <v>49292</v>
      </c>
      <c r="P48" s="4">
        <f>37466+33925</f>
        <v>71391</v>
      </c>
      <c r="Q48" s="4">
        <f>29930+38472</f>
        <v>68402</v>
      </c>
      <c r="R48" s="4">
        <f>42122+42274</f>
        <v>84396</v>
      </c>
      <c r="S48" s="4">
        <f>33834+39436</f>
        <v>73270</v>
      </c>
      <c r="T48" s="4">
        <f>40380+49514</f>
        <v>89894</v>
      </c>
      <c r="U48" s="4">
        <f>29944+49044</f>
        <v>78988</v>
      </c>
      <c r="V48" s="4">
        <f>36220+59829</f>
        <v>96049</v>
      </c>
      <c r="W48" s="4">
        <f>36393+29992</f>
        <v>66385</v>
      </c>
      <c r="X48" s="4">
        <f>37478+23232</f>
        <v>60710</v>
      </c>
      <c r="Y48" s="4">
        <f>34947+23715</f>
        <v>58662</v>
      </c>
      <c r="Z48" s="4">
        <f>53888+16138</f>
        <v>70026</v>
      </c>
      <c r="AA48" s="2">
        <f>49343+15062</f>
        <v>64405</v>
      </c>
      <c r="AB48" s="2">
        <f>49529+14441</f>
        <v>63970</v>
      </c>
      <c r="AC48" s="2">
        <f>49605+14564</f>
        <v>64169</v>
      </c>
      <c r="AD48" s="2">
        <f>73387+13393</f>
        <v>86780</v>
      </c>
      <c r="AE48" s="2">
        <f>72852+12222</f>
        <v>85074</v>
      </c>
      <c r="AF48" s="2">
        <f>71178+17914</f>
        <v>89092</v>
      </c>
      <c r="AG48" s="2">
        <f>75091+12960</f>
        <v>88051</v>
      </c>
      <c r="AH48" s="2">
        <f>78779+22423</f>
        <v>101202</v>
      </c>
      <c r="AI48" s="2">
        <f>66207+28358</f>
        <v>94565</v>
      </c>
      <c r="AJ48" s="2">
        <f>57741+35439</f>
        <v>93180</v>
      </c>
      <c r="BS48" s="2">
        <f>+Z48</f>
        <v>70026</v>
      </c>
      <c r="BT48" s="2">
        <f>+AD48</f>
        <v>86780</v>
      </c>
      <c r="BU48" s="2">
        <f>+AH48</f>
        <v>101202</v>
      </c>
      <c r="CC48" s="2" t="s">
        <v>79</v>
      </c>
      <c r="CD48" s="2">
        <f>NPV(CD45,BV32:EM32)+Main!K5-Main!K6</f>
        <v>1211669.1413828339</v>
      </c>
    </row>
    <row r="49" spans="2:82" s="2" customFormat="1" x14ac:dyDescent="0.25">
      <c r="B49" s="2" t="s">
        <v>63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>
        <v>18857</v>
      </c>
      <c r="P49" s="4">
        <v>19599</v>
      </c>
      <c r="Q49" s="4">
        <v>23735</v>
      </c>
      <c r="R49" s="4">
        <v>23795</v>
      </c>
      <c r="S49" s="4">
        <v>23849</v>
      </c>
      <c r="T49" s="4">
        <v>24119</v>
      </c>
      <c r="U49" s="4">
        <v>30933</v>
      </c>
      <c r="V49" s="4">
        <v>32640</v>
      </c>
      <c r="W49" s="4">
        <v>34987</v>
      </c>
      <c r="X49" s="4">
        <v>38153</v>
      </c>
      <c r="Y49" s="4">
        <v>36647</v>
      </c>
      <c r="Z49" s="4">
        <v>34405</v>
      </c>
      <c r="AA49" s="2">
        <v>34170</v>
      </c>
      <c r="AB49" s="2">
        <v>36587</v>
      </c>
      <c r="AC49" s="2">
        <v>35406</v>
      </c>
      <c r="AD49" s="2">
        <v>33318</v>
      </c>
      <c r="AE49" s="2">
        <v>31147</v>
      </c>
      <c r="AF49" s="2">
        <v>34109</v>
      </c>
      <c r="AG49" s="2">
        <v>36103</v>
      </c>
      <c r="AH49" s="2">
        <v>34214</v>
      </c>
      <c r="AI49" s="2">
        <v>35864</v>
      </c>
      <c r="AJ49" s="2">
        <v>57415</v>
      </c>
      <c r="BS49" s="2">
        <f t="shared" ref="BS49:BS54" si="212">+Z49</f>
        <v>34405</v>
      </c>
      <c r="BT49" s="2">
        <f t="shared" ref="BT49:BT54" si="213">+AD49</f>
        <v>33318</v>
      </c>
      <c r="BU49" s="2">
        <f t="shared" ref="BU49:BU54" si="214">+AH49</f>
        <v>34214</v>
      </c>
      <c r="CD49" s="1">
        <f>+CD48/Main!K3</f>
        <v>112.12929311334759</v>
      </c>
    </row>
    <row r="50" spans="2:82" s="2" customFormat="1" x14ac:dyDescent="0.25">
      <c r="B50" s="2" t="s">
        <v>64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>
        <v>17836</v>
      </c>
      <c r="P50" s="4">
        <v>19918</v>
      </c>
      <c r="Q50" s="4">
        <v>20832</v>
      </c>
      <c r="R50" s="4">
        <v>24542</v>
      </c>
      <c r="S50" s="4">
        <v>24289</v>
      </c>
      <c r="T50" s="4">
        <v>26835</v>
      </c>
      <c r="U50" s="4">
        <v>28610</v>
      </c>
      <c r="V50" s="4">
        <v>32891</v>
      </c>
      <c r="W50" s="4">
        <v>32504</v>
      </c>
      <c r="X50" s="4">
        <v>34804</v>
      </c>
      <c r="Y50" s="4">
        <v>36154</v>
      </c>
      <c r="Z50" s="4">
        <v>42360</v>
      </c>
      <c r="AA50" s="2">
        <v>37646</v>
      </c>
      <c r="AB50" s="2">
        <v>39925</v>
      </c>
      <c r="AC50" s="2">
        <v>43420</v>
      </c>
      <c r="AD50" s="2">
        <v>52253</v>
      </c>
      <c r="AE50" s="2">
        <v>47768</v>
      </c>
      <c r="AF50" s="2">
        <v>50106</v>
      </c>
      <c r="AG50" s="2">
        <v>51638</v>
      </c>
      <c r="AH50" s="2">
        <v>55451</v>
      </c>
      <c r="AI50" s="2">
        <v>54216</v>
      </c>
      <c r="AJ50" s="2">
        <v>40825</v>
      </c>
      <c r="BS50" s="2">
        <f t="shared" si="212"/>
        <v>42360</v>
      </c>
      <c r="BT50" s="2">
        <f t="shared" si="213"/>
        <v>52253</v>
      </c>
      <c r="BU50" s="2">
        <f t="shared" si="214"/>
        <v>55451</v>
      </c>
    </row>
    <row r="51" spans="2:82" s="2" customFormat="1" x14ac:dyDescent="0.25">
      <c r="B51" s="2" t="s">
        <v>65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>
        <v>77779</v>
      </c>
      <c r="P51" s="4">
        <v>86517</v>
      </c>
      <c r="Q51" s="4">
        <v>99981</v>
      </c>
      <c r="R51" s="4">
        <v>113114</v>
      </c>
      <c r="S51" s="4">
        <v>121461</v>
      </c>
      <c r="T51" s="4">
        <v>133502</v>
      </c>
      <c r="U51" s="4">
        <v>147152</v>
      </c>
      <c r="V51" s="4">
        <v>160281</v>
      </c>
      <c r="W51" s="4">
        <v>168468</v>
      </c>
      <c r="X51" s="4">
        <v>173706</v>
      </c>
      <c r="Y51" s="4">
        <v>177195</v>
      </c>
      <c r="Z51" s="4">
        <v>186715</v>
      </c>
      <c r="AA51" s="2">
        <v>190754</v>
      </c>
      <c r="AB51" s="2">
        <v>193784</v>
      </c>
      <c r="AC51" s="2">
        <v>196468</v>
      </c>
      <c r="AD51" s="2">
        <v>204177</v>
      </c>
      <c r="AE51" s="2">
        <v>209950</v>
      </c>
      <c r="AF51" s="2">
        <v>220717</v>
      </c>
      <c r="AG51" s="2">
        <v>237917</v>
      </c>
      <c r="AH51" s="2">
        <v>252665</v>
      </c>
      <c r="AI51" s="2">
        <v>272781</v>
      </c>
      <c r="AJ51" s="2">
        <v>297616</v>
      </c>
      <c r="BS51" s="2">
        <f t="shared" si="212"/>
        <v>186715</v>
      </c>
      <c r="BT51" s="2">
        <f t="shared" si="213"/>
        <v>204177</v>
      </c>
      <c r="BU51" s="2">
        <f t="shared" si="214"/>
        <v>252665</v>
      </c>
    </row>
    <row r="52" spans="2:82" s="2" customFormat="1" x14ac:dyDescent="0.25">
      <c r="B52" s="2" t="s">
        <v>66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>
        <v>26279</v>
      </c>
      <c r="P52" s="4">
        <v>28537</v>
      </c>
      <c r="Q52" s="4">
        <v>34119</v>
      </c>
      <c r="R52" s="4">
        <v>37553</v>
      </c>
      <c r="S52" s="4">
        <v>39328</v>
      </c>
      <c r="T52" s="4">
        <v>43346</v>
      </c>
      <c r="U52" s="4">
        <v>52151</v>
      </c>
      <c r="V52" s="4">
        <v>56082</v>
      </c>
      <c r="W52" s="4">
        <v>56161</v>
      </c>
      <c r="X52" s="4">
        <v>58430</v>
      </c>
      <c r="Y52" s="4">
        <v>62033</v>
      </c>
      <c r="Z52" s="4">
        <v>66123</v>
      </c>
      <c r="AA52" s="2">
        <v>68262</v>
      </c>
      <c r="AB52" s="2">
        <v>70332</v>
      </c>
      <c r="AC52" s="2">
        <v>70758</v>
      </c>
      <c r="AD52" s="2">
        <v>72513</v>
      </c>
      <c r="AE52" s="2">
        <v>73313</v>
      </c>
      <c r="AF52" s="2">
        <v>74575</v>
      </c>
      <c r="AG52" s="2">
        <v>76527</v>
      </c>
      <c r="AH52" s="2">
        <v>76141</v>
      </c>
      <c r="AI52" s="2">
        <v>78495</v>
      </c>
      <c r="AJ52" s="2">
        <v>82125</v>
      </c>
      <c r="BS52" s="2">
        <f t="shared" si="212"/>
        <v>66123</v>
      </c>
      <c r="BT52" s="2">
        <f t="shared" si="213"/>
        <v>72513</v>
      </c>
      <c r="BU52" s="2">
        <f t="shared" si="214"/>
        <v>76141</v>
      </c>
    </row>
    <row r="53" spans="2:82" s="2" customFormat="1" x14ac:dyDescent="0.25">
      <c r="B53" s="2" t="s">
        <v>67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>
        <v>14739</v>
      </c>
      <c r="P53" s="4">
        <v>14751</v>
      </c>
      <c r="Q53" s="4">
        <v>14960</v>
      </c>
      <c r="R53" s="4">
        <v>15017</v>
      </c>
      <c r="S53" s="4">
        <v>15220</v>
      </c>
      <c r="T53" s="4">
        <v>15350</v>
      </c>
      <c r="U53" s="4">
        <v>15345</v>
      </c>
      <c r="V53" s="4">
        <v>15371</v>
      </c>
      <c r="W53" s="4">
        <v>20229</v>
      </c>
      <c r="X53" s="4">
        <v>20195</v>
      </c>
      <c r="Y53" s="4">
        <v>20168</v>
      </c>
      <c r="Z53" s="4">
        <v>20288</v>
      </c>
      <c r="AA53" s="2">
        <f>22749</f>
        <v>22749</v>
      </c>
      <c r="AB53" s="2">
        <v>22785</v>
      </c>
      <c r="AC53" s="2">
        <v>22749</v>
      </c>
      <c r="AD53" s="2">
        <v>22789</v>
      </c>
      <c r="AE53" s="2">
        <v>22770</v>
      </c>
      <c r="AF53" s="2">
        <v>22879</v>
      </c>
      <c r="AG53" s="2">
        <v>23081</v>
      </c>
      <c r="AH53" s="2">
        <v>23074</v>
      </c>
      <c r="AI53" s="2">
        <v>23089</v>
      </c>
      <c r="AJ53" s="2">
        <v>23155</v>
      </c>
      <c r="BS53" s="2">
        <f t="shared" si="212"/>
        <v>20288</v>
      </c>
      <c r="BT53" s="2">
        <f t="shared" si="213"/>
        <v>22789</v>
      </c>
      <c r="BU53" s="2">
        <f t="shared" si="214"/>
        <v>23074</v>
      </c>
    </row>
    <row r="54" spans="2:82" s="2" customFormat="1" x14ac:dyDescent="0.25">
      <c r="B54" s="2" t="s">
        <v>68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>
        <v>16456</v>
      </c>
      <c r="P54" s="4">
        <v>17601</v>
      </c>
      <c r="Q54" s="4">
        <v>20150</v>
      </c>
      <c r="R54" s="4">
        <v>22778</v>
      </c>
      <c r="S54" s="4">
        <v>25660</v>
      </c>
      <c r="T54" s="4">
        <v>27273</v>
      </c>
      <c r="U54" s="4">
        <v>29227</v>
      </c>
      <c r="V54" s="4">
        <v>27235</v>
      </c>
      <c r="W54" s="4">
        <v>32033</v>
      </c>
      <c r="X54" s="4">
        <v>33730</v>
      </c>
      <c r="Y54" s="4">
        <v>37503</v>
      </c>
      <c r="Z54" s="4">
        <v>42758</v>
      </c>
      <c r="AA54" s="2">
        <v>46392</v>
      </c>
      <c r="AB54" s="2">
        <v>50224</v>
      </c>
      <c r="AC54" s="2">
        <v>53913</v>
      </c>
      <c r="AD54" s="2">
        <v>56024</v>
      </c>
      <c r="AE54" s="2">
        <v>60947</v>
      </c>
      <c r="AF54" s="2">
        <v>63340</v>
      </c>
      <c r="AG54" s="2">
        <v>71309</v>
      </c>
      <c r="AH54" s="2">
        <v>82147</v>
      </c>
      <c r="AI54" s="2">
        <v>84246</v>
      </c>
      <c r="AJ54" s="2">
        <v>87854</v>
      </c>
      <c r="BS54" s="2">
        <f t="shared" si="212"/>
        <v>42758</v>
      </c>
      <c r="BT54" s="2">
        <f t="shared" si="213"/>
        <v>56024</v>
      </c>
      <c r="BU54" s="2">
        <f t="shared" si="214"/>
        <v>82147</v>
      </c>
    </row>
    <row r="55" spans="2:82" s="2" customFormat="1" x14ac:dyDescent="0.25">
      <c r="B55" s="2" t="s">
        <v>62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>
        <f t="shared" ref="O55:P55" si="215">SUM(O48:O54)</f>
        <v>221238</v>
      </c>
      <c r="P55" s="4">
        <f t="shared" si="215"/>
        <v>258314</v>
      </c>
      <c r="Q55" s="4">
        <f t="shared" ref="Q55" si="216">SUM(Q48:Q54)</f>
        <v>282179</v>
      </c>
      <c r="R55" s="4">
        <f t="shared" ref="R55:AB55" si="217">SUM(R48:R54)</f>
        <v>321195</v>
      </c>
      <c r="S55" s="4">
        <f t="shared" si="217"/>
        <v>323077</v>
      </c>
      <c r="T55" s="4">
        <f t="shared" si="217"/>
        <v>360319</v>
      </c>
      <c r="U55" s="4">
        <f t="shared" si="217"/>
        <v>382406</v>
      </c>
      <c r="V55" s="4">
        <f t="shared" si="217"/>
        <v>420549</v>
      </c>
      <c r="W55" s="4">
        <f t="shared" si="217"/>
        <v>410767</v>
      </c>
      <c r="X55" s="4">
        <f t="shared" si="217"/>
        <v>419728</v>
      </c>
      <c r="Y55" s="4">
        <f t="shared" si="217"/>
        <v>428362</v>
      </c>
      <c r="Z55" s="4">
        <f t="shared" si="217"/>
        <v>462675</v>
      </c>
      <c r="AA55" s="4">
        <f t="shared" si="217"/>
        <v>464378</v>
      </c>
      <c r="AB55" s="4">
        <f t="shared" si="217"/>
        <v>477607</v>
      </c>
      <c r="AC55" s="4">
        <f t="shared" ref="AC55:AD55" si="218">SUM(AC48:AC54)</f>
        <v>486883</v>
      </c>
      <c r="AD55" s="4">
        <f t="shared" si="218"/>
        <v>527854</v>
      </c>
      <c r="AE55" s="4">
        <f t="shared" ref="AE55:AJ55" si="219">SUM(AE48:AE54)</f>
        <v>530969</v>
      </c>
      <c r="AF55" s="4">
        <f t="shared" si="219"/>
        <v>554818</v>
      </c>
      <c r="AG55" s="4">
        <f t="shared" si="219"/>
        <v>584626</v>
      </c>
      <c r="AH55" s="4">
        <f t="shared" si="219"/>
        <v>624894</v>
      </c>
      <c r="AI55" s="4">
        <f t="shared" si="219"/>
        <v>643256</v>
      </c>
      <c r="AJ55" s="4">
        <f t="shared" si="219"/>
        <v>682170</v>
      </c>
      <c r="BS55" s="2">
        <f>SUM(BS48:BS54)</f>
        <v>462675</v>
      </c>
      <c r="BT55" s="2">
        <f>SUM(BT48:BT54)</f>
        <v>527854</v>
      </c>
      <c r="BU55" s="2">
        <f>SUM(BU48:BU54)</f>
        <v>624894</v>
      </c>
    </row>
    <row r="57" spans="2:82" s="2" customFormat="1" x14ac:dyDescent="0.25">
      <c r="B57" s="2" t="s">
        <v>71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>
        <v>40056</v>
      </c>
      <c r="P57" s="4">
        <v>51036</v>
      </c>
      <c r="Q57" s="4">
        <v>58334</v>
      </c>
      <c r="R57" s="4">
        <v>72539</v>
      </c>
      <c r="S57" s="4">
        <v>63926</v>
      </c>
      <c r="T57" s="4">
        <v>66090</v>
      </c>
      <c r="U57" s="4">
        <v>71474</v>
      </c>
      <c r="V57" s="4">
        <v>78664</v>
      </c>
      <c r="W57" s="4">
        <v>68547</v>
      </c>
      <c r="X57" s="4">
        <v>71219</v>
      </c>
      <c r="Y57" s="4">
        <v>67760</v>
      </c>
      <c r="Z57" s="4">
        <v>79600</v>
      </c>
      <c r="AA57" s="2">
        <v>66907</v>
      </c>
      <c r="AB57" s="2">
        <v>69481</v>
      </c>
      <c r="AC57" s="2">
        <v>72004</v>
      </c>
      <c r="AD57" s="2">
        <v>84981</v>
      </c>
      <c r="AE57" s="2">
        <v>73068</v>
      </c>
      <c r="AF57" s="2">
        <v>81817</v>
      </c>
      <c r="AG57" s="2">
        <v>84570</v>
      </c>
      <c r="AH57" s="2">
        <v>94363</v>
      </c>
      <c r="AI57" s="2">
        <v>89241</v>
      </c>
      <c r="AJ57" s="2">
        <v>98285</v>
      </c>
      <c r="BS57" s="2">
        <f t="shared" ref="BS57:BS63" si="220">+Z57</f>
        <v>79600</v>
      </c>
      <c r="BT57" s="2">
        <f t="shared" ref="BT57:BT63" si="221">+AD57</f>
        <v>84981</v>
      </c>
      <c r="BU57" s="2">
        <f t="shared" ref="BU57:BU63" si="222">+AH57</f>
        <v>94363</v>
      </c>
    </row>
    <row r="58" spans="2:82" s="2" customFormat="1" x14ac:dyDescent="0.25">
      <c r="B58" s="2" t="s">
        <v>72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>
        <v>30791</v>
      </c>
      <c r="P58" s="4">
        <v>33863</v>
      </c>
      <c r="Q58" s="4">
        <v>34327</v>
      </c>
      <c r="R58" s="4">
        <v>44138</v>
      </c>
      <c r="S58" s="4">
        <v>40939</v>
      </c>
      <c r="T58" s="4">
        <v>41007</v>
      </c>
      <c r="U58" s="4">
        <v>41546</v>
      </c>
      <c r="V58" s="4">
        <v>51775</v>
      </c>
      <c r="W58" s="4">
        <v>58141</v>
      </c>
      <c r="X58" s="4">
        <v>56254</v>
      </c>
      <c r="Y58" s="4">
        <v>59974</v>
      </c>
      <c r="Z58" s="4">
        <v>62566</v>
      </c>
      <c r="AA58" s="2">
        <v>66382</v>
      </c>
      <c r="AB58" s="2">
        <v>64235</v>
      </c>
      <c r="AC58" s="2">
        <v>58812</v>
      </c>
      <c r="AD58" s="2">
        <v>64709</v>
      </c>
      <c r="AE58" s="2">
        <v>63970</v>
      </c>
      <c r="AF58" s="2">
        <v>60351</v>
      </c>
      <c r="AG58" s="2">
        <v>60602</v>
      </c>
      <c r="AH58" s="2">
        <v>66965</v>
      </c>
      <c r="AI58" s="2">
        <v>66331</v>
      </c>
      <c r="AJ58" s="2">
        <v>66974</v>
      </c>
      <c r="BS58" s="2">
        <f t="shared" si="220"/>
        <v>62566</v>
      </c>
      <c r="BT58" s="2">
        <f t="shared" si="221"/>
        <v>64709</v>
      </c>
      <c r="BU58" s="2">
        <f t="shared" si="222"/>
        <v>66965</v>
      </c>
    </row>
    <row r="59" spans="2:82" s="2" customFormat="1" x14ac:dyDescent="0.25">
      <c r="B59" s="2" t="s">
        <v>73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>
        <v>8864</v>
      </c>
      <c r="P59" s="4">
        <v>8997</v>
      </c>
      <c r="Q59" s="4">
        <v>9251</v>
      </c>
      <c r="R59" s="4">
        <v>9708</v>
      </c>
      <c r="S59" s="4">
        <v>10539</v>
      </c>
      <c r="T59" s="4">
        <v>10695</v>
      </c>
      <c r="U59" s="4">
        <v>10974</v>
      </c>
      <c r="V59" s="4">
        <v>11827</v>
      </c>
      <c r="W59" s="4">
        <v>12820</v>
      </c>
      <c r="X59" s="4">
        <v>12818</v>
      </c>
      <c r="Y59" s="4">
        <v>12629</v>
      </c>
      <c r="Z59" s="4">
        <v>13227</v>
      </c>
      <c r="AA59" s="2">
        <v>14281</v>
      </c>
      <c r="AB59" s="2">
        <v>14522</v>
      </c>
      <c r="AC59" s="2">
        <v>14398</v>
      </c>
      <c r="AD59" s="2">
        <v>15227</v>
      </c>
      <c r="AE59" s="2">
        <v>15927</v>
      </c>
      <c r="AF59" s="2">
        <v>16004</v>
      </c>
      <c r="AG59" s="2">
        <v>16305</v>
      </c>
      <c r="AH59" s="2">
        <v>18103</v>
      </c>
      <c r="AI59" s="2">
        <v>20599</v>
      </c>
      <c r="AJ59" s="2">
        <v>21662</v>
      </c>
      <c r="BS59" s="2">
        <f t="shared" si="220"/>
        <v>13227</v>
      </c>
      <c r="BT59" s="2">
        <f t="shared" si="221"/>
        <v>15227</v>
      </c>
      <c r="BU59" s="2">
        <f t="shared" si="222"/>
        <v>18103</v>
      </c>
    </row>
    <row r="60" spans="2:82" s="2" customFormat="1" x14ac:dyDescent="0.25">
      <c r="B60" s="2" t="s">
        <v>66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>
        <v>40300</v>
      </c>
      <c r="P60" s="4">
        <v>42798</v>
      </c>
      <c r="Q60" s="4">
        <v>48589</v>
      </c>
      <c r="R60" s="4">
        <v>52573</v>
      </c>
      <c r="S60" s="4">
        <v>53067</v>
      </c>
      <c r="T60" s="4">
        <v>56297</v>
      </c>
      <c r="U60" s="4">
        <v>63848</v>
      </c>
      <c r="V60" s="4">
        <v>67651</v>
      </c>
      <c r="W60" s="4">
        <v>65731</v>
      </c>
      <c r="X60" s="4">
        <v>66524</v>
      </c>
      <c r="Y60" s="4">
        <v>69332</v>
      </c>
      <c r="Z60" s="4">
        <v>72968</v>
      </c>
      <c r="AA60" s="2">
        <v>74267</v>
      </c>
      <c r="AB60" s="2">
        <v>75822</v>
      </c>
      <c r="AC60" s="2">
        <v>75891</v>
      </c>
      <c r="AD60" s="2">
        <v>77297</v>
      </c>
      <c r="AE60" s="2">
        <v>77052</v>
      </c>
      <c r="AF60" s="2">
        <v>78084</v>
      </c>
      <c r="AG60" s="2">
        <v>79802</v>
      </c>
      <c r="AH60" s="2">
        <v>78277</v>
      </c>
      <c r="AI60" s="2">
        <v>79871</v>
      </c>
      <c r="AJ60" s="2">
        <v>83221</v>
      </c>
      <c r="BS60" s="2">
        <f t="shared" si="220"/>
        <v>72968</v>
      </c>
      <c r="BT60" s="2">
        <f t="shared" si="221"/>
        <v>77297</v>
      </c>
      <c r="BU60" s="2">
        <f t="shared" si="222"/>
        <v>78277</v>
      </c>
    </row>
    <row r="61" spans="2:82" s="2" customFormat="1" x14ac:dyDescent="0.25">
      <c r="B61" s="2" t="s">
        <v>5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>
        <v>23437</v>
      </c>
      <c r="P61" s="4">
        <v>33128</v>
      </c>
      <c r="Q61" s="4">
        <v>32929</v>
      </c>
      <c r="R61" s="4">
        <v>31816</v>
      </c>
      <c r="S61" s="4">
        <v>31868</v>
      </c>
      <c r="T61" s="4">
        <v>50279</v>
      </c>
      <c r="U61" s="4">
        <v>50055</v>
      </c>
      <c r="V61" s="4">
        <v>48744</v>
      </c>
      <c r="W61" s="4">
        <v>47556</v>
      </c>
      <c r="X61" s="4">
        <v>58053</v>
      </c>
      <c r="Y61" s="4">
        <v>58919</v>
      </c>
      <c r="Z61" s="4">
        <v>67150</v>
      </c>
      <c r="AA61" s="2">
        <v>67084</v>
      </c>
      <c r="AB61" s="2">
        <v>63092</v>
      </c>
      <c r="AC61" s="2">
        <v>61098</v>
      </c>
      <c r="AD61" s="2">
        <v>58314</v>
      </c>
      <c r="AE61" s="2">
        <v>57634</v>
      </c>
      <c r="AF61" s="2">
        <v>54889</v>
      </c>
      <c r="AG61" s="2">
        <v>54890</v>
      </c>
      <c r="AH61" s="2">
        <v>52623</v>
      </c>
      <c r="AI61" s="2">
        <v>53374</v>
      </c>
      <c r="AJ61" s="2">
        <v>50718</v>
      </c>
      <c r="BS61" s="2">
        <f t="shared" si="220"/>
        <v>67150</v>
      </c>
      <c r="BT61" s="2">
        <f t="shared" si="221"/>
        <v>58314</v>
      </c>
      <c r="BU61" s="2">
        <f t="shared" si="222"/>
        <v>52623</v>
      </c>
    </row>
    <row r="62" spans="2:82" s="2" customFormat="1" x14ac:dyDescent="0.25">
      <c r="B62" s="2" t="s">
        <v>74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>
        <v>12518</v>
      </c>
      <c r="P62" s="4">
        <v>14764</v>
      </c>
      <c r="Q62" s="4">
        <v>15974</v>
      </c>
      <c r="R62" s="4">
        <v>17017</v>
      </c>
      <c r="S62" s="4">
        <v>19418</v>
      </c>
      <c r="T62" s="4">
        <v>21148</v>
      </c>
      <c r="U62" s="4">
        <v>23945</v>
      </c>
      <c r="V62" s="4">
        <v>23643</v>
      </c>
      <c r="W62" s="4">
        <v>23971</v>
      </c>
      <c r="X62" s="4">
        <v>23458</v>
      </c>
      <c r="Y62" s="4">
        <v>22259</v>
      </c>
      <c r="Z62" s="4">
        <v>21121</v>
      </c>
      <c r="AA62" s="2">
        <v>20931</v>
      </c>
      <c r="AB62" s="2">
        <v>21853</v>
      </c>
      <c r="AC62" s="2">
        <v>21707</v>
      </c>
      <c r="AD62" s="2">
        <v>25451</v>
      </c>
      <c r="AE62" s="2">
        <v>26657</v>
      </c>
      <c r="AF62" s="2">
        <v>27226</v>
      </c>
      <c r="AG62" s="2">
        <v>29306</v>
      </c>
      <c r="AH62" s="2">
        <v>28593</v>
      </c>
      <c r="AI62" s="2">
        <v>27973</v>
      </c>
      <c r="AJ62" s="2">
        <v>27535</v>
      </c>
      <c r="BS62" s="2">
        <f t="shared" si="220"/>
        <v>21121</v>
      </c>
      <c r="BT62" s="2">
        <f t="shared" si="221"/>
        <v>25451</v>
      </c>
      <c r="BU62" s="2">
        <f t="shared" si="222"/>
        <v>28593</v>
      </c>
    </row>
    <row r="63" spans="2:82" s="2" customFormat="1" x14ac:dyDescent="0.25">
      <c r="B63" s="2" t="s">
        <v>70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>
        <v>65272</v>
      </c>
      <c r="P63" s="4">
        <v>73728</v>
      </c>
      <c r="Q63" s="4">
        <v>82775</v>
      </c>
      <c r="R63" s="4">
        <v>93404</v>
      </c>
      <c r="S63" s="4">
        <v>103320</v>
      </c>
      <c r="T63" s="4">
        <v>114803</v>
      </c>
      <c r="U63" s="4">
        <v>120564</v>
      </c>
      <c r="V63" s="4">
        <v>138245</v>
      </c>
      <c r="W63" s="4">
        <v>134001</v>
      </c>
      <c r="X63" s="4">
        <v>131402</v>
      </c>
      <c r="Y63" s="4">
        <v>137489</v>
      </c>
      <c r="Z63" s="4">
        <v>146043</v>
      </c>
      <c r="AA63" s="2">
        <v>154526</v>
      </c>
      <c r="AB63" s="2">
        <v>168602</v>
      </c>
      <c r="AC63" s="2">
        <v>182973</v>
      </c>
      <c r="AD63" s="2">
        <v>201875</v>
      </c>
      <c r="AE63" s="2">
        <v>216661</v>
      </c>
      <c r="AF63" s="2">
        <v>236447</v>
      </c>
      <c r="AG63" s="2">
        <v>259151</v>
      </c>
      <c r="AH63" s="2">
        <v>285970</v>
      </c>
      <c r="AI63" s="2">
        <v>305867</v>
      </c>
      <c r="AJ63" s="2">
        <v>333775</v>
      </c>
      <c r="BS63" s="2">
        <f t="shared" si="220"/>
        <v>146043</v>
      </c>
      <c r="BT63" s="2">
        <f t="shared" si="221"/>
        <v>201875</v>
      </c>
      <c r="BU63" s="2">
        <f t="shared" si="222"/>
        <v>285970</v>
      </c>
    </row>
    <row r="64" spans="2:82" s="2" customFormat="1" x14ac:dyDescent="0.25">
      <c r="B64" s="2" t="s">
        <v>69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>
        <f t="shared" ref="O64:P64" si="223">SUM(O57:O63)</f>
        <v>221238</v>
      </c>
      <c r="P64" s="4">
        <f t="shared" si="223"/>
        <v>258314</v>
      </c>
      <c r="Q64" s="4">
        <f t="shared" ref="Q64" si="224">SUM(Q57:Q63)</f>
        <v>282179</v>
      </c>
      <c r="R64" s="4">
        <f t="shared" ref="R64:AB64" si="225">SUM(R57:R63)</f>
        <v>321195</v>
      </c>
      <c r="S64" s="4">
        <f t="shared" si="225"/>
        <v>323077</v>
      </c>
      <c r="T64" s="4">
        <f t="shared" si="225"/>
        <v>360319</v>
      </c>
      <c r="U64" s="4">
        <f t="shared" si="225"/>
        <v>382406</v>
      </c>
      <c r="V64" s="4">
        <f t="shared" si="225"/>
        <v>420549</v>
      </c>
      <c r="W64" s="4">
        <f t="shared" si="225"/>
        <v>410767</v>
      </c>
      <c r="X64" s="4">
        <f t="shared" si="225"/>
        <v>419728</v>
      </c>
      <c r="Y64" s="4">
        <f t="shared" si="225"/>
        <v>428362</v>
      </c>
      <c r="Z64" s="4">
        <f t="shared" si="225"/>
        <v>462675</v>
      </c>
      <c r="AA64" s="4">
        <f t="shared" si="225"/>
        <v>464378</v>
      </c>
      <c r="AB64" s="4">
        <f t="shared" si="225"/>
        <v>477607</v>
      </c>
      <c r="AC64" s="4">
        <f t="shared" ref="AC64:AD64" si="226">SUM(AC57:AC63)</f>
        <v>486883</v>
      </c>
      <c r="AD64" s="4">
        <f t="shared" si="226"/>
        <v>527854</v>
      </c>
      <c r="AE64" s="4">
        <f t="shared" ref="AE64" si="227">SUM(AE57:AE63)</f>
        <v>530969</v>
      </c>
      <c r="AF64" s="4">
        <f>SUM(AF57:AF63)</f>
        <v>554818</v>
      </c>
      <c r="AG64" s="4">
        <f>SUM(AG57:AG63)</f>
        <v>584626</v>
      </c>
      <c r="AH64" s="4">
        <f>SUM(AH57:AH63)</f>
        <v>624894</v>
      </c>
      <c r="AI64" s="4">
        <f>SUM(AI57:AI63)</f>
        <v>643256</v>
      </c>
      <c r="AJ64" s="4">
        <f>SUM(AJ57:AJ63)</f>
        <v>682170</v>
      </c>
      <c r="BS64" s="2">
        <f>SUM(BS57:BS63)</f>
        <v>462675</v>
      </c>
      <c r="BT64" s="2">
        <f>SUM(BT57:BT63)</f>
        <v>527854</v>
      </c>
      <c r="BU64" s="2">
        <f>SUM(BU57:BU63)</f>
        <v>624894</v>
      </c>
    </row>
    <row r="66" spans="2:74" s="2" customFormat="1" x14ac:dyDescent="0.25">
      <c r="B66" s="2" t="s">
        <v>84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>
        <f t="shared" ref="O66:Q66" si="228">+O32</f>
        <v>2535</v>
      </c>
      <c r="P66" s="4">
        <f t="shared" si="228"/>
        <v>5243</v>
      </c>
      <c r="Q66" s="4">
        <f t="shared" si="228"/>
        <v>6331</v>
      </c>
      <c r="R66" s="4">
        <f t="shared" ref="R66:V66" si="229">+R32</f>
        <v>7222</v>
      </c>
      <c r="S66" s="4">
        <f t="shared" si="229"/>
        <v>8107</v>
      </c>
      <c r="T66" s="4">
        <f t="shared" si="229"/>
        <v>7778</v>
      </c>
      <c r="U66" s="4">
        <f t="shared" si="229"/>
        <v>3156</v>
      </c>
      <c r="V66" s="4">
        <f t="shared" si="229"/>
        <v>14323</v>
      </c>
      <c r="W66" s="4">
        <f t="shared" ref="W66:AE66" si="230">+W32</f>
        <v>-3844</v>
      </c>
      <c r="X66" s="4">
        <f t="shared" si="230"/>
        <v>2982</v>
      </c>
      <c r="Y66" s="4">
        <f t="shared" si="230"/>
        <v>2872</v>
      </c>
      <c r="Z66" s="4">
        <f t="shared" si="230"/>
        <v>3247</v>
      </c>
      <c r="AA66" s="4">
        <f t="shared" si="230"/>
        <v>3172</v>
      </c>
      <c r="AB66" s="4">
        <f t="shared" si="230"/>
        <v>6750</v>
      </c>
      <c r="AC66" s="4">
        <f t="shared" si="230"/>
        <v>9879</v>
      </c>
      <c r="AD66" s="4">
        <f t="shared" si="230"/>
        <v>10624</v>
      </c>
      <c r="AE66" s="4">
        <f t="shared" si="230"/>
        <v>10431</v>
      </c>
      <c r="AF66" s="4">
        <f>+AF32</f>
        <v>13486</v>
      </c>
      <c r="AG66" s="4">
        <f>+AG32</f>
        <v>12940</v>
      </c>
      <c r="AH66" s="4">
        <f>+AH32</f>
        <v>20024</v>
      </c>
      <c r="AI66" s="4">
        <f>+AI32</f>
        <v>17074.835999999999</v>
      </c>
      <c r="AJ66" s="4">
        <f>+AJ32</f>
        <v>18164</v>
      </c>
      <c r="BS66" s="2">
        <f>+BS32</f>
        <v>5257</v>
      </c>
      <c r="BT66" s="2">
        <f>+BT32</f>
        <v>30425</v>
      </c>
      <c r="BU66" s="2">
        <f>+BU32</f>
        <v>31503.311999999976</v>
      </c>
    </row>
    <row r="67" spans="2:74" s="2" customFormat="1" x14ac:dyDescent="0.25">
      <c r="B67" s="2" t="s">
        <v>85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>
        <v>2535</v>
      </c>
      <c r="P67" s="4">
        <v>5243</v>
      </c>
      <c r="Q67" s="4">
        <v>6331</v>
      </c>
      <c r="R67" s="4">
        <v>7222</v>
      </c>
      <c r="S67" s="4">
        <v>8107</v>
      </c>
      <c r="T67" s="4">
        <v>7778</v>
      </c>
      <c r="U67" s="4">
        <v>3156</v>
      </c>
      <c r="V67" s="4">
        <v>14323</v>
      </c>
      <c r="W67" s="4">
        <v>-3844</v>
      </c>
      <c r="X67" s="4">
        <v>-2028</v>
      </c>
      <c r="Y67" s="4">
        <v>2872</v>
      </c>
      <c r="Z67" s="4">
        <v>278</v>
      </c>
      <c r="AA67" s="4">
        <v>3172</v>
      </c>
      <c r="AB67" s="2">
        <v>6750</v>
      </c>
      <c r="AC67" s="2">
        <v>9879</v>
      </c>
      <c r="AD67" s="2">
        <v>10624</v>
      </c>
      <c r="AE67" s="2">
        <v>10431</v>
      </c>
      <c r="AF67" s="2">
        <v>13485</v>
      </c>
      <c r="AG67" s="2">
        <v>15328</v>
      </c>
      <c r="AH67" s="2">
        <v>20004</v>
      </c>
      <c r="AI67" s="2">
        <v>17127</v>
      </c>
      <c r="AJ67" s="2">
        <v>18164</v>
      </c>
      <c r="BS67" s="2">
        <f>SUM(W67:Z67)</f>
        <v>-2722</v>
      </c>
      <c r="BT67" s="2">
        <f t="shared" ref="BT67:BT73" si="231">SUM(AA67:AD67)</f>
        <v>30425</v>
      </c>
      <c r="BU67" s="2">
        <f>SUM(AE67:AH67)</f>
        <v>59248</v>
      </c>
    </row>
    <row r="68" spans="2:74" s="2" customFormat="1" x14ac:dyDescent="0.25">
      <c r="B68" s="2" t="s">
        <v>88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>
        <v>5362</v>
      </c>
      <c r="P68" s="4">
        <v>5748</v>
      </c>
      <c r="Q68" s="4">
        <v>6523</v>
      </c>
      <c r="R68" s="4">
        <v>7618</v>
      </c>
      <c r="S68" s="4">
        <v>7508</v>
      </c>
      <c r="T68" s="4">
        <v>8038</v>
      </c>
      <c r="U68" s="4">
        <v>8948</v>
      </c>
      <c r="V68" s="4">
        <v>9802</v>
      </c>
      <c r="W68" s="4">
        <v>8978</v>
      </c>
      <c r="X68" s="4">
        <v>9594</v>
      </c>
      <c r="Y68" s="4">
        <v>10204</v>
      </c>
      <c r="Z68" s="4">
        <v>12685</v>
      </c>
      <c r="AA68" s="2">
        <v>11123</v>
      </c>
      <c r="AB68" s="2">
        <v>11589</v>
      </c>
      <c r="AC68" s="2">
        <v>12131</v>
      </c>
      <c r="AD68" s="2">
        <v>13820</v>
      </c>
      <c r="AE68" s="2">
        <v>11684</v>
      </c>
      <c r="AF68" s="2">
        <v>12038</v>
      </c>
      <c r="AG68" s="2">
        <v>13442</v>
      </c>
      <c r="AH68" s="2">
        <v>15631</v>
      </c>
      <c r="AI68" s="2">
        <v>14262</v>
      </c>
      <c r="AJ68" s="2">
        <v>15227</v>
      </c>
      <c r="BS68" s="2">
        <f t="shared" ref="BS68:BS73" si="232">SUM(W68:Z68)</f>
        <v>41461</v>
      </c>
      <c r="BT68" s="2">
        <f t="shared" si="231"/>
        <v>48663</v>
      </c>
      <c r="BU68" s="2">
        <f t="shared" ref="BU68:BU72" si="233">SUM(AE68:AH68)</f>
        <v>52795</v>
      </c>
    </row>
    <row r="69" spans="2:74" s="2" customFormat="1" x14ac:dyDescent="0.25">
      <c r="B69" s="2" t="s">
        <v>89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>
        <v>1757</v>
      </c>
      <c r="P69" s="4">
        <v>2601</v>
      </c>
      <c r="Q69" s="4">
        <v>2288</v>
      </c>
      <c r="R69" s="4">
        <v>2562</v>
      </c>
      <c r="S69" s="4">
        <v>2306</v>
      </c>
      <c r="T69" s="4">
        <v>3591</v>
      </c>
      <c r="U69" s="4">
        <v>3180</v>
      </c>
      <c r="V69" s="4">
        <v>3680</v>
      </c>
      <c r="W69" s="4">
        <v>3250</v>
      </c>
      <c r="X69" s="4">
        <v>5209</v>
      </c>
      <c r="Y69" s="4">
        <v>5556</v>
      </c>
      <c r="Z69" s="4">
        <v>5606</v>
      </c>
      <c r="AA69" s="2">
        <v>4748</v>
      </c>
      <c r="AB69" s="2">
        <v>7127</v>
      </c>
      <c r="AC69" s="2">
        <v>5829</v>
      </c>
      <c r="AD69" s="2">
        <v>6319</v>
      </c>
      <c r="AE69" s="2">
        <v>4961</v>
      </c>
      <c r="AF69" s="2">
        <v>6722</v>
      </c>
      <c r="AG69" s="2">
        <v>5333</v>
      </c>
      <c r="AH69" s="2">
        <v>4995</v>
      </c>
      <c r="AI69" s="2">
        <v>3689</v>
      </c>
      <c r="AJ69" s="2">
        <v>6534</v>
      </c>
      <c r="BS69" s="2">
        <f t="shared" si="232"/>
        <v>19621</v>
      </c>
      <c r="BT69" s="2">
        <f t="shared" si="231"/>
        <v>24023</v>
      </c>
      <c r="BU69" s="2">
        <f t="shared" si="233"/>
        <v>22011</v>
      </c>
    </row>
    <row r="70" spans="2:74" s="2" customFormat="1" x14ac:dyDescent="0.25">
      <c r="B70" s="2" t="s">
        <v>45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>
        <v>67</v>
      </c>
      <c r="P70" s="4">
        <v>282</v>
      </c>
      <c r="Q70" s="4">
        <v>67</v>
      </c>
      <c r="R70" s="4">
        <v>-487</v>
      </c>
      <c r="S70" s="4">
        <v>30</v>
      </c>
      <c r="T70" s="4">
        <v>18</v>
      </c>
      <c r="U70" s="4">
        <v>24</v>
      </c>
      <c r="V70" s="4">
        <v>65</v>
      </c>
      <c r="W70" s="4">
        <v>215</v>
      </c>
      <c r="X70" s="4">
        <v>122</v>
      </c>
      <c r="Y70" s="4">
        <v>123</v>
      </c>
      <c r="Z70" s="4">
        <v>3445</v>
      </c>
      <c r="AA70" s="2">
        <v>534</v>
      </c>
      <c r="AB70" s="2">
        <v>47</v>
      </c>
      <c r="AC70" s="2">
        <v>-990</v>
      </c>
      <c r="AD70" s="2">
        <v>-339</v>
      </c>
      <c r="AE70" s="2">
        <v>2734</v>
      </c>
      <c r="AF70" s="2">
        <v>-95</v>
      </c>
      <c r="AG70" s="2">
        <v>-141</v>
      </c>
      <c r="AH70" s="2">
        <v>-486</v>
      </c>
      <c r="AI70" s="2">
        <v>-2817</v>
      </c>
      <c r="AJ70" s="2">
        <v>-1258</v>
      </c>
      <c r="BS70" s="2">
        <f t="shared" si="232"/>
        <v>3905</v>
      </c>
      <c r="BT70" s="2">
        <f t="shared" si="231"/>
        <v>-748</v>
      </c>
      <c r="BU70" s="2">
        <f t="shared" si="233"/>
        <v>2012</v>
      </c>
    </row>
    <row r="71" spans="2:74" s="2" customFormat="1" x14ac:dyDescent="0.25">
      <c r="B71" s="2" t="s">
        <v>45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>
        <v>565</v>
      </c>
      <c r="P71" s="4">
        <v>-769</v>
      </c>
      <c r="Q71" s="4">
        <v>-1051</v>
      </c>
      <c r="R71" s="4">
        <v>-1327</v>
      </c>
      <c r="S71" s="4">
        <v>-1456</v>
      </c>
      <c r="T71" s="4">
        <v>-1258</v>
      </c>
      <c r="U71" s="4">
        <v>340</v>
      </c>
      <c r="V71" s="4">
        <v>-11932</v>
      </c>
      <c r="W71" s="4">
        <v>8689</v>
      </c>
      <c r="X71" s="4">
        <v>6104</v>
      </c>
      <c r="Y71" s="4">
        <v>-1272</v>
      </c>
      <c r="Z71" s="4">
        <v>0</v>
      </c>
      <c r="AA71" s="2">
        <v>0</v>
      </c>
      <c r="AB71" s="2">
        <v>0</v>
      </c>
      <c r="AC71" s="2">
        <v>0</v>
      </c>
      <c r="AD71" s="2">
        <v>0</v>
      </c>
      <c r="BS71" s="2">
        <f t="shared" si="232"/>
        <v>13521</v>
      </c>
      <c r="BT71" s="2">
        <f t="shared" si="231"/>
        <v>0</v>
      </c>
      <c r="BU71" s="2">
        <f t="shared" si="233"/>
        <v>0</v>
      </c>
    </row>
    <row r="72" spans="2:74" s="2" customFormat="1" x14ac:dyDescent="0.25">
      <c r="B72" s="2" t="s">
        <v>90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>
        <v>322</v>
      </c>
      <c r="P72" s="4">
        <v>465</v>
      </c>
      <c r="Q72" s="4">
        <v>295</v>
      </c>
      <c r="R72" s="4">
        <v>-1636</v>
      </c>
      <c r="S72" s="4">
        <v>1703</v>
      </c>
      <c r="T72" s="4">
        <v>701</v>
      </c>
      <c r="U72" s="4">
        <v>909</v>
      </c>
      <c r="V72" s="4">
        <v>-3623</v>
      </c>
      <c r="W72" s="4">
        <v>-2001</v>
      </c>
      <c r="X72" s="4">
        <v>-1955</v>
      </c>
      <c r="Y72" s="4">
        <v>-825</v>
      </c>
      <c r="Z72" s="4">
        <v>-3367</v>
      </c>
      <c r="AA72" s="2">
        <v>-472</v>
      </c>
      <c r="AB72" s="2">
        <v>-2744</v>
      </c>
      <c r="AC72" s="2">
        <v>-1196</v>
      </c>
      <c r="AD72" s="2">
        <v>-1464</v>
      </c>
      <c r="AE72" s="2">
        <v>-938</v>
      </c>
      <c r="AF72" s="2">
        <v>-785</v>
      </c>
      <c r="AG72" s="2">
        <v>-1317</v>
      </c>
      <c r="AH72" s="2">
        <v>-1608</v>
      </c>
      <c r="AI72" s="2">
        <v>507</v>
      </c>
      <c r="AJ72" s="2">
        <v>11</v>
      </c>
      <c r="BS72" s="2">
        <f t="shared" si="232"/>
        <v>-8148</v>
      </c>
      <c r="BT72" s="2">
        <f t="shared" si="231"/>
        <v>-5876</v>
      </c>
      <c r="BU72" s="2">
        <f t="shared" si="233"/>
        <v>-4648</v>
      </c>
    </row>
    <row r="73" spans="2:74" s="2" customFormat="1" x14ac:dyDescent="0.25">
      <c r="B73" s="2" t="s">
        <v>87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>
        <f>1392+1262-8044-2761+607</f>
        <v>-7544</v>
      </c>
      <c r="P73" s="4">
        <f>-672-2854+8616+1699+247</f>
        <v>7036</v>
      </c>
      <c r="Q73" s="4">
        <f>-3899-2016+3658-310+78</f>
        <v>-2489</v>
      </c>
      <c r="R73" s="4">
        <f>329-4560+13249+7127+333</f>
        <v>16478</v>
      </c>
      <c r="S73" s="4">
        <f>-304-2255-8266-4060+900</f>
        <v>-13985</v>
      </c>
      <c r="T73" s="4">
        <f>-209-4462+47-1685+156</f>
        <v>-6153</v>
      </c>
      <c r="U73" s="4">
        <f>-7059-4890+3832-1465+338</f>
        <v>-9244</v>
      </c>
      <c r="V73" s="4">
        <f>-1915-6556+7989+9333+920</f>
        <v>9771</v>
      </c>
      <c r="W73" s="4">
        <f>-2614-1516-9380-5903+1336</f>
        <v>-18077</v>
      </c>
      <c r="X73" s="4">
        <f>-3890-6799+3699-1412+321</f>
        <v>-8081</v>
      </c>
      <c r="Y73" s="4">
        <f>732-4794-1226-20+54</f>
        <v>-5254</v>
      </c>
      <c r="Z73" s="4">
        <f>3180-8788+9852+5777+505</f>
        <v>10526</v>
      </c>
      <c r="AA73" s="2">
        <f>371+1521-11264-5763+818</f>
        <v>-14317</v>
      </c>
      <c r="AB73" s="2">
        <f>-2373-5167+3029-1938+156</f>
        <v>-6293</v>
      </c>
      <c r="AC73" s="2">
        <f>808-6718+2820-1321-25</f>
        <v>-4436</v>
      </c>
      <c r="AD73" s="2">
        <f>2643-7447-2802+10888+6594+3629</f>
        <v>13505</v>
      </c>
      <c r="AE73" s="2">
        <f>1776+3684-2701-11282-2928+1568</f>
        <v>-9883</v>
      </c>
      <c r="AF73" s="2">
        <f>-3085-2209-3055+6005-4147+407</f>
        <v>-6084</v>
      </c>
      <c r="AG73" s="2">
        <f>-1509-701-4537-477+129+421</f>
        <v>-6674</v>
      </c>
      <c r="AH73" s="2">
        <f>934-4023-4190+8726+4042+1611</f>
        <v>7100</v>
      </c>
      <c r="AI73" s="2">
        <f>-1222+1247-3402-9043-4061+728</f>
        <v>-15753</v>
      </c>
      <c r="AJ73" s="2">
        <f>-4054-1125-2971+7058-4952-119</f>
        <v>-6163</v>
      </c>
      <c r="BS73" s="2">
        <f t="shared" si="232"/>
        <v>-20886</v>
      </c>
      <c r="BT73" s="2">
        <f t="shared" si="231"/>
        <v>-11541</v>
      </c>
      <c r="BU73" s="2">
        <f>SUM(AE73:AH73)</f>
        <v>-15541</v>
      </c>
    </row>
    <row r="74" spans="2:74" s="2" customFormat="1" x14ac:dyDescent="0.25">
      <c r="B74" s="2" t="s">
        <v>86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>
        <f t="shared" ref="O74:Q74" si="234">SUM(O67:O73)</f>
        <v>3064</v>
      </c>
      <c r="P74" s="4">
        <f t="shared" si="234"/>
        <v>20606</v>
      </c>
      <c r="Q74" s="4">
        <f t="shared" si="234"/>
        <v>11964</v>
      </c>
      <c r="R74" s="4">
        <f t="shared" ref="R74:AJ74" si="235">SUM(R67:R73)</f>
        <v>30430</v>
      </c>
      <c r="S74" s="4">
        <f t="shared" si="235"/>
        <v>4213</v>
      </c>
      <c r="T74" s="4">
        <f t="shared" si="235"/>
        <v>12715</v>
      </c>
      <c r="U74" s="4">
        <f t="shared" si="235"/>
        <v>7313</v>
      </c>
      <c r="V74" s="4">
        <f t="shared" si="235"/>
        <v>22086</v>
      </c>
      <c r="W74" s="4">
        <f t="shared" si="235"/>
        <v>-2790</v>
      </c>
      <c r="X74" s="4">
        <f t="shared" si="235"/>
        <v>8965</v>
      </c>
      <c r="Y74" s="4">
        <f t="shared" si="235"/>
        <v>11404</v>
      </c>
      <c r="Z74" s="4">
        <f t="shared" si="235"/>
        <v>29173</v>
      </c>
      <c r="AA74" s="4">
        <f t="shared" si="235"/>
        <v>4788</v>
      </c>
      <c r="AB74" s="4">
        <f t="shared" si="235"/>
        <v>16476</v>
      </c>
      <c r="AC74" s="4">
        <f t="shared" si="235"/>
        <v>21217</v>
      </c>
      <c r="AD74" s="4">
        <f t="shared" si="235"/>
        <v>42465</v>
      </c>
      <c r="AE74" s="4">
        <f t="shared" si="235"/>
        <v>18989</v>
      </c>
      <c r="AF74" s="4">
        <f t="shared" si="235"/>
        <v>25281</v>
      </c>
      <c r="AG74" s="4">
        <f t="shared" si="235"/>
        <v>25971</v>
      </c>
      <c r="AH74" s="4">
        <f t="shared" si="235"/>
        <v>45636</v>
      </c>
      <c r="AI74" s="4">
        <f t="shared" si="235"/>
        <v>17015</v>
      </c>
      <c r="AJ74" s="4">
        <f t="shared" si="235"/>
        <v>32515</v>
      </c>
      <c r="AX74" s="2">
        <v>-119.782</v>
      </c>
      <c r="AY74" s="2">
        <v>174.291</v>
      </c>
      <c r="AZ74" s="2">
        <v>392.02199999999999</v>
      </c>
      <c r="BS74" s="2">
        <f>SUM(BS67:BS73)</f>
        <v>46752</v>
      </c>
      <c r="BT74" s="2">
        <f>SUM(BT67:BT73)</f>
        <v>84946</v>
      </c>
      <c r="BU74" s="2">
        <f>SUM(BU67:BU73)</f>
        <v>115877</v>
      </c>
    </row>
    <row r="75" spans="2:74" s="2" customFormat="1" x14ac:dyDescent="0.25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2:74" s="2" customFormat="1" x14ac:dyDescent="0.25">
      <c r="B76" s="2" t="s">
        <v>91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>
        <v>-6795</v>
      </c>
      <c r="P76" s="4">
        <v>-7459</v>
      </c>
      <c r="Q76" s="4">
        <v>-11063</v>
      </c>
      <c r="R76" s="4">
        <v>-14824</v>
      </c>
      <c r="S76" s="4">
        <v>-12082</v>
      </c>
      <c r="T76" s="4">
        <v>-14288</v>
      </c>
      <c r="U76" s="4">
        <v>-15748</v>
      </c>
      <c r="V76" s="4">
        <v>-18935</v>
      </c>
      <c r="W76" s="4">
        <v>-14951</v>
      </c>
      <c r="X76" s="4">
        <v>-15724</v>
      </c>
      <c r="Y76" s="4">
        <v>-16378</v>
      </c>
      <c r="Z76" s="4">
        <v>-16592</v>
      </c>
      <c r="AA76" s="2">
        <v>-14207</v>
      </c>
      <c r="AB76" s="2">
        <v>-11455</v>
      </c>
      <c r="AC76" s="2">
        <v>-12479</v>
      </c>
      <c r="AD76" s="2">
        <v>-14588</v>
      </c>
      <c r="AE76" s="2">
        <v>-14925</v>
      </c>
      <c r="AF76" s="2">
        <v>-17620</v>
      </c>
      <c r="AG76" s="2">
        <v>-22620</v>
      </c>
      <c r="AH76" s="2">
        <v>-27834</v>
      </c>
      <c r="AI76" s="2">
        <v>-25019</v>
      </c>
      <c r="AJ76" s="2">
        <v>-32183</v>
      </c>
      <c r="AK76" s="2">
        <f>+AJ76</f>
        <v>-32183</v>
      </c>
      <c r="AL76" s="2">
        <f>+AK76</f>
        <v>-32183</v>
      </c>
      <c r="BS76" s="2">
        <f t="shared" ref="BS76:BS79" si="236">SUM(W76:Z76)</f>
        <v>-63645</v>
      </c>
      <c r="BT76" s="2">
        <f>SUM(AA76:AD76)</f>
        <v>-52729</v>
      </c>
      <c r="BU76" s="2">
        <f t="shared" ref="BU76:BU79" si="237">SUM(AE76:AH76)</f>
        <v>-82999</v>
      </c>
      <c r="BV76" s="2">
        <f>SUM(AI76:AL76)</f>
        <v>-121568</v>
      </c>
    </row>
    <row r="77" spans="2:74" s="2" customFormat="1" x14ac:dyDescent="0.25">
      <c r="B77" s="2" t="s">
        <v>93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>
        <v>1367</v>
      </c>
      <c r="P77" s="4">
        <v>844</v>
      </c>
      <c r="Q77" s="4">
        <v>1255</v>
      </c>
      <c r="R77" s="4">
        <v>1629</v>
      </c>
      <c r="S77" s="4">
        <v>895</v>
      </c>
      <c r="T77" s="4">
        <v>1300</v>
      </c>
      <c r="U77" s="4">
        <v>997</v>
      </c>
      <c r="V77" s="4">
        <v>2465</v>
      </c>
      <c r="W77" s="4">
        <v>1209</v>
      </c>
      <c r="X77" s="4">
        <v>1626</v>
      </c>
      <c r="Y77" s="4">
        <v>1337</v>
      </c>
      <c r="Z77" s="4">
        <v>1152</v>
      </c>
      <c r="AA77" s="2">
        <v>1137</v>
      </c>
      <c r="AB77" s="2">
        <v>1043</v>
      </c>
      <c r="AC77" s="2">
        <v>1181</v>
      </c>
      <c r="AD77" s="2">
        <v>1235</v>
      </c>
      <c r="AE77" s="2">
        <v>990</v>
      </c>
      <c r="AF77" s="2">
        <v>1227</v>
      </c>
      <c r="AG77" s="2">
        <v>1342</v>
      </c>
      <c r="AH77" s="2">
        <v>1782</v>
      </c>
      <c r="AI77" s="2">
        <v>764</v>
      </c>
      <c r="AJ77" s="2">
        <v>815</v>
      </c>
      <c r="BS77" s="2">
        <f t="shared" si="236"/>
        <v>5324</v>
      </c>
      <c r="BT77" s="2">
        <f t="shared" ref="BT77:BT79" si="238">SUM(AA77:AD77)</f>
        <v>4596</v>
      </c>
      <c r="BU77" s="2">
        <f t="shared" si="237"/>
        <v>5341</v>
      </c>
    </row>
    <row r="78" spans="2:74" s="2" customFormat="1" x14ac:dyDescent="0.25">
      <c r="B78" s="2" t="s">
        <v>94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>
        <v>-91</v>
      </c>
      <c r="P78" s="4">
        <v>-118</v>
      </c>
      <c r="Q78" s="4">
        <v>-1735</v>
      </c>
      <c r="R78" s="4">
        <v>-380</v>
      </c>
      <c r="S78" s="4">
        <v>-630</v>
      </c>
      <c r="T78" s="4">
        <v>-320</v>
      </c>
      <c r="U78" s="4">
        <v>-654</v>
      </c>
      <c r="V78" s="4">
        <v>-381</v>
      </c>
      <c r="W78" s="4">
        <v>-6341</v>
      </c>
      <c r="X78" s="4">
        <v>-259</v>
      </c>
      <c r="Y78" s="4">
        <v>-885</v>
      </c>
      <c r="Z78" s="4">
        <v>-831</v>
      </c>
      <c r="AA78" s="2">
        <v>-3513</v>
      </c>
      <c r="AB78" s="2">
        <v>-316</v>
      </c>
      <c r="AC78" s="2">
        <v>-1629</v>
      </c>
      <c r="AD78" s="2">
        <v>-381</v>
      </c>
      <c r="AE78" s="2">
        <v>-3354</v>
      </c>
      <c r="AF78" s="2">
        <v>-571</v>
      </c>
      <c r="AG78" s="2">
        <v>-622</v>
      </c>
      <c r="AH78" s="2">
        <v>-2535</v>
      </c>
      <c r="AI78" s="2">
        <v>48</v>
      </c>
      <c r="AJ78" s="2">
        <v>-1700</v>
      </c>
      <c r="BS78" s="2">
        <f t="shared" si="236"/>
        <v>-8316</v>
      </c>
      <c r="BT78" s="2">
        <f t="shared" si="238"/>
        <v>-5839</v>
      </c>
      <c r="BU78" s="2">
        <f t="shared" si="237"/>
        <v>-7082</v>
      </c>
    </row>
    <row r="79" spans="2:74" s="2" customFormat="1" x14ac:dyDescent="0.25">
      <c r="B79" s="2" t="s">
        <v>95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>
        <f>11626-15001</f>
        <v>-3375</v>
      </c>
      <c r="P79" s="4">
        <f>8138-19209</f>
        <v>-11071</v>
      </c>
      <c r="Q79" s="4">
        <f>13135-17468</f>
        <v>-4333</v>
      </c>
      <c r="R79" s="4">
        <f>17338-20801</f>
        <v>-3463</v>
      </c>
      <c r="S79" s="4">
        <f>17826-14675</f>
        <v>3151</v>
      </c>
      <c r="T79" s="4">
        <f>13213-21985</f>
        <v>-8772</v>
      </c>
      <c r="U79" s="4">
        <f>15808-15231</f>
        <v>577</v>
      </c>
      <c r="V79" s="4">
        <f>12537-8266</f>
        <v>4271</v>
      </c>
      <c r="W79" s="4">
        <f>22753-1764</f>
        <v>20989</v>
      </c>
      <c r="X79" s="4">
        <f>2608-329</f>
        <v>2279</v>
      </c>
      <c r="Y79" s="4">
        <f>557-239</f>
        <v>318</v>
      </c>
      <c r="Z79" s="4">
        <f>5683-233</f>
        <v>5450</v>
      </c>
      <c r="AA79" s="2">
        <f>1115-338</f>
        <v>777</v>
      </c>
      <c r="AB79" s="2">
        <f>1551-496</f>
        <v>1055</v>
      </c>
      <c r="AC79" s="2">
        <f>1393-219</f>
        <v>1174</v>
      </c>
      <c r="AD79" s="2">
        <f>1568-435</f>
        <v>1133</v>
      </c>
      <c r="AE79" s="2">
        <f>1392-1965</f>
        <v>-573</v>
      </c>
      <c r="AF79" s="2">
        <f>3265-8439</f>
        <v>-5174</v>
      </c>
      <c r="AG79" s="2">
        <f>8069-3068</f>
        <v>5001</v>
      </c>
      <c r="AH79" s="2">
        <f>-12533+3677</f>
        <v>-8856</v>
      </c>
      <c r="AI79" s="2">
        <f>7737-13333</f>
        <v>-5596</v>
      </c>
      <c r="AJ79" s="2">
        <f>11441-17797</f>
        <v>-6356</v>
      </c>
      <c r="BS79" s="2">
        <f t="shared" si="236"/>
        <v>29036</v>
      </c>
      <c r="BT79" s="2">
        <f t="shared" si="238"/>
        <v>4139</v>
      </c>
      <c r="BU79" s="2">
        <f t="shared" si="237"/>
        <v>-9602</v>
      </c>
    </row>
    <row r="80" spans="2:74" s="2" customFormat="1" x14ac:dyDescent="0.25">
      <c r="B80" s="2" t="s">
        <v>92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>
        <f t="shared" ref="O80:Q80" si="239">SUM(O76:O79)</f>
        <v>-8894</v>
      </c>
      <c r="P80" s="4">
        <f t="shared" si="239"/>
        <v>-17804</v>
      </c>
      <c r="Q80" s="4">
        <f t="shared" si="239"/>
        <v>-15876</v>
      </c>
      <c r="R80" s="4">
        <f t="shared" ref="R80:AJ80" si="240">SUM(R76:R79)</f>
        <v>-17038</v>
      </c>
      <c r="S80" s="4">
        <f t="shared" si="240"/>
        <v>-8666</v>
      </c>
      <c r="T80" s="4">
        <f t="shared" si="240"/>
        <v>-22080</v>
      </c>
      <c r="U80" s="4">
        <f t="shared" si="240"/>
        <v>-14828</v>
      </c>
      <c r="V80" s="4">
        <f t="shared" si="240"/>
        <v>-12580</v>
      </c>
      <c r="W80" s="4">
        <f t="shared" si="240"/>
        <v>906</v>
      </c>
      <c r="X80" s="4">
        <f t="shared" si="240"/>
        <v>-12078</v>
      </c>
      <c r="Y80" s="4">
        <f t="shared" si="240"/>
        <v>-15608</v>
      </c>
      <c r="Z80" s="4">
        <f t="shared" si="240"/>
        <v>-10821</v>
      </c>
      <c r="AA80" s="4">
        <f t="shared" si="240"/>
        <v>-15806</v>
      </c>
      <c r="AB80" s="4">
        <f t="shared" si="240"/>
        <v>-9673</v>
      </c>
      <c r="AC80" s="4">
        <f t="shared" si="240"/>
        <v>-11753</v>
      </c>
      <c r="AD80" s="4">
        <f t="shared" si="240"/>
        <v>-12601</v>
      </c>
      <c r="AE80" s="4">
        <f t="shared" si="240"/>
        <v>-17862</v>
      </c>
      <c r="AF80" s="4">
        <f t="shared" si="240"/>
        <v>-22138</v>
      </c>
      <c r="AG80" s="4">
        <f t="shared" si="240"/>
        <v>-16899</v>
      </c>
      <c r="AH80" s="4">
        <f t="shared" si="240"/>
        <v>-37443</v>
      </c>
      <c r="AI80" s="4">
        <f t="shared" si="240"/>
        <v>-29803</v>
      </c>
      <c r="AJ80" s="4">
        <f t="shared" si="240"/>
        <v>-39424</v>
      </c>
      <c r="BS80" s="2">
        <f>SUM(BS76:BS79)</f>
        <v>-37601</v>
      </c>
      <c r="BT80" s="2">
        <f>SUM(BT76:BT79)</f>
        <v>-49833</v>
      </c>
      <c r="BU80" s="2">
        <f>SUM(BU76:BU79)</f>
        <v>-94342</v>
      </c>
    </row>
    <row r="81" spans="2:73" s="2" customFormat="1" x14ac:dyDescent="0.25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2:73" s="2" customFormat="1" x14ac:dyDescent="0.25">
      <c r="B82" s="2" t="s">
        <v>97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-2666</v>
      </c>
      <c r="X82" s="4">
        <v>-3334</v>
      </c>
      <c r="Y82" s="4">
        <v>0</v>
      </c>
      <c r="Z82" s="4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BS82" s="2">
        <f t="shared" ref="BS82:BS85" si="241">SUM(W82:Z82)</f>
        <v>-6000</v>
      </c>
      <c r="BT82" s="2">
        <f t="shared" ref="BT82:BT83" si="242">SUM(AA82:AD82)</f>
        <v>0</v>
      </c>
      <c r="BU82" s="2">
        <f t="shared" ref="BU82:BU85" si="243">SUM(AE82:AH82)</f>
        <v>0</v>
      </c>
    </row>
    <row r="83" spans="2:73" s="2" customFormat="1" x14ac:dyDescent="0.25">
      <c r="B83" s="2" t="s">
        <v>5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>
        <f>693-667-2600-17</f>
        <v>-2591</v>
      </c>
      <c r="P83" s="4">
        <f>2433-1906+9918-205-2817-15</f>
        <v>7408</v>
      </c>
      <c r="Q83" s="4">
        <f>1311-1349-1198-2857-12</f>
        <v>-4105</v>
      </c>
      <c r="R83" s="4">
        <f>2434-2291+531-113-2368-9</f>
        <v>-1816</v>
      </c>
      <c r="S83" s="4">
        <f>1926-2001+111-39-3406-67</f>
        <v>-3476</v>
      </c>
      <c r="T83" s="4">
        <f>18516-41-2804-28</f>
        <v>15643</v>
      </c>
      <c r="U83" s="4">
        <f>2187-1917+176-509-2693-20</f>
        <v>-2776</v>
      </c>
      <c r="V83" s="4">
        <f>2667-2659+200-1001-2260-47</f>
        <v>-3100</v>
      </c>
      <c r="W83" s="4">
        <f>13743-6231-2777-79</f>
        <v>4656</v>
      </c>
      <c r="X83" s="4">
        <f>4865-7610+12824-1-2059-59</f>
        <v>7960</v>
      </c>
      <c r="Y83" s="4">
        <f>12338-7916+107-1465-48</f>
        <v>3016</v>
      </c>
      <c r="Z83" s="4">
        <f>10607-15797+8235-1257-1640-62</f>
        <v>86</v>
      </c>
      <c r="AA83" s="2">
        <f>12780-3603-1386-1380-57</f>
        <v>6354</v>
      </c>
      <c r="AB83" s="2">
        <f>4399-7641-2000-1220-77</f>
        <v>-6539</v>
      </c>
      <c r="AC83" s="2">
        <f>216-8095-1005-64</f>
        <v>-8948</v>
      </c>
      <c r="AD83" s="2">
        <f>734-6338-290-779-73</f>
        <v>-6746</v>
      </c>
      <c r="AE83" s="2">
        <f>338-404-330-770-90</f>
        <v>-1256</v>
      </c>
      <c r="AF83" s="2">
        <f>525-229-4169-538-79</f>
        <v>-4490</v>
      </c>
      <c r="AG83" s="2">
        <f>1725-1820-2183-402-78</f>
        <v>-2758</v>
      </c>
      <c r="AH83" s="2">
        <f>2554-2607-2500-333-422</f>
        <v>-3308</v>
      </c>
      <c r="AI83" s="2">
        <f>1815-2082+746-410-116</f>
        <v>-47</v>
      </c>
      <c r="AJ83" s="2">
        <f>2093-1392-2751-411-78</f>
        <v>-2539</v>
      </c>
      <c r="BS83" s="2">
        <f t="shared" si="241"/>
        <v>15718</v>
      </c>
      <c r="BT83" s="2">
        <f t="shared" si="242"/>
        <v>-15879</v>
      </c>
      <c r="BU83" s="2">
        <f t="shared" si="243"/>
        <v>-11812</v>
      </c>
    </row>
    <row r="84" spans="2:73" s="2" customFormat="1" x14ac:dyDescent="0.25">
      <c r="B84" s="2" t="s">
        <v>96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>
        <f t="shared" ref="O84:Q84" si="244">SUM(O82:O83)</f>
        <v>-2591</v>
      </c>
      <c r="P84" s="4">
        <f t="shared" si="244"/>
        <v>7408</v>
      </c>
      <c r="Q84" s="4">
        <f t="shared" si="244"/>
        <v>-4105</v>
      </c>
      <c r="R84" s="4">
        <f t="shared" ref="R84:AJ84" si="245">SUM(R82:R83)</f>
        <v>-1816</v>
      </c>
      <c r="S84" s="4">
        <f t="shared" si="245"/>
        <v>-3476</v>
      </c>
      <c r="T84" s="4">
        <f t="shared" si="245"/>
        <v>15643</v>
      </c>
      <c r="U84" s="4">
        <f t="shared" si="245"/>
        <v>-2776</v>
      </c>
      <c r="V84" s="4">
        <f t="shared" si="245"/>
        <v>-3100</v>
      </c>
      <c r="W84" s="4">
        <f t="shared" si="245"/>
        <v>1990</v>
      </c>
      <c r="X84" s="4">
        <f t="shared" si="245"/>
        <v>4626</v>
      </c>
      <c r="Y84" s="4">
        <f t="shared" si="245"/>
        <v>3016</v>
      </c>
      <c r="Z84" s="4">
        <f t="shared" si="245"/>
        <v>86</v>
      </c>
      <c r="AA84" s="4">
        <f t="shared" si="245"/>
        <v>6354</v>
      </c>
      <c r="AB84" s="4">
        <f t="shared" si="245"/>
        <v>-6539</v>
      </c>
      <c r="AC84" s="4">
        <f t="shared" si="245"/>
        <v>-8948</v>
      </c>
      <c r="AD84" s="4">
        <f t="shared" si="245"/>
        <v>-6746</v>
      </c>
      <c r="AE84" s="4">
        <f t="shared" si="245"/>
        <v>-1256</v>
      </c>
      <c r="AF84" s="4">
        <f t="shared" si="245"/>
        <v>-4490</v>
      </c>
      <c r="AG84" s="4">
        <f t="shared" si="245"/>
        <v>-2758</v>
      </c>
      <c r="AH84" s="4">
        <f t="shared" si="245"/>
        <v>-3308</v>
      </c>
      <c r="AI84" s="4">
        <f t="shared" si="245"/>
        <v>-47</v>
      </c>
      <c r="AJ84" s="4">
        <f t="shared" si="245"/>
        <v>-2539</v>
      </c>
      <c r="BS84" s="2">
        <f>+BS83+BS82</f>
        <v>9718</v>
      </c>
      <c r="BT84" s="2">
        <f>+BT83+BT82</f>
        <v>-15879</v>
      </c>
      <c r="BU84" s="2">
        <f>+BU83+BU82</f>
        <v>-11812</v>
      </c>
    </row>
    <row r="85" spans="2:73" s="2" customFormat="1" x14ac:dyDescent="0.25">
      <c r="B85" s="2" t="s">
        <v>98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>
        <v>-484</v>
      </c>
      <c r="P85" s="4">
        <v>127</v>
      </c>
      <c r="Q85" s="4">
        <v>377</v>
      </c>
      <c r="R85" s="4">
        <v>599</v>
      </c>
      <c r="S85" s="4">
        <v>-293</v>
      </c>
      <c r="T85" s="4">
        <v>234</v>
      </c>
      <c r="U85" s="4">
        <v>-199</v>
      </c>
      <c r="V85" s="4">
        <v>-106</v>
      </c>
      <c r="W85" s="4">
        <v>16</v>
      </c>
      <c r="X85" s="4">
        <v>-412</v>
      </c>
      <c r="Y85" s="4">
        <v>-1334</v>
      </c>
      <c r="Z85" s="4">
        <v>637</v>
      </c>
      <c r="AA85" s="2">
        <v>145</v>
      </c>
      <c r="AB85" s="2">
        <v>69</v>
      </c>
      <c r="AC85" s="2">
        <v>-502</v>
      </c>
      <c r="AD85" s="2">
        <v>691</v>
      </c>
      <c r="AE85" s="2">
        <v>-429</v>
      </c>
      <c r="AF85" s="2">
        <v>-312</v>
      </c>
      <c r="AG85" s="2">
        <v>690</v>
      </c>
      <c r="AH85" s="2">
        <v>-1250</v>
      </c>
      <c r="AI85" s="2">
        <v>416</v>
      </c>
      <c r="AJ85" s="2">
        <v>1008</v>
      </c>
      <c r="BS85" s="2">
        <f t="shared" si="241"/>
        <v>-1093</v>
      </c>
      <c r="BT85" s="2">
        <f>SUM(AA85:AD85)</f>
        <v>403</v>
      </c>
      <c r="BU85" s="2">
        <f t="shared" si="243"/>
        <v>-1301</v>
      </c>
    </row>
    <row r="86" spans="2:73" s="2" customFormat="1" x14ac:dyDescent="0.25">
      <c r="B86" s="2" t="s">
        <v>99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>
        <f t="shared" ref="O86" si="246">+O85+O84+O80+O74</f>
        <v>-8905</v>
      </c>
      <c r="P86" s="4">
        <f>+P85+P84+P80+P74</f>
        <v>10337</v>
      </c>
      <c r="Q86" s="4">
        <f>+Q85+Q84+Q80+Q74</f>
        <v>-7640</v>
      </c>
      <c r="R86" s="4">
        <f t="shared" ref="R86:AJ86" si="247">+R85+R84+R80+R74</f>
        <v>12175</v>
      </c>
      <c r="S86" s="4">
        <f t="shared" si="247"/>
        <v>-8222</v>
      </c>
      <c r="T86" s="4">
        <f t="shared" si="247"/>
        <v>6512</v>
      </c>
      <c r="U86" s="4">
        <f t="shared" si="247"/>
        <v>-10490</v>
      </c>
      <c r="V86" s="4">
        <f t="shared" si="247"/>
        <v>6300</v>
      </c>
      <c r="W86" s="4">
        <f t="shared" si="247"/>
        <v>122</v>
      </c>
      <c r="X86" s="4">
        <f t="shared" si="247"/>
        <v>1101</v>
      </c>
      <c r="Y86" s="4">
        <f t="shared" si="247"/>
        <v>-2522</v>
      </c>
      <c r="Z86" s="4">
        <f t="shared" si="247"/>
        <v>19075</v>
      </c>
      <c r="AA86" s="4">
        <f t="shared" si="247"/>
        <v>-4519</v>
      </c>
      <c r="AB86" s="4">
        <f t="shared" si="247"/>
        <v>333</v>
      </c>
      <c r="AC86" s="4">
        <f t="shared" si="247"/>
        <v>14</v>
      </c>
      <c r="AD86" s="4">
        <f t="shared" si="247"/>
        <v>23809</v>
      </c>
      <c r="AE86" s="4">
        <f t="shared" si="247"/>
        <v>-558</v>
      </c>
      <c r="AF86" s="4">
        <f t="shared" si="247"/>
        <v>-1659</v>
      </c>
      <c r="AG86" s="4">
        <f t="shared" si="247"/>
        <v>7004</v>
      </c>
      <c r="AH86" s="4">
        <f t="shared" si="247"/>
        <v>3635</v>
      </c>
      <c r="AI86" s="4">
        <f t="shared" si="247"/>
        <v>-12419</v>
      </c>
      <c r="AJ86" s="4">
        <f t="shared" si="247"/>
        <v>-8440</v>
      </c>
      <c r="BS86" s="2">
        <f>+BS85+BS84+BS80+BS74</f>
        <v>17776</v>
      </c>
      <c r="BT86" s="2">
        <f>+BT85+BT84+BT80+BT74</f>
        <v>19637</v>
      </c>
      <c r="BU86" s="2">
        <f>+BU85+BU84+BU80+BU74</f>
        <v>8422</v>
      </c>
    </row>
    <row r="88" spans="2:73" s="2" customFormat="1" x14ac:dyDescent="0.25">
      <c r="B88" s="2" t="s">
        <v>46</v>
      </c>
      <c r="C88" s="4"/>
      <c r="D88" s="4"/>
      <c r="E88" s="4"/>
      <c r="F88" s="4"/>
      <c r="G88" s="4"/>
      <c r="H88" s="4"/>
      <c r="I88" s="4"/>
      <c r="J88" s="4">
        <v>647.5</v>
      </c>
      <c r="K88" s="4">
        <v>630.6</v>
      </c>
      <c r="L88" s="4">
        <v>653.29999999999995</v>
      </c>
      <c r="M88" s="4">
        <v>750</v>
      </c>
      <c r="N88" s="4">
        <v>798</v>
      </c>
      <c r="O88" s="4">
        <v>840.4</v>
      </c>
      <c r="P88" s="4">
        <v>876.8</v>
      </c>
      <c r="Q88" s="4">
        <v>1125.3</v>
      </c>
      <c r="R88" s="4">
        <v>1298</v>
      </c>
      <c r="S88" s="4">
        <v>1271</v>
      </c>
      <c r="T88" s="4">
        <v>1335</v>
      </c>
      <c r="U88" s="4">
        <v>1468</v>
      </c>
      <c r="V88" s="4">
        <v>1608</v>
      </c>
      <c r="W88" s="4">
        <v>1622</v>
      </c>
      <c r="X88" s="4">
        <v>1523</v>
      </c>
      <c r="Y88" s="4">
        <v>1544</v>
      </c>
      <c r="Z88" s="4">
        <v>1541</v>
      </c>
      <c r="AA88" s="2">
        <v>1465</v>
      </c>
      <c r="AB88" s="2">
        <v>1461</v>
      </c>
      <c r="AC88" s="2">
        <v>1500</v>
      </c>
      <c r="AD88" s="2">
        <v>1525</v>
      </c>
      <c r="AE88" s="2">
        <v>1521</v>
      </c>
      <c r="AF88" s="2">
        <v>1532</v>
      </c>
      <c r="AG88" s="2">
        <v>1551</v>
      </c>
      <c r="AH88" s="2">
        <v>1556</v>
      </c>
      <c r="AI88" s="2">
        <v>1560</v>
      </c>
      <c r="AJ88" s="2">
        <v>1546</v>
      </c>
      <c r="AU88" s="2">
        <v>2.1</v>
      </c>
      <c r="BS88" s="2">
        <f>Z88</f>
        <v>1541</v>
      </c>
      <c r="BT88" s="2">
        <f>+AD88</f>
        <v>1525</v>
      </c>
      <c r="BU88" s="2">
        <f>+AH88</f>
        <v>1556</v>
      </c>
    </row>
    <row r="90" spans="2:73" s="2" customFormat="1" x14ac:dyDescent="0.25">
      <c r="B90" s="2" t="s">
        <v>81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>
        <v>1900</v>
      </c>
      <c r="O90" s="4">
        <v>1312</v>
      </c>
      <c r="P90" s="4">
        <v>2141</v>
      </c>
      <c r="Q90" s="4">
        <v>2252</v>
      </c>
      <c r="R90" s="4">
        <v>2946</v>
      </c>
      <c r="S90" s="4">
        <v>3450</v>
      </c>
      <c r="T90" s="4">
        <v>3147</v>
      </c>
      <c r="U90" s="4">
        <v>880</v>
      </c>
      <c r="V90" s="4">
        <v>-206</v>
      </c>
      <c r="W90" s="4">
        <v>-1568</v>
      </c>
      <c r="X90" s="4">
        <v>-627</v>
      </c>
      <c r="Y90" s="4">
        <v>-412</v>
      </c>
      <c r="Z90" s="4">
        <v>-240</v>
      </c>
      <c r="AA90" s="2">
        <v>898</v>
      </c>
      <c r="AB90" s="2">
        <v>3211</v>
      </c>
      <c r="AC90" s="2">
        <v>4307</v>
      </c>
      <c r="AD90" s="2">
        <v>6461</v>
      </c>
      <c r="AE90" s="2">
        <v>4983</v>
      </c>
      <c r="AF90" s="2">
        <v>5065</v>
      </c>
      <c r="AG90" s="2">
        <v>5663</v>
      </c>
      <c r="AH90" s="2">
        <v>9256</v>
      </c>
      <c r="AI90" s="2">
        <v>5841</v>
      </c>
      <c r="AJ90" s="2">
        <v>7517</v>
      </c>
    </row>
    <row r="91" spans="2:73" s="2" customFormat="1" x14ac:dyDescent="0.25">
      <c r="B91" s="2" t="s">
        <v>82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>
        <v>-617</v>
      </c>
      <c r="O91" s="4">
        <v>-398</v>
      </c>
      <c r="P91" s="4">
        <v>345</v>
      </c>
      <c r="Q91" s="4">
        <v>407</v>
      </c>
      <c r="R91" s="4">
        <v>363</v>
      </c>
      <c r="S91" s="4">
        <v>1252</v>
      </c>
      <c r="T91" s="4">
        <v>362</v>
      </c>
      <c r="U91" s="4">
        <v>-911</v>
      </c>
      <c r="V91" s="4">
        <v>-1627</v>
      </c>
      <c r="W91" s="4">
        <v>-1281</v>
      </c>
      <c r="X91" s="4">
        <v>-1771</v>
      </c>
      <c r="Y91" s="4">
        <v>-2466</v>
      </c>
      <c r="Z91" s="4">
        <v>-2228</v>
      </c>
      <c r="AA91" s="2">
        <v>-1247</v>
      </c>
      <c r="AB91" s="2">
        <v>-895</v>
      </c>
      <c r="AC91" s="2">
        <v>-95</v>
      </c>
      <c r="AD91" s="2">
        <v>-419</v>
      </c>
      <c r="AE91" s="2">
        <v>903</v>
      </c>
      <c r="AF91" s="2">
        <v>273</v>
      </c>
      <c r="AG91" s="2">
        <v>1301</v>
      </c>
      <c r="AH91" s="2">
        <v>1315</v>
      </c>
      <c r="AI91" s="2">
        <v>1017</v>
      </c>
      <c r="AJ91" s="2">
        <v>1494</v>
      </c>
    </row>
    <row r="92" spans="2:73" s="2" customFormat="1" x14ac:dyDescent="0.25">
      <c r="B92" s="2" t="s">
        <v>83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>
        <v>2596</v>
      </c>
      <c r="O92" s="4">
        <v>3075</v>
      </c>
      <c r="P92" s="4">
        <v>3357</v>
      </c>
      <c r="Q92" s="4">
        <v>3535</v>
      </c>
      <c r="R92" s="4">
        <v>3564</v>
      </c>
      <c r="S92" s="4">
        <v>4163</v>
      </c>
      <c r="T92" s="4">
        <v>4193</v>
      </c>
      <c r="U92" s="4">
        <v>4883</v>
      </c>
      <c r="V92" s="4">
        <v>5293</v>
      </c>
      <c r="W92" s="4">
        <v>6518</v>
      </c>
      <c r="X92" s="4">
        <v>5715</v>
      </c>
      <c r="Y92" s="4">
        <v>5403</v>
      </c>
      <c r="Z92" s="4">
        <v>5205</v>
      </c>
      <c r="AA92" s="2">
        <v>5123</v>
      </c>
      <c r="AB92" s="2">
        <v>5365</v>
      </c>
      <c r="AC92" s="2">
        <v>6976</v>
      </c>
      <c r="AD92" s="2">
        <v>7167</v>
      </c>
      <c r="AE92" s="2">
        <v>9421</v>
      </c>
      <c r="AF92" s="2">
        <v>9334</v>
      </c>
      <c r="AG92" s="2">
        <v>10447</v>
      </c>
      <c r="AH92" s="2">
        <v>10632</v>
      </c>
      <c r="AI92" s="2">
        <v>11547</v>
      </c>
      <c r="AJ92" s="2">
        <v>10160</v>
      </c>
    </row>
    <row r="93" spans="2:73" s="2" customFormat="1" x14ac:dyDescent="0.25">
      <c r="B93" s="2" t="s">
        <v>154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E93" s="2">
        <v>21834</v>
      </c>
      <c r="AF93" s="2">
        <v>21965</v>
      </c>
      <c r="AG93" s="2">
        <v>23501</v>
      </c>
      <c r="AH93" s="2">
        <v>28549</v>
      </c>
      <c r="AI93" s="2">
        <v>22495</v>
      </c>
      <c r="AJ93" s="2">
        <v>23370</v>
      </c>
    </row>
    <row r="95" spans="2:73" x14ac:dyDescent="0.25">
      <c r="B95" s="2" t="s">
        <v>102</v>
      </c>
      <c r="O95" s="4">
        <f t="shared" ref="O95:W95" si="248">+O74+O76+O77</f>
        <v>-2364</v>
      </c>
      <c r="P95" s="4">
        <f t="shared" si="248"/>
        <v>13991</v>
      </c>
      <c r="Q95" s="4">
        <f t="shared" si="248"/>
        <v>2156</v>
      </c>
      <c r="R95" s="4">
        <f t="shared" si="248"/>
        <v>17235</v>
      </c>
      <c r="S95" s="4">
        <f t="shared" si="248"/>
        <v>-6974</v>
      </c>
      <c r="T95" s="4">
        <f t="shared" si="248"/>
        <v>-273</v>
      </c>
      <c r="U95" s="4">
        <f t="shared" si="248"/>
        <v>-7438</v>
      </c>
      <c r="V95" s="4">
        <f t="shared" si="248"/>
        <v>5616</v>
      </c>
      <c r="W95" s="4">
        <f t="shared" si="248"/>
        <v>-16532</v>
      </c>
      <c r="X95" s="4">
        <f t="shared" ref="X95:Z95" si="249">+X74+X76+X77</f>
        <v>-5133</v>
      </c>
      <c r="Y95" s="4">
        <f t="shared" si="249"/>
        <v>-3637</v>
      </c>
      <c r="Z95" s="4">
        <f t="shared" si="249"/>
        <v>13733</v>
      </c>
      <c r="AA95" s="4">
        <f>+AA74+AA76+AA77</f>
        <v>-8282</v>
      </c>
      <c r="AB95" s="4">
        <f t="shared" ref="AB95:AE95" si="250">+AB74+AB76+AB77</f>
        <v>6064</v>
      </c>
      <c r="AC95" s="4">
        <f t="shared" si="250"/>
        <v>9919</v>
      </c>
      <c r="AD95" s="4">
        <f t="shared" si="250"/>
        <v>29112</v>
      </c>
      <c r="AE95" s="4">
        <f t="shared" si="250"/>
        <v>5054</v>
      </c>
      <c r="AF95" s="4">
        <f t="shared" ref="AF95:AH95" si="251">+AF74+AF76+AF77</f>
        <v>8888</v>
      </c>
      <c r="AG95" s="4">
        <f t="shared" si="251"/>
        <v>4693</v>
      </c>
      <c r="AH95" s="4">
        <f t="shared" si="251"/>
        <v>19584</v>
      </c>
      <c r="AI95" s="4">
        <f>+AI74+AI76+AI77</f>
        <v>-7240</v>
      </c>
      <c r="AJ95" s="4">
        <f>+AJ74+AJ76+AJ77</f>
        <v>1147</v>
      </c>
      <c r="BT95" s="2">
        <f>+BT74+BT76</f>
        <v>32217</v>
      </c>
      <c r="BU95" s="2">
        <f>+BU74+BU76</f>
        <v>32878</v>
      </c>
    </row>
    <row r="96" spans="2:73" ht="13" x14ac:dyDescent="0.3">
      <c r="B96" s="2" t="s">
        <v>107</v>
      </c>
      <c r="R96" s="2">
        <f t="shared" ref="R96:T96" si="252">SUM(O95:R95)</f>
        <v>31018</v>
      </c>
      <c r="S96" s="2">
        <f t="shared" si="252"/>
        <v>26408</v>
      </c>
      <c r="T96" s="2">
        <f t="shared" si="252"/>
        <v>12144</v>
      </c>
      <c r="U96" s="2">
        <f>SUM(R95:U95)</f>
        <v>2550</v>
      </c>
      <c r="V96" s="2">
        <f>SUM(S95:V95)</f>
        <v>-9069</v>
      </c>
      <c r="W96" s="2">
        <f>SUM(T95:W95)</f>
        <v>-18627</v>
      </c>
      <c r="X96" s="2">
        <f>SUM(U95:X95)</f>
        <v>-23487</v>
      </c>
      <c r="Y96" s="2">
        <f t="shared" ref="Y96" si="253">SUM(V95:Y95)</f>
        <v>-19686</v>
      </c>
      <c r="Z96" s="2">
        <f>SUM(W95:Z95)</f>
        <v>-11569</v>
      </c>
      <c r="AA96" s="5">
        <f>SUM(X95:AA95)</f>
        <v>-3319</v>
      </c>
      <c r="AB96" s="5">
        <f t="shared" ref="AB96:AE96" si="254">SUM(Y95:AB95)</f>
        <v>7878</v>
      </c>
      <c r="AC96" s="5">
        <f t="shared" si="254"/>
        <v>21434</v>
      </c>
      <c r="AD96" s="5">
        <f t="shared" si="254"/>
        <v>36813</v>
      </c>
      <c r="AE96" s="5">
        <f t="shared" si="254"/>
        <v>50149</v>
      </c>
      <c r="AF96" s="5">
        <f t="shared" ref="AF96:AH96" si="255">SUM(AC95:AF95)</f>
        <v>52973</v>
      </c>
      <c r="AG96" s="5">
        <f t="shared" si="255"/>
        <v>47747</v>
      </c>
      <c r="AH96" s="5">
        <f t="shared" si="255"/>
        <v>38219</v>
      </c>
      <c r="AI96" s="5">
        <f>SUM(AF95:AI95)</f>
        <v>25925</v>
      </c>
      <c r="AJ96" s="5">
        <f>SUM(AG95:AJ95)</f>
        <v>18184</v>
      </c>
    </row>
    <row r="102" spans="2:73" x14ac:dyDescent="0.25">
      <c r="B102" t="s">
        <v>105</v>
      </c>
      <c r="X102" s="7">
        <v>106.21</v>
      </c>
      <c r="Y102" s="7">
        <v>113</v>
      </c>
      <c r="Z102" s="7">
        <v>84</v>
      </c>
      <c r="AA102" s="1">
        <v>103.29</v>
      </c>
      <c r="AB102" s="1">
        <v>130.36000000000001</v>
      </c>
      <c r="AC102" s="1">
        <v>127.12</v>
      </c>
      <c r="AD102" s="1">
        <v>151.94</v>
      </c>
      <c r="AE102" s="1">
        <v>180.38</v>
      </c>
      <c r="AF102" s="1">
        <v>193.25</v>
      </c>
      <c r="AG102" s="1">
        <v>186.33</v>
      </c>
      <c r="AH102" s="1">
        <v>219.39</v>
      </c>
      <c r="AI102" s="1">
        <v>190.26</v>
      </c>
      <c r="AT102">
        <v>7.25</v>
      </c>
      <c r="AU102">
        <v>28.73</v>
      </c>
      <c r="AV102" s="1">
        <f>11495/AV34</f>
        <v>71.354583558045434</v>
      </c>
      <c r="BS102" s="1">
        <f>+Z102</f>
        <v>84</v>
      </c>
      <c r="BT102" s="1">
        <f>+AD102</f>
        <v>151.94</v>
      </c>
      <c r="BU102" s="1">
        <f>+AH102</f>
        <v>219.39</v>
      </c>
    </row>
    <row r="103" spans="2:73" ht="13" x14ac:dyDescent="0.3">
      <c r="BT103" s="19">
        <f>+BT102/BS102-1</f>
        <v>0.80880952380952387</v>
      </c>
      <c r="BU103" s="19">
        <f>+BU102/BT102-1</f>
        <v>0.44392523364485981</v>
      </c>
    </row>
  </sheetData>
  <hyperlinks>
    <hyperlink ref="A1" location="Main!A1" display="Main" xr:uid="{AFEA6183-18E6-40BC-83A6-7384E586F887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2022-07-14T21:56:19Z</dcterms:created>
  <dcterms:modified xsi:type="dcterms:W3CDTF">2025-10-30T16:34:46Z</dcterms:modified>
</cp:coreProperties>
</file>