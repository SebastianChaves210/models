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95F0D97A-E369-4107-87DE-9909DB9C9BCD}" xr6:coauthVersionLast="47" xr6:coauthVersionMax="47" xr10:uidLastSave="{00000000-0000-0000-0000-000000000000}"/>
  <bookViews>
    <workbookView xWindow="20340" yWindow="710" windowWidth="18060" windowHeight="20070" activeTab="1" xr2:uid="{0F7B74EE-26C4-43C0-8ED2-7F3AED04CA5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N10" i="2"/>
  <c r="R10" i="2" s="1"/>
  <c r="M10" i="2"/>
  <c r="M17" i="2"/>
  <c r="M15" i="2"/>
  <c r="N17" i="2"/>
  <c r="N15" i="2"/>
  <c r="M6" i="1"/>
  <c r="O22" i="2"/>
  <c r="O17" i="2"/>
  <c r="O15" i="2"/>
  <c r="O12" i="2"/>
  <c r="O23" i="2" s="1"/>
  <c r="R3" i="2"/>
  <c r="Q3" i="2"/>
  <c r="P3" i="2"/>
  <c r="O3" i="2"/>
  <c r="Q10" i="2"/>
  <c r="P10" i="2"/>
  <c r="M4" i="1"/>
  <c r="O14" i="2" l="1"/>
  <c r="O16" i="2" s="1"/>
  <c r="T28" i="2"/>
  <c r="Y30" i="2" s="1"/>
  <c r="U22" i="2"/>
  <c r="T17" i="2"/>
  <c r="T15" i="2"/>
  <c r="T12" i="2"/>
  <c r="T23" i="2" s="1"/>
  <c r="V22" i="2"/>
  <c r="U17" i="2"/>
  <c r="U15" i="2"/>
  <c r="U28" i="2"/>
  <c r="U29" i="2" s="1"/>
  <c r="U12" i="2"/>
  <c r="U14" i="2" s="1"/>
  <c r="U16" i="2" s="1"/>
  <c r="U18" i="2" s="1"/>
  <c r="U19" i="2" s="1"/>
  <c r="V28" i="2"/>
  <c r="W22" i="2"/>
  <c r="V17" i="2"/>
  <c r="V15" i="2"/>
  <c r="V12" i="2"/>
  <c r="V23" i="2" s="1"/>
  <c r="W28" i="2"/>
  <c r="W29" i="2" s="1"/>
  <c r="W17" i="2"/>
  <c r="W15" i="2"/>
  <c r="W12" i="2"/>
  <c r="Y28" i="2"/>
  <c r="X28" i="2"/>
  <c r="X29" i="2" s="1"/>
  <c r="X20" i="2"/>
  <c r="Y20" i="2"/>
  <c r="Z20" i="2"/>
  <c r="Z13" i="2"/>
  <c r="Y13" i="2"/>
  <c r="X13" i="2"/>
  <c r="Z11" i="2"/>
  <c r="Y11" i="2"/>
  <c r="X11" i="2"/>
  <c r="X10" i="2"/>
  <c r="X22" i="2" s="1"/>
  <c r="Y3" i="2"/>
  <c r="Z3" i="2" s="1"/>
  <c r="G22" i="2"/>
  <c r="C17" i="2"/>
  <c r="C15" i="2"/>
  <c r="H23" i="2"/>
  <c r="H22" i="2"/>
  <c r="D17" i="2"/>
  <c r="D15" i="2"/>
  <c r="D12" i="2"/>
  <c r="D14" i="2" s="1"/>
  <c r="D16" i="2" s="1"/>
  <c r="D18" i="2" s="1"/>
  <c r="D19" i="2" s="1"/>
  <c r="C12" i="2"/>
  <c r="C14" i="2" s="1"/>
  <c r="C16" i="2" s="1"/>
  <c r="C18" i="2" s="1"/>
  <c r="C19" i="2" s="1"/>
  <c r="E17" i="2"/>
  <c r="E15" i="2"/>
  <c r="I17" i="2"/>
  <c r="I15" i="2"/>
  <c r="I10" i="2"/>
  <c r="I22" i="2" s="1"/>
  <c r="E12" i="2"/>
  <c r="E14" i="2" s="1"/>
  <c r="E16" i="2" s="1"/>
  <c r="F17" i="2"/>
  <c r="F15" i="2"/>
  <c r="J17" i="2"/>
  <c r="J15" i="2"/>
  <c r="J10" i="2"/>
  <c r="J22" i="2" s="1"/>
  <c r="F12" i="2"/>
  <c r="F14" i="2" s="1"/>
  <c r="G12" i="2"/>
  <c r="G14" i="2" s="1"/>
  <c r="G17" i="2"/>
  <c r="G15" i="2"/>
  <c r="K17" i="2"/>
  <c r="K15" i="2"/>
  <c r="K10" i="2"/>
  <c r="K12" i="2" s="1"/>
  <c r="K14" i="2" s="1"/>
  <c r="M7" i="1"/>
  <c r="H17" i="2"/>
  <c r="L17" i="2"/>
  <c r="H15" i="2"/>
  <c r="L15" i="2"/>
  <c r="H12" i="2"/>
  <c r="H14" i="2" s="1"/>
  <c r="L10" i="2"/>
  <c r="L12" i="2" s="1"/>
  <c r="O24" i="2" l="1"/>
  <c r="O18" i="2"/>
  <c r="O19" i="2" s="1"/>
  <c r="K16" i="2"/>
  <c r="K24" i="2" s="1"/>
  <c r="Y29" i="2"/>
  <c r="V29" i="2"/>
  <c r="Z15" i="2"/>
  <c r="E18" i="2"/>
  <c r="E19" i="2" s="1"/>
  <c r="M12" i="2"/>
  <c r="M23" i="2" s="1"/>
  <c r="N12" i="2"/>
  <c r="N23" i="2" s="1"/>
  <c r="T14" i="2"/>
  <c r="T16" i="2" s="1"/>
  <c r="T18" i="2" s="1"/>
  <c r="T19" i="2" s="1"/>
  <c r="D24" i="2"/>
  <c r="Z17" i="2"/>
  <c r="X12" i="2"/>
  <c r="X14" i="2" s="1"/>
  <c r="X17" i="2"/>
  <c r="E24" i="2"/>
  <c r="X15" i="2"/>
  <c r="Y15" i="2"/>
  <c r="F23" i="2"/>
  <c r="G23" i="2"/>
  <c r="U24" i="2"/>
  <c r="U23" i="2"/>
  <c r="Y17" i="2"/>
  <c r="F16" i="2"/>
  <c r="F18" i="2" s="1"/>
  <c r="F19" i="2" s="1"/>
  <c r="C24" i="2"/>
  <c r="Y10" i="2"/>
  <c r="D23" i="2"/>
  <c r="E23" i="2"/>
  <c r="V14" i="2"/>
  <c r="V16" i="2" s="1"/>
  <c r="V18" i="2" s="1"/>
  <c r="V19" i="2" s="1"/>
  <c r="W23" i="2"/>
  <c r="W14" i="2"/>
  <c r="W16" i="2" s="1"/>
  <c r="W18" i="2" s="1"/>
  <c r="W19" i="2" s="1"/>
  <c r="C23" i="2"/>
  <c r="H16" i="2"/>
  <c r="H18" i="2" s="1"/>
  <c r="H19" i="2" s="1"/>
  <c r="G16" i="2"/>
  <c r="G18" i="2" s="1"/>
  <c r="G19" i="2" s="1"/>
  <c r="I12" i="2"/>
  <c r="K18" i="2"/>
  <c r="K19" i="2" s="1"/>
  <c r="J12" i="2"/>
  <c r="L22" i="2"/>
  <c r="K22" i="2"/>
  <c r="K23" i="2"/>
  <c r="L23" i="2"/>
  <c r="L14" i="2"/>
  <c r="L16" i="2" s="1"/>
  <c r="N22" i="2" l="1"/>
  <c r="N14" i="2"/>
  <c r="N16" i="2" s="1"/>
  <c r="N18" i="2" s="1"/>
  <c r="N19" i="2" s="1"/>
  <c r="Z10" i="2"/>
  <c r="Z12" i="2" s="1"/>
  <c r="X23" i="2"/>
  <c r="M22" i="2"/>
  <c r="M14" i="2"/>
  <c r="M16" i="2" s="1"/>
  <c r="M18" i="2" s="1"/>
  <c r="M19" i="2" s="1"/>
  <c r="T24" i="2"/>
  <c r="X16" i="2"/>
  <c r="L18" i="2"/>
  <c r="L19" i="2" s="1"/>
  <c r="L24" i="2"/>
  <c r="V24" i="2"/>
  <c r="H24" i="2"/>
  <c r="F24" i="2"/>
  <c r="Y22" i="2"/>
  <c r="Y12" i="2"/>
  <c r="G24" i="2"/>
  <c r="W24" i="2"/>
  <c r="I23" i="2"/>
  <c r="I14" i="2"/>
  <c r="I16" i="2" s="1"/>
  <c r="J23" i="2"/>
  <c r="J14" i="2"/>
  <c r="J16" i="2" s="1"/>
  <c r="M24" i="2" l="1"/>
  <c r="N24" i="2"/>
  <c r="Z22" i="2"/>
  <c r="X18" i="2"/>
  <c r="X19" i="2" s="1"/>
  <c r="X24" i="2"/>
  <c r="J18" i="2"/>
  <c r="J19" i="2" s="1"/>
  <c r="J24" i="2"/>
  <c r="Z14" i="2"/>
  <c r="Z16" i="2" s="1"/>
  <c r="Z23" i="2"/>
  <c r="I18" i="2"/>
  <c r="I19" i="2" s="1"/>
  <c r="I24" i="2"/>
  <c r="Y23" i="2"/>
  <c r="Y14" i="2"/>
  <c r="Y16" i="2" s="1"/>
  <c r="Y18" i="2" l="1"/>
  <c r="Y19" i="2" s="1"/>
  <c r="Y24" i="2"/>
  <c r="Z18" i="2"/>
  <c r="Z24" i="2"/>
  <c r="Z19" i="2" l="1"/>
  <c r="AA18" i="2"/>
  <c r="AB18" i="2" l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AD27" i="2" l="1"/>
  <c r="AD28" i="2" s="1"/>
</calcChain>
</file>

<file path=xl/sharedStrings.xml><?xml version="1.0" encoding="utf-8"?>
<sst xmlns="http://schemas.openxmlformats.org/spreadsheetml/2006/main" count="70" uniqueCount="64">
  <si>
    <t>Price</t>
  </si>
  <si>
    <t>Shares</t>
  </si>
  <si>
    <t>MC</t>
  </si>
  <si>
    <t>Cash</t>
  </si>
  <si>
    <t>Debt</t>
  </si>
  <si>
    <t>EV</t>
  </si>
  <si>
    <t>Main</t>
  </si>
  <si>
    <t>Beauty</t>
  </si>
  <si>
    <t>Grooming</t>
  </si>
  <si>
    <t>Health</t>
  </si>
  <si>
    <t>Fabric&amp;Home</t>
  </si>
  <si>
    <t>Baby, Feminine &amp; Family</t>
  </si>
  <si>
    <t>Corporate</t>
  </si>
  <si>
    <t>Revenue</t>
  </si>
  <si>
    <t>COGS</t>
  </si>
  <si>
    <t>Gross Profit</t>
  </si>
  <si>
    <t>SG&amp;A</t>
  </si>
  <si>
    <t>Operating Income</t>
  </si>
  <si>
    <t>Interest</t>
  </si>
  <si>
    <t>Pretax</t>
  </si>
  <si>
    <t>Taxes</t>
  </si>
  <si>
    <t>Net Income</t>
  </si>
  <si>
    <t>EPS</t>
  </si>
  <si>
    <t>Head &amp; Shoulders, Herbal Essences, Pantene, Olay, Old Spice, SK-II, Native</t>
  </si>
  <si>
    <t>Gillette, Venus, Braun</t>
  </si>
  <si>
    <t>Health Care</t>
  </si>
  <si>
    <t>Crest, Oral-B, Metamucil, Vicks, Pepto Bismol</t>
  </si>
  <si>
    <t>Fabric</t>
  </si>
  <si>
    <t>Tide, Cascade, Dawn, Febreze, Mr. Clean, Swiffer, Downy</t>
  </si>
  <si>
    <t>Tampax, Always, Bounty, Charmin, Puffs, Pampers</t>
  </si>
  <si>
    <t>Gross Margin %</t>
  </si>
  <si>
    <t>Revenue y/y</t>
  </si>
  <si>
    <t>FQ324</t>
  </si>
  <si>
    <t>FQ424</t>
  </si>
  <si>
    <t>FQ125</t>
  </si>
  <si>
    <t>FQ225</t>
  </si>
  <si>
    <t>FQ124</t>
  </si>
  <si>
    <t>FQ224</t>
  </si>
  <si>
    <t>FQ423</t>
  </si>
  <si>
    <t>FQ323</t>
  </si>
  <si>
    <t>FQ123</t>
  </si>
  <si>
    <t>FQ223</t>
  </si>
  <si>
    <t>FQ325</t>
  </si>
  <si>
    <t>FQ425</t>
  </si>
  <si>
    <t>F2023</t>
  </si>
  <si>
    <t>F2024</t>
  </si>
  <si>
    <t>F2025</t>
  </si>
  <si>
    <t>Tax Rate</t>
  </si>
  <si>
    <t>Maturity</t>
  </si>
  <si>
    <t>Discount</t>
  </si>
  <si>
    <t xml:space="preserve">NPV </t>
  </si>
  <si>
    <t>Share</t>
  </si>
  <si>
    <t>CFFO</t>
  </si>
  <si>
    <t>CX</t>
  </si>
  <si>
    <t>FCF</t>
  </si>
  <si>
    <t>F2022</t>
  </si>
  <si>
    <t>F2021</t>
  </si>
  <si>
    <t>F2020</t>
  </si>
  <si>
    <t>F2019</t>
  </si>
  <si>
    <t>FQ126</t>
  </si>
  <si>
    <t>FQ226</t>
  </si>
  <si>
    <t>FQ326</t>
  </si>
  <si>
    <t>FQ426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</si>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</sst>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27878</xdr:colOff>
      <xdr:row>0</xdr:row>
      <xdr:rowOff>1414</xdr:rowOff>
    </xdr:from>
    <xdr:to>
      <xdr:col>15</xdr:col>
      <xdr:colOff>27878</xdr:colOff>
      <xdr:row>33</xdr:row>
      <xdr:rowOff>124374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AD79E4-F7A8-1BFF-0275-6BCC026555FD}"/>
            </a:ext>
          </a:extLst>
        </xdr:cNvPr>
        <xdr:cNvCxnSpPr/>
      </xdr:nvCxnSpPr>
      <xdr:spPr>
        <a:xfrm>
          <a:off x="10033269" y="1414"/>
          <a:ext cx="0" cy="54127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3718</xdr:colOff>
      <xdr:row>0</xdr:row>
      <xdr:rowOff>0</xdr:rowOff>
    </xdr:from>
    <xdr:to>
      <xdr:col>25</xdr:col>
      <xdr:colOff>3718</xdr:colOff>
      <xdr:row>33</xdr:row>
      <xdr:rowOff>125451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20B4EE9-9E74-4FF4-BD63-1F937AE176A4}"/>
            </a:ext>
          </a:extLst>
        </xdr:cNvPr>
        <xdr:cNvCxnSpPr/>
      </xdr:nvCxnSpPr>
      <xdr:spPr>
        <a:xfrm>
          <a:off x="12005218" y="0"/>
          <a:ext cx="0" cy="5491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4179-C1EB-4454-8C02-B04DCE01CA01}">
  <dimension ref="B2:N7"/>
  <sheetViews>
    <sheetView zoomScale="145" zoomScaleNormal="145" workbookViewId="0">
      <selection activeCell="N6" sqref="N6"/>
    </sheetView>
  </sheetViews>
  <sheetFormatPr defaultColWidth="9.1796875" defaultRowHeight="12.5" x14ac:dyDescent="0.25"/>
  <cols>
    <col min="1" max="1" width="3.08984375" style="1" customWidth="1"/>
    <col min="2" max="2" width="10.7265625" style="1" bestFit="1" customWidth="1"/>
    <col min="3" max="16384" width="9.1796875" style="1"/>
  </cols>
  <sheetData>
    <row r="2" spans="2:14" x14ac:dyDescent="0.25">
      <c r="B2" s="1" t="s">
        <v>7</v>
      </c>
      <c r="C2" s="1" t="s">
        <v>23</v>
      </c>
      <c r="L2" s="1" t="s">
        <v>0</v>
      </c>
      <c r="M2" s="2">
        <v>159</v>
      </c>
    </row>
    <row r="3" spans="2:14" x14ac:dyDescent="0.25">
      <c r="B3" s="1" t="s">
        <v>8</v>
      </c>
      <c r="C3" s="1" t="s">
        <v>24</v>
      </c>
      <c r="L3" s="1" t="s">
        <v>1</v>
      </c>
      <c r="M3" s="4">
        <v>2437</v>
      </c>
      <c r="N3" s="7" t="s">
        <v>63</v>
      </c>
    </row>
    <row r="4" spans="2:14" x14ac:dyDescent="0.25">
      <c r="B4" s="1" t="s">
        <v>25</v>
      </c>
      <c r="C4" s="1" t="s">
        <v>26</v>
      </c>
      <c r="L4" s="1" t="s">
        <v>2</v>
      </c>
      <c r="M4" s="4">
        <f>+M2*M3</f>
        <v>387483</v>
      </c>
      <c r="N4" s="7"/>
    </row>
    <row r="5" spans="2:14" x14ac:dyDescent="0.25">
      <c r="B5" s="1" t="s">
        <v>27</v>
      </c>
      <c r="C5" s="1" t="s">
        <v>28</v>
      </c>
      <c r="L5" s="1" t="s">
        <v>3</v>
      </c>
      <c r="M5" s="4">
        <v>11171</v>
      </c>
      <c r="N5" s="7" t="s">
        <v>63</v>
      </c>
    </row>
    <row r="6" spans="2:14" x14ac:dyDescent="0.25">
      <c r="B6" s="1" t="s">
        <v>11</v>
      </c>
      <c r="C6" s="1" t="s">
        <v>29</v>
      </c>
      <c r="L6" s="1" t="s">
        <v>4</v>
      </c>
      <c r="M6" s="4">
        <f>11631+24315</f>
        <v>35946</v>
      </c>
      <c r="N6" s="7" t="s">
        <v>63</v>
      </c>
    </row>
    <row r="7" spans="2:14" x14ac:dyDescent="0.25">
      <c r="L7" s="1" t="s">
        <v>5</v>
      </c>
      <c r="M7" s="4">
        <f>+M4-M5+M6</f>
        <v>412258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FE65-C0ED-444A-9B0C-D803DA7CC682}">
  <dimension ref="A1:ED30"/>
  <sheetViews>
    <sheetView tabSelected="1" zoomScale="115" zoomScaleNormal="115" workbookViewId="0">
      <pane xSplit="2" ySplit="3" topLeftCell="G4" activePane="bottomRight" state="frozen"/>
      <selection pane="topRight" activeCell="C1" sqref="C1"/>
      <selection pane="bottomLeft" activeCell="A3" sqref="A3"/>
      <selection pane="bottomRight" activeCell="O10" sqref="O10"/>
    </sheetView>
  </sheetViews>
  <sheetFormatPr defaultColWidth="9.1796875" defaultRowHeight="12.5" x14ac:dyDescent="0.25"/>
  <cols>
    <col min="1" max="1" width="5.453125" style="1" bestFit="1" customWidth="1"/>
    <col min="2" max="2" width="22.81640625" style="1" bestFit="1" customWidth="1"/>
    <col min="3" max="9" width="9.1796875" style="1"/>
    <col min="10" max="18" width="8.453125" style="1" customWidth="1"/>
    <col min="19" max="23" width="9.1796875" style="1"/>
    <col min="24" max="26" width="9.1796875" style="7"/>
    <col min="27" max="29" width="9.1796875" style="1"/>
    <col min="30" max="30" width="9.26953125" style="1" customWidth="1"/>
    <col min="31" max="16384" width="9.1796875" style="1"/>
  </cols>
  <sheetData>
    <row r="1" spans="1:26" x14ac:dyDescent="0.25">
      <c r="A1" s="8" t="s">
        <v>6</v>
      </c>
    </row>
    <row r="2" spans="1:26" x14ac:dyDescent="0.25">
      <c r="A2" s="8"/>
      <c r="C2" s="7" t="s">
        <v>40</v>
      </c>
      <c r="D2" s="7" t="s">
        <v>41</v>
      </c>
      <c r="E2" s="7" t="s">
        <v>39</v>
      </c>
      <c r="F2" s="7" t="s">
        <v>38</v>
      </c>
      <c r="G2" s="7" t="s">
        <v>36</v>
      </c>
      <c r="H2" s="7" t="s">
        <v>37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42</v>
      </c>
      <c r="N2" s="7" t="s">
        <v>43</v>
      </c>
      <c r="O2" s="7" t="s">
        <v>59</v>
      </c>
      <c r="P2" s="7" t="s">
        <v>60</v>
      </c>
      <c r="Q2" s="7" t="s">
        <v>61</v>
      </c>
      <c r="R2" s="7" t="s">
        <v>62</v>
      </c>
      <c r="T2" s="7" t="s">
        <v>58</v>
      </c>
      <c r="U2" s="7" t="s">
        <v>57</v>
      </c>
      <c r="V2" s="7" t="s">
        <v>56</v>
      </c>
      <c r="W2" s="7" t="s">
        <v>55</v>
      </c>
      <c r="X2" s="7" t="s">
        <v>44</v>
      </c>
      <c r="Y2" s="7" t="s">
        <v>45</v>
      </c>
      <c r="Z2" s="7" t="s">
        <v>46</v>
      </c>
    </row>
    <row r="3" spans="1:26" x14ac:dyDescent="0.25">
      <c r="C3" s="3">
        <v>44834</v>
      </c>
      <c r="D3" s="3">
        <v>44926</v>
      </c>
      <c r="E3" s="3">
        <v>45016</v>
      </c>
      <c r="F3" s="3">
        <v>45107</v>
      </c>
      <c r="G3" s="3">
        <v>45199</v>
      </c>
      <c r="H3" s="3">
        <v>45291</v>
      </c>
      <c r="I3" s="3">
        <v>45382</v>
      </c>
      <c r="J3" s="3">
        <v>45473</v>
      </c>
      <c r="K3" s="3">
        <v>45565</v>
      </c>
      <c r="L3" s="3">
        <v>45657</v>
      </c>
      <c r="M3" s="3">
        <v>45747</v>
      </c>
      <c r="N3" s="3">
        <v>45838</v>
      </c>
      <c r="O3" s="3">
        <f>+K3+365</f>
        <v>45930</v>
      </c>
      <c r="P3" s="3">
        <f>+L3+365</f>
        <v>46022</v>
      </c>
      <c r="Q3" s="3">
        <f>+M3+365</f>
        <v>46112</v>
      </c>
      <c r="R3" s="3">
        <f>+N3+365</f>
        <v>46203</v>
      </c>
      <c r="T3" s="11">
        <v>43646</v>
      </c>
      <c r="U3" s="11">
        <v>44012</v>
      </c>
      <c r="V3" s="11">
        <v>44377</v>
      </c>
      <c r="W3" s="11">
        <v>44742</v>
      </c>
      <c r="X3" s="11">
        <v>45107</v>
      </c>
      <c r="Y3" s="11">
        <f>+X3+366</f>
        <v>45473</v>
      </c>
      <c r="Z3" s="11">
        <f>+Y3+365</f>
        <v>45838</v>
      </c>
    </row>
    <row r="4" spans="1:26" s="4" customFormat="1" x14ac:dyDescent="0.25">
      <c r="B4" s="4" t="s">
        <v>7</v>
      </c>
      <c r="I4" s="4">
        <v>3550</v>
      </c>
      <c r="J4" s="4">
        <v>3724</v>
      </c>
      <c r="K4" s="4">
        <v>3892</v>
      </c>
      <c r="L4" s="4">
        <v>3848</v>
      </c>
      <c r="M4" s="4">
        <v>3490</v>
      </c>
      <c r="N4" s="4">
        <v>3733</v>
      </c>
      <c r="O4" s="4">
        <v>4143</v>
      </c>
      <c r="T4" s="9"/>
      <c r="U4" s="9"/>
      <c r="V4" s="9"/>
      <c r="W4" s="9"/>
      <c r="X4" s="9"/>
      <c r="Y4" s="9"/>
      <c r="Z4" s="9"/>
    </row>
    <row r="5" spans="1:26" s="4" customFormat="1" x14ac:dyDescent="0.25">
      <c r="B5" s="4" t="s">
        <v>8</v>
      </c>
      <c r="I5" s="4">
        <v>1539</v>
      </c>
      <c r="J5" s="4">
        <v>1657</v>
      </c>
      <c r="K5" s="4">
        <v>1723</v>
      </c>
      <c r="L5" s="4">
        <v>1752</v>
      </c>
      <c r="M5" s="4">
        <v>1505</v>
      </c>
      <c r="N5" s="4">
        <v>1683</v>
      </c>
      <c r="O5" s="4">
        <v>1817</v>
      </c>
      <c r="T5" s="9"/>
      <c r="U5" s="9"/>
      <c r="V5" s="9"/>
      <c r="W5" s="9"/>
      <c r="X5" s="9"/>
      <c r="Y5" s="9"/>
      <c r="Z5" s="9"/>
    </row>
    <row r="6" spans="1:26" s="4" customFormat="1" x14ac:dyDescent="0.25">
      <c r="B6" s="4" t="s">
        <v>9</v>
      </c>
      <c r="I6" s="4">
        <v>2873</v>
      </c>
      <c r="J6" s="4">
        <v>2674</v>
      </c>
      <c r="K6" s="4">
        <v>3147</v>
      </c>
      <c r="L6" s="4">
        <v>3249</v>
      </c>
      <c r="M6" s="4">
        <v>2880</v>
      </c>
      <c r="N6" s="4">
        <v>2722</v>
      </c>
      <c r="O6" s="4">
        <v>3220</v>
      </c>
      <c r="T6" s="9"/>
      <c r="U6" s="9"/>
      <c r="V6" s="9"/>
      <c r="W6" s="9"/>
      <c r="X6" s="9"/>
      <c r="Y6" s="9"/>
      <c r="Z6" s="9"/>
    </row>
    <row r="7" spans="1:26" s="4" customFormat="1" x14ac:dyDescent="0.25">
      <c r="B7" s="4" t="s">
        <v>10</v>
      </c>
      <c r="I7" s="4">
        <v>7169</v>
      </c>
      <c r="J7" s="4">
        <v>7265</v>
      </c>
      <c r="K7" s="4">
        <v>7710</v>
      </c>
      <c r="L7" s="4">
        <v>7575</v>
      </c>
      <c r="M7" s="4">
        <v>6948</v>
      </c>
      <c r="N7" s="4">
        <v>7385</v>
      </c>
      <c r="O7" s="4">
        <v>7793</v>
      </c>
      <c r="T7" s="9"/>
      <c r="U7" s="9"/>
      <c r="V7" s="9"/>
      <c r="W7" s="9"/>
      <c r="X7" s="9"/>
      <c r="Y7" s="9"/>
      <c r="Z7" s="9"/>
    </row>
    <row r="8" spans="1:26" s="4" customFormat="1" x14ac:dyDescent="0.25">
      <c r="B8" s="4" t="s">
        <v>11</v>
      </c>
      <c r="I8" s="4">
        <v>4936</v>
      </c>
      <c r="J8" s="4">
        <v>5009</v>
      </c>
      <c r="K8" s="4">
        <v>5102</v>
      </c>
      <c r="L8" s="4">
        <v>5298</v>
      </c>
      <c r="M8" s="4">
        <v>4755</v>
      </c>
      <c r="N8" s="4">
        <v>5093</v>
      </c>
      <c r="O8" s="4">
        <v>5171</v>
      </c>
      <c r="T8" s="9"/>
      <c r="U8" s="9"/>
      <c r="V8" s="9"/>
      <c r="W8" s="9"/>
      <c r="X8" s="9"/>
      <c r="Y8" s="9"/>
      <c r="Z8" s="9"/>
    </row>
    <row r="9" spans="1:26" s="4" customFormat="1" x14ac:dyDescent="0.25">
      <c r="B9" s="4" t="s">
        <v>12</v>
      </c>
      <c r="I9" s="4">
        <v>128</v>
      </c>
      <c r="J9" s="4">
        <v>202</v>
      </c>
      <c r="K9" s="4">
        <v>163</v>
      </c>
      <c r="L9" s="4">
        <v>159</v>
      </c>
      <c r="M9" s="4">
        <v>198</v>
      </c>
      <c r="N9" s="4">
        <v>274</v>
      </c>
      <c r="O9" s="4">
        <v>242</v>
      </c>
      <c r="T9" s="9"/>
      <c r="U9" s="9"/>
      <c r="V9" s="9"/>
      <c r="W9" s="9"/>
      <c r="X9" s="9"/>
      <c r="Y9" s="9"/>
      <c r="Z9" s="9"/>
    </row>
    <row r="10" spans="1:26" s="5" customFormat="1" ht="13" x14ac:dyDescent="0.3">
      <c r="B10" s="5" t="s">
        <v>13</v>
      </c>
      <c r="C10" s="5">
        <v>20612</v>
      </c>
      <c r="D10" s="5">
        <v>20773</v>
      </c>
      <c r="E10" s="5">
        <v>20068</v>
      </c>
      <c r="F10" s="5">
        <v>20553</v>
      </c>
      <c r="G10" s="5">
        <v>21871</v>
      </c>
      <c r="H10" s="5">
        <v>21441</v>
      </c>
      <c r="I10" s="5">
        <f>SUM(I4:I9)</f>
        <v>20195</v>
      </c>
      <c r="J10" s="5">
        <f>SUM(J4:J9)</f>
        <v>20531</v>
      </c>
      <c r="K10" s="5">
        <f>SUM(K4:K9)</f>
        <v>21737</v>
      </c>
      <c r="L10" s="5">
        <f>SUM(L4:L9)</f>
        <v>21881</v>
      </c>
      <c r="M10" s="5">
        <f>SUM(M4:M9)</f>
        <v>19776</v>
      </c>
      <c r="N10" s="5">
        <f>SUM(N4:N9)</f>
        <v>20890</v>
      </c>
      <c r="O10" s="5">
        <f>SUM(O4:O9)</f>
        <v>22386</v>
      </c>
      <c r="P10" s="5">
        <f t="shared" ref="O10:R10" si="0">+L10*1.03</f>
        <v>22537.43</v>
      </c>
      <c r="Q10" s="5">
        <f t="shared" si="0"/>
        <v>20369.28</v>
      </c>
      <c r="R10" s="5">
        <f t="shared" si="0"/>
        <v>21516.7</v>
      </c>
      <c r="T10" s="10">
        <v>67684</v>
      </c>
      <c r="U10" s="10">
        <v>70950</v>
      </c>
      <c r="V10" s="10">
        <v>76118</v>
      </c>
      <c r="W10" s="10">
        <v>80187</v>
      </c>
      <c r="X10" s="10">
        <f>SUM(C10:F10)</f>
        <v>82006</v>
      </c>
      <c r="Y10" s="10">
        <f>SUM(G10:J10)</f>
        <v>84038</v>
      </c>
      <c r="Z10" s="10">
        <f>SUM(K10:N10)</f>
        <v>84284</v>
      </c>
    </row>
    <row r="11" spans="1:26" s="4" customFormat="1" x14ac:dyDescent="0.25">
      <c r="B11" s="4" t="s">
        <v>14</v>
      </c>
      <c r="C11" s="4">
        <v>10846</v>
      </c>
      <c r="D11" s="4">
        <v>10897</v>
      </c>
      <c r="E11" s="4">
        <v>10404</v>
      </c>
      <c r="F11" s="4">
        <v>10613</v>
      </c>
      <c r="G11" s="4">
        <v>10501</v>
      </c>
      <c r="H11" s="4">
        <v>10144</v>
      </c>
      <c r="I11" s="4">
        <v>9855</v>
      </c>
      <c r="J11" s="4">
        <v>10348</v>
      </c>
      <c r="K11" s="4">
        <v>10421</v>
      </c>
      <c r="L11" s="4">
        <v>10418</v>
      </c>
      <c r="M11" s="4">
        <v>9694</v>
      </c>
      <c r="N11" s="4">
        <v>10631</v>
      </c>
      <c r="O11" s="4">
        <v>10887</v>
      </c>
      <c r="T11" s="9">
        <v>34768</v>
      </c>
      <c r="U11" s="9">
        <v>35250</v>
      </c>
      <c r="V11" s="9">
        <v>37108</v>
      </c>
      <c r="W11" s="9">
        <v>42157</v>
      </c>
      <c r="X11" s="9">
        <f>SUM(C11:F11)</f>
        <v>42760</v>
      </c>
      <c r="Y11" s="9">
        <f>SUM(G11:J11)</f>
        <v>40848</v>
      </c>
      <c r="Z11" s="9">
        <f>SUM(K11:N11)</f>
        <v>41164</v>
      </c>
    </row>
    <row r="12" spans="1:26" s="4" customFormat="1" x14ac:dyDescent="0.25">
      <c r="B12" s="4" t="s">
        <v>15</v>
      </c>
      <c r="C12" s="4">
        <f t="shared" ref="C12:O12" si="1">+C10-C11</f>
        <v>9766</v>
      </c>
      <c r="D12" s="4">
        <f t="shared" si="1"/>
        <v>9876</v>
      </c>
      <c r="E12" s="4">
        <f t="shared" si="1"/>
        <v>9664</v>
      </c>
      <c r="F12" s="4">
        <f t="shared" si="1"/>
        <v>9940</v>
      </c>
      <c r="G12" s="4">
        <f t="shared" si="1"/>
        <v>11370</v>
      </c>
      <c r="H12" s="4">
        <f t="shared" si="1"/>
        <v>11297</v>
      </c>
      <c r="I12" s="4">
        <f t="shared" si="1"/>
        <v>10340</v>
      </c>
      <c r="J12" s="4">
        <f t="shared" si="1"/>
        <v>10183</v>
      </c>
      <c r="K12" s="4">
        <f t="shared" si="1"/>
        <v>11316</v>
      </c>
      <c r="L12" s="4">
        <f t="shared" si="1"/>
        <v>11463</v>
      </c>
      <c r="M12" s="4">
        <f t="shared" si="1"/>
        <v>10082</v>
      </c>
      <c r="N12" s="4">
        <f t="shared" si="1"/>
        <v>10259</v>
      </c>
      <c r="O12" s="4">
        <f t="shared" si="1"/>
        <v>11499</v>
      </c>
      <c r="T12" s="9">
        <f t="shared" ref="T12:Z12" si="2">+T10-T11</f>
        <v>32916</v>
      </c>
      <c r="U12" s="9">
        <f t="shared" si="2"/>
        <v>35700</v>
      </c>
      <c r="V12" s="9">
        <f t="shared" si="2"/>
        <v>39010</v>
      </c>
      <c r="W12" s="9">
        <f t="shared" si="2"/>
        <v>38030</v>
      </c>
      <c r="X12" s="9">
        <f t="shared" si="2"/>
        <v>39246</v>
      </c>
      <c r="Y12" s="9">
        <f t="shared" si="2"/>
        <v>43190</v>
      </c>
      <c r="Z12" s="9">
        <f t="shared" si="2"/>
        <v>43120</v>
      </c>
    </row>
    <row r="13" spans="1:26" s="4" customFormat="1" x14ac:dyDescent="0.25">
      <c r="B13" s="4" t="s">
        <v>16</v>
      </c>
      <c r="C13" s="4">
        <v>4827</v>
      </c>
      <c r="D13" s="4">
        <v>5091</v>
      </c>
      <c r="E13" s="4">
        <v>5416</v>
      </c>
      <c r="F13" s="4">
        <v>5778</v>
      </c>
      <c r="G13" s="4">
        <v>5604</v>
      </c>
      <c r="H13" s="4">
        <v>5522</v>
      </c>
      <c r="I13" s="4">
        <v>5880</v>
      </c>
      <c r="J13" s="4">
        <v>6299</v>
      </c>
      <c r="K13" s="4">
        <v>5519</v>
      </c>
      <c r="L13" s="4">
        <v>5723</v>
      </c>
      <c r="M13" s="4">
        <v>5524</v>
      </c>
      <c r="N13" s="4">
        <v>5903</v>
      </c>
      <c r="O13" s="4">
        <v>5643</v>
      </c>
      <c r="T13" s="9">
        <v>19084</v>
      </c>
      <c r="U13" s="9">
        <v>19994</v>
      </c>
      <c r="V13" s="9">
        <v>21024</v>
      </c>
      <c r="W13" s="9">
        <v>20217</v>
      </c>
      <c r="X13" s="9">
        <f>SUM(C13:F13)</f>
        <v>21112</v>
      </c>
      <c r="Y13" s="9">
        <f>SUM(G13:J13)</f>
        <v>23305</v>
      </c>
      <c r="Z13" s="9">
        <f>SUM(K13:N13)</f>
        <v>22669</v>
      </c>
    </row>
    <row r="14" spans="1:26" s="4" customFormat="1" x14ac:dyDescent="0.25">
      <c r="B14" s="4" t="s">
        <v>17</v>
      </c>
      <c r="C14" s="4">
        <f t="shared" ref="C14:O14" si="3">+C12-C13</f>
        <v>4939</v>
      </c>
      <c r="D14" s="4">
        <f t="shared" si="3"/>
        <v>4785</v>
      </c>
      <c r="E14" s="4">
        <f t="shared" si="3"/>
        <v>4248</v>
      </c>
      <c r="F14" s="4">
        <f t="shared" si="3"/>
        <v>4162</v>
      </c>
      <c r="G14" s="4">
        <f t="shared" si="3"/>
        <v>5766</v>
      </c>
      <c r="H14" s="4">
        <f t="shared" si="3"/>
        <v>5775</v>
      </c>
      <c r="I14" s="4">
        <f t="shared" si="3"/>
        <v>4460</v>
      </c>
      <c r="J14" s="4">
        <f t="shared" si="3"/>
        <v>3884</v>
      </c>
      <c r="K14" s="4">
        <f t="shared" si="3"/>
        <v>5797</v>
      </c>
      <c r="L14" s="4">
        <f t="shared" si="3"/>
        <v>5740</v>
      </c>
      <c r="M14" s="4">
        <f t="shared" si="3"/>
        <v>4558</v>
      </c>
      <c r="N14" s="4">
        <f t="shared" si="3"/>
        <v>4356</v>
      </c>
      <c r="O14" s="4">
        <f t="shared" si="3"/>
        <v>5856</v>
      </c>
      <c r="T14" s="9">
        <f t="shared" ref="T14:Z14" si="4">+T12-T13</f>
        <v>13832</v>
      </c>
      <c r="U14" s="9">
        <f t="shared" si="4"/>
        <v>15706</v>
      </c>
      <c r="V14" s="9">
        <f t="shared" si="4"/>
        <v>17986</v>
      </c>
      <c r="W14" s="9">
        <f t="shared" si="4"/>
        <v>17813</v>
      </c>
      <c r="X14" s="9">
        <f t="shared" si="4"/>
        <v>18134</v>
      </c>
      <c r="Y14" s="9">
        <f t="shared" si="4"/>
        <v>19885</v>
      </c>
      <c r="Z14" s="9">
        <f t="shared" si="4"/>
        <v>20451</v>
      </c>
    </row>
    <row r="15" spans="1:26" x14ac:dyDescent="0.25">
      <c r="B15" s="1" t="s">
        <v>18</v>
      </c>
      <c r="C15" s="1">
        <f>-123+42+139</f>
        <v>58</v>
      </c>
      <c r="D15" s="1">
        <f>-171+66+155</f>
        <v>50</v>
      </c>
      <c r="E15" s="1">
        <f>-222+83+179</f>
        <v>40</v>
      </c>
      <c r="F15" s="1">
        <f>-240+116+195</f>
        <v>71</v>
      </c>
      <c r="G15" s="1">
        <f>-225+128+132</f>
        <v>35</v>
      </c>
      <c r="H15" s="1">
        <f>-248+133+77</f>
        <v>-38</v>
      </c>
      <c r="I15" s="1">
        <f>-233+104+260</f>
        <v>131</v>
      </c>
      <c r="J15" s="1">
        <f>-220+107+98</f>
        <v>-15</v>
      </c>
      <c r="K15" s="1">
        <f>-238+135-554</f>
        <v>-657</v>
      </c>
      <c r="L15" s="1">
        <f>-240+119+224</f>
        <v>103</v>
      </c>
      <c r="M15" s="1">
        <f>-217+111</f>
        <v>-106</v>
      </c>
      <c r="N15" s="1">
        <f>-212+104</f>
        <v>-108</v>
      </c>
      <c r="O15" s="1">
        <f>-197+108</f>
        <v>-89</v>
      </c>
      <c r="T15" s="9">
        <f>-509+220+871</f>
        <v>582</v>
      </c>
      <c r="U15" s="9">
        <f>-465+155+438</f>
        <v>128</v>
      </c>
      <c r="V15" s="9">
        <f>-502+45+86</f>
        <v>-371</v>
      </c>
      <c r="W15" s="9">
        <f>-439+51+570</f>
        <v>182</v>
      </c>
      <c r="X15" s="9">
        <f>SUM(C15:F15)</f>
        <v>219</v>
      </c>
      <c r="Y15" s="9">
        <f>SUM(G15:J15)</f>
        <v>113</v>
      </c>
      <c r="Z15" s="9">
        <f>SUM(K15:N15)</f>
        <v>-768</v>
      </c>
    </row>
    <row r="16" spans="1:26" x14ac:dyDescent="0.25">
      <c r="B16" s="1" t="s">
        <v>19</v>
      </c>
      <c r="C16" s="4">
        <f t="shared" ref="C16:O16" si="5">+C14+C15</f>
        <v>4997</v>
      </c>
      <c r="D16" s="4">
        <f t="shared" si="5"/>
        <v>4835</v>
      </c>
      <c r="E16" s="4">
        <f t="shared" si="5"/>
        <v>4288</v>
      </c>
      <c r="F16" s="4">
        <f t="shared" si="5"/>
        <v>4233</v>
      </c>
      <c r="G16" s="4">
        <f t="shared" si="5"/>
        <v>5801</v>
      </c>
      <c r="H16" s="4">
        <f t="shared" si="5"/>
        <v>5737</v>
      </c>
      <c r="I16" s="4">
        <f t="shared" si="5"/>
        <v>4591</v>
      </c>
      <c r="J16" s="4">
        <f t="shared" si="5"/>
        <v>3869</v>
      </c>
      <c r="K16" s="4">
        <f t="shared" si="5"/>
        <v>5140</v>
      </c>
      <c r="L16" s="4">
        <f t="shared" si="5"/>
        <v>5843</v>
      </c>
      <c r="M16" s="4">
        <f t="shared" si="5"/>
        <v>4452</v>
      </c>
      <c r="N16" s="4">
        <f t="shared" si="5"/>
        <v>4248</v>
      </c>
      <c r="O16" s="4">
        <f t="shared" si="5"/>
        <v>5767</v>
      </c>
      <c r="P16" s="4"/>
      <c r="Q16" s="4"/>
      <c r="R16" s="4"/>
      <c r="T16" s="9">
        <f>+T14+T15</f>
        <v>14414</v>
      </c>
      <c r="U16" s="9">
        <f>+U14+U15</f>
        <v>15834</v>
      </c>
      <c r="V16" s="9">
        <f>+V14+V15</f>
        <v>17615</v>
      </c>
      <c r="W16" s="9">
        <f>+W14+W15</f>
        <v>17995</v>
      </c>
      <c r="X16" s="9">
        <f>+X14+X15</f>
        <v>18353</v>
      </c>
      <c r="Y16" s="9">
        <f t="shared" ref="Y16:Z16" si="6">+Y14+Y15</f>
        <v>19998</v>
      </c>
      <c r="Z16" s="9">
        <f t="shared" si="6"/>
        <v>19683</v>
      </c>
    </row>
    <row r="17" spans="2:134" x14ac:dyDescent="0.25">
      <c r="B17" s="1" t="s">
        <v>20</v>
      </c>
      <c r="C17" s="4">
        <f>1034+24</f>
        <v>1058</v>
      </c>
      <c r="D17" s="4">
        <f>876+26</f>
        <v>902</v>
      </c>
      <c r="E17" s="4">
        <f>864+27</f>
        <v>891</v>
      </c>
      <c r="F17" s="4">
        <f>841+8</f>
        <v>849</v>
      </c>
      <c r="G17" s="4">
        <f>1246+35</f>
        <v>1281</v>
      </c>
      <c r="H17" s="4">
        <f>1003+25</f>
        <v>1028</v>
      </c>
      <c r="I17" s="4">
        <f>812+27</f>
        <v>839</v>
      </c>
      <c r="J17" s="4">
        <f>726+7</f>
        <v>733</v>
      </c>
      <c r="K17" s="4">
        <f>1152+28</f>
        <v>1180</v>
      </c>
      <c r="L17" s="4">
        <f>1187+29</f>
        <v>1216</v>
      </c>
      <c r="M17" s="4">
        <f>868+23</f>
        <v>891</v>
      </c>
      <c r="N17" s="4">
        <f>895+11</f>
        <v>906</v>
      </c>
      <c r="O17" s="4">
        <f>1253+31</f>
        <v>1284</v>
      </c>
      <c r="P17" s="4"/>
      <c r="Q17" s="4"/>
      <c r="R17" s="4"/>
      <c r="T17" s="9">
        <f>2103+69</f>
        <v>2172</v>
      </c>
      <c r="U17" s="9">
        <f>2731+76</f>
        <v>2807</v>
      </c>
      <c r="V17" s="9">
        <f>3263+46</f>
        <v>3309</v>
      </c>
      <c r="W17" s="9">
        <f>3202+51</f>
        <v>3253</v>
      </c>
      <c r="X17" s="9">
        <f>SUM(C17:F17)</f>
        <v>3700</v>
      </c>
      <c r="Y17" s="9">
        <f>SUM(G17:J17)</f>
        <v>3881</v>
      </c>
      <c r="Z17" s="9">
        <f>SUM(K17:N17)</f>
        <v>4193</v>
      </c>
    </row>
    <row r="18" spans="2:134" x14ac:dyDescent="0.25">
      <c r="B18" s="1" t="s">
        <v>21</v>
      </c>
      <c r="C18" s="4">
        <f t="shared" ref="C18:O18" si="7">+C16-C17</f>
        <v>3939</v>
      </c>
      <c r="D18" s="4">
        <f t="shared" si="7"/>
        <v>3933</v>
      </c>
      <c r="E18" s="4">
        <f t="shared" si="7"/>
        <v>3397</v>
      </c>
      <c r="F18" s="4">
        <f t="shared" si="7"/>
        <v>3384</v>
      </c>
      <c r="G18" s="4">
        <f t="shared" si="7"/>
        <v>4520</v>
      </c>
      <c r="H18" s="4">
        <f t="shared" si="7"/>
        <v>4709</v>
      </c>
      <c r="I18" s="4">
        <f t="shared" si="7"/>
        <v>3752</v>
      </c>
      <c r="J18" s="4">
        <f t="shared" si="7"/>
        <v>3136</v>
      </c>
      <c r="K18" s="4">
        <f t="shared" si="7"/>
        <v>3960</v>
      </c>
      <c r="L18" s="4">
        <f t="shared" si="7"/>
        <v>4627</v>
      </c>
      <c r="M18" s="4">
        <f t="shared" si="7"/>
        <v>3561</v>
      </c>
      <c r="N18" s="4">
        <f t="shared" si="7"/>
        <v>3342</v>
      </c>
      <c r="O18" s="4">
        <f t="shared" si="7"/>
        <v>4483</v>
      </c>
      <c r="P18" s="4"/>
      <c r="Q18" s="4"/>
      <c r="R18" s="4"/>
      <c r="T18" s="9">
        <f t="shared" ref="T18:Z18" si="8">+T16-T17</f>
        <v>12242</v>
      </c>
      <c r="U18" s="9">
        <f t="shared" si="8"/>
        <v>13027</v>
      </c>
      <c r="V18" s="9">
        <f t="shared" si="8"/>
        <v>14306</v>
      </c>
      <c r="W18" s="9">
        <f t="shared" si="8"/>
        <v>14742</v>
      </c>
      <c r="X18" s="9">
        <f t="shared" si="8"/>
        <v>14653</v>
      </c>
      <c r="Y18" s="9">
        <f t="shared" si="8"/>
        <v>16117</v>
      </c>
      <c r="Z18" s="9">
        <f t="shared" si="8"/>
        <v>15490</v>
      </c>
      <c r="AA18" s="4">
        <f>+Z18*(1+$AD$25)</f>
        <v>15799.800000000001</v>
      </c>
      <c r="AB18" s="4">
        <f t="shared" ref="AB18:CM18" si="9">+AA18*(1+$AD$25)</f>
        <v>16115.796000000002</v>
      </c>
      <c r="AC18" s="4">
        <f t="shared" si="9"/>
        <v>16438.111920000003</v>
      </c>
      <c r="AD18" s="4">
        <f t="shared" si="9"/>
        <v>16766.874158400002</v>
      </c>
      <c r="AE18" s="4">
        <f t="shared" si="9"/>
        <v>17102.211641568003</v>
      </c>
      <c r="AF18" s="4">
        <f t="shared" si="9"/>
        <v>17444.255874399365</v>
      </c>
      <c r="AG18" s="4">
        <f t="shared" si="9"/>
        <v>17793.140991887354</v>
      </c>
      <c r="AH18" s="4">
        <f t="shared" si="9"/>
        <v>18149.003811725102</v>
      </c>
      <c r="AI18" s="4">
        <f t="shared" si="9"/>
        <v>18511.983887959606</v>
      </c>
      <c r="AJ18" s="4">
        <f t="shared" si="9"/>
        <v>18882.223565718799</v>
      </c>
      <c r="AK18" s="4">
        <f t="shared" si="9"/>
        <v>19259.868037033175</v>
      </c>
      <c r="AL18" s="4">
        <f t="shared" si="9"/>
        <v>19645.06539777384</v>
      </c>
      <c r="AM18" s="4">
        <f t="shared" si="9"/>
        <v>20037.966705729319</v>
      </c>
      <c r="AN18" s="4">
        <f t="shared" si="9"/>
        <v>20438.726039843907</v>
      </c>
      <c r="AO18" s="4">
        <f t="shared" si="9"/>
        <v>20847.500560640787</v>
      </c>
      <c r="AP18" s="4">
        <f t="shared" si="9"/>
        <v>21264.450571853602</v>
      </c>
      <c r="AQ18" s="4">
        <f t="shared" si="9"/>
        <v>21689.739583290673</v>
      </c>
      <c r="AR18" s="4">
        <f t="shared" si="9"/>
        <v>22123.534374956485</v>
      </c>
      <c r="AS18" s="4">
        <f t="shared" si="9"/>
        <v>22566.005062455617</v>
      </c>
      <c r="AT18" s="4">
        <f t="shared" si="9"/>
        <v>23017.325163704729</v>
      </c>
      <c r="AU18" s="4">
        <f t="shared" si="9"/>
        <v>23477.671666978822</v>
      </c>
      <c r="AV18" s="4">
        <f t="shared" si="9"/>
        <v>23947.225100318399</v>
      </c>
      <c r="AW18" s="4">
        <f t="shared" si="9"/>
        <v>24426.169602324768</v>
      </c>
      <c r="AX18" s="4">
        <f t="shared" si="9"/>
        <v>24914.692994371264</v>
      </c>
      <c r="AY18" s="4">
        <f t="shared" si="9"/>
        <v>25412.986854258688</v>
      </c>
      <c r="AZ18" s="4">
        <f t="shared" si="9"/>
        <v>25921.246591343861</v>
      </c>
      <c r="BA18" s="4">
        <f t="shared" si="9"/>
        <v>26439.671523170739</v>
      </c>
      <c r="BB18" s="4">
        <f t="shared" si="9"/>
        <v>26968.464953634153</v>
      </c>
      <c r="BC18" s="4">
        <f t="shared" si="9"/>
        <v>27507.834252706838</v>
      </c>
      <c r="BD18" s="4">
        <f t="shared" si="9"/>
        <v>28057.990937760977</v>
      </c>
      <c r="BE18" s="4">
        <f t="shared" si="9"/>
        <v>28619.150756516196</v>
      </c>
      <c r="BF18" s="4">
        <f t="shared" si="9"/>
        <v>29191.533771646518</v>
      </c>
      <c r="BG18" s="4">
        <f t="shared" si="9"/>
        <v>29775.36444707945</v>
      </c>
      <c r="BH18" s="4">
        <f t="shared" si="9"/>
        <v>30370.871736021039</v>
      </c>
      <c r="BI18" s="4">
        <f t="shared" si="9"/>
        <v>30978.28917074146</v>
      </c>
      <c r="BJ18" s="4">
        <f t="shared" si="9"/>
        <v>31597.85495415629</v>
      </c>
      <c r="BK18" s="4">
        <f t="shared" si="9"/>
        <v>32229.812053239417</v>
      </c>
      <c r="BL18" s="4">
        <f t="shared" si="9"/>
        <v>32874.408294304209</v>
      </c>
      <c r="BM18" s="4">
        <f t="shared" si="9"/>
        <v>33531.896460190292</v>
      </c>
      <c r="BN18" s="4">
        <f t="shared" si="9"/>
        <v>34202.534389394095</v>
      </c>
      <c r="BO18" s="4">
        <f t="shared" si="9"/>
        <v>34886.585077181975</v>
      </c>
      <c r="BP18" s="4">
        <f t="shared" si="9"/>
        <v>35584.316778725617</v>
      </c>
      <c r="BQ18" s="4">
        <f t="shared" si="9"/>
        <v>36296.003114300132</v>
      </c>
      <c r="BR18" s="4">
        <f t="shared" si="9"/>
        <v>37021.923176586133</v>
      </c>
      <c r="BS18" s="4">
        <f t="shared" si="9"/>
        <v>37762.361640117859</v>
      </c>
      <c r="BT18" s="4">
        <f t="shared" si="9"/>
        <v>38517.608872920217</v>
      </c>
      <c r="BU18" s="4">
        <f t="shared" si="9"/>
        <v>39287.961050378624</v>
      </c>
      <c r="BV18" s="4">
        <f t="shared" si="9"/>
        <v>40073.720271386199</v>
      </c>
      <c r="BW18" s="4">
        <f t="shared" si="9"/>
        <v>40875.194676813924</v>
      </c>
      <c r="BX18" s="4">
        <f t="shared" si="9"/>
        <v>41692.698570350207</v>
      </c>
      <c r="BY18" s="4">
        <f t="shared" si="9"/>
        <v>42526.552541757213</v>
      </c>
      <c r="BZ18" s="4">
        <f t="shared" si="9"/>
        <v>43377.08359259236</v>
      </c>
      <c r="CA18" s="4">
        <f t="shared" si="9"/>
        <v>44244.625264444207</v>
      </c>
      <c r="CB18" s="4">
        <f t="shared" si="9"/>
        <v>45129.517769733095</v>
      </c>
      <c r="CC18" s="4">
        <f t="shared" si="9"/>
        <v>46032.108125127757</v>
      </c>
      <c r="CD18" s="4">
        <f t="shared" si="9"/>
        <v>46952.750287630312</v>
      </c>
      <c r="CE18" s="4">
        <f t="shared" si="9"/>
        <v>47891.805293382917</v>
      </c>
      <c r="CF18" s="4">
        <f t="shared" si="9"/>
        <v>48849.641399250577</v>
      </c>
      <c r="CG18" s="4">
        <f t="shared" si="9"/>
        <v>49826.634227235591</v>
      </c>
      <c r="CH18" s="4">
        <f t="shared" si="9"/>
        <v>50823.166911780303</v>
      </c>
      <c r="CI18" s="4">
        <f t="shared" si="9"/>
        <v>51839.630250015907</v>
      </c>
      <c r="CJ18" s="4">
        <f t="shared" si="9"/>
        <v>52876.42285501623</v>
      </c>
      <c r="CK18" s="4">
        <f t="shared" si="9"/>
        <v>53933.951312116558</v>
      </c>
      <c r="CL18" s="4">
        <f t="shared" si="9"/>
        <v>55012.630338358889</v>
      </c>
      <c r="CM18" s="4">
        <f t="shared" si="9"/>
        <v>56112.882945126068</v>
      </c>
      <c r="CN18" s="4">
        <f t="shared" ref="CN18:ED18" si="10">+CM18*(1+$AD$25)</f>
        <v>57235.140604028587</v>
      </c>
      <c r="CO18" s="4">
        <f t="shared" si="10"/>
        <v>58379.843416109157</v>
      </c>
      <c r="CP18" s="4">
        <f t="shared" si="10"/>
        <v>59547.440284431344</v>
      </c>
      <c r="CQ18" s="4">
        <f t="shared" si="10"/>
        <v>60738.38909011997</v>
      </c>
      <c r="CR18" s="4">
        <f t="shared" si="10"/>
        <v>61953.156871922372</v>
      </c>
      <c r="CS18" s="4">
        <f t="shared" si="10"/>
        <v>63192.220009360819</v>
      </c>
      <c r="CT18" s="4">
        <f t="shared" si="10"/>
        <v>64456.064409548038</v>
      </c>
      <c r="CU18" s="4">
        <f t="shared" si="10"/>
        <v>65745.185697738998</v>
      </c>
      <c r="CV18" s="4">
        <f t="shared" si="10"/>
        <v>67060.089411693785</v>
      </c>
      <c r="CW18" s="4">
        <f t="shared" si="10"/>
        <v>68401.291199927669</v>
      </c>
      <c r="CX18" s="4">
        <f t="shared" si="10"/>
        <v>69769.317023926225</v>
      </c>
      <c r="CY18" s="4">
        <f t="shared" si="10"/>
        <v>71164.703364404748</v>
      </c>
      <c r="CZ18" s="4">
        <f t="shared" si="10"/>
        <v>72587.997431692842</v>
      </c>
      <c r="DA18" s="4">
        <f t="shared" si="10"/>
        <v>74039.757380326701</v>
      </c>
      <c r="DB18" s="4">
        <f t="shared" si="10"/>
        <v>75520.552527933236</v>
      </c>
      <c r="DC18" s="4">
        <f t="shared" si="10"/>
        <v>77030.963578491908</v>
      </c>
      <c r="DD18" s="4">
        <f t="shared" si="10"/>
        <v>78571.58285006175</v>
      </c>
      <c r="DE18" s="4">
        <f t="shared" si="10"/>
        <v>80143.014507062981</v>
      </c>
      <c r="DF18" s="4">
        <f t="shared" si="10"/>
        <v>81745.874797204247</v>
      </c>
      <c r="DG18" s="4">
        <f t="shared" si="10"/>
        <v>83380.792293148334</v>
      </c>
      <c r="DH18" s="4">
        <f t="shared" si="10"/>
        <v>85048.408139011299</v>
      </c>
      <c r="DI18" s="4">
        <f t="shared" si="10"/>
        <v>86749.376301791533</v>
      </c>
      <c r="DJ18" s="4">
        <f t="shared" si="10"/>
        <v>88484.363827827372</v>
      </c>
      <c r="DK18" s="4">
        <f t="shared" si="10"/>
        <v>90254.051104383921</v>
      </c>
      <c r="DL18" s="4">
        <f t="shared" si="10"/>
        <v>92059.132126471595</v>
      </c>
      <c r="DM18" s="4">
        <f t="shared" si="10"/>
        <v>93900.314769001023</v>
      </c>
      <c r="DN18" s="4">
        <f t="shared" si="10"/>
        <v>95778.321064381045</v>
      </c>
      <c r="DO18" s="4">
        <f t="shared" si="10"/>
        <v>97693.887485668674</v>
      </c>
      <c r="DP18" s="4">
        <f t="shared" si="10"/>
        <v>99647.765235382045</v>
      </c>
      <c r="DQ18" s="4">
        <f t="shared" si="10"/>
        <v>101640.72054008969</v>
      </c>
      <c r="DR18" s="4">
        <f t="shared" si="10"/>
        <v>103673.5349508915</v>
      </c>
      <c r="DS18" s="4">
        <f t="shared" si="10"/>
        <v>105747.00564990933</v>
      </c>
      <c r="DT18" s="4">
        <f t="shared" si="10"/>
        <v>107861.94576290752</v>
      </c>
      <c r="DU18" s="4">
        <f t="shared" si="10"/>
        <v>110019.18467816566</v>
      </c>
      <c r="DV18" s="4">
        <f t="shared" si="10"/>
        <v>112219.56837172898</v>
      </c>
      <c r="DW18" s="4">
        <f t="shared" si="10"/>
        <v>114463.95973916356</v>
      </c>
      <c r="DX18" s="4">
        <f t="shared" si="10"/>
        <v>116753.23893394684</v>
      </c>
      <c r="DY18" s="4">
        <f t="shared" si="10"/>
        <v>119088.30371262577</v>
      </c>
      <c r="DZ18" s="4">
        <f t="shared" si="10"/>
        <v>121470.06978687829</v>
      </c>
      <c r="EA18" s="4">
        <f t="shared" si="10"/>
        <v>123899.47118261586</v>
      </c>
      <c r="EB18" s="4">
        <f t="shared" si="10"/>
        <v>126377.46060626819</v>
      </c>
      <c r="EC18" s="4">
        <f t="shared" si="10"/>
        <v>128905.00981839355</v>
      </c>
      <c r="ED18" s="4">
        <f t="shared" si="10"/>
        <v>131483.11001476142</v>
      </c>
    </row>
    <row r="19" spans="2:134" x14ac:dyDescent="0.25">
      <c r="B19" s="1" t="s">
        <v>22</v>
      </c>
      <c r="C19" s="2">
        <f t="shared" ref="C19:O19" si="11">+C18/C20</f>
        <v>1.5733343984662087</v>
      </c>
      <c r="D19" s="2">
        <f t="shared" si="11"/>
        <v>1.5851201031758828</v>
      </c>
      <c r="E19" s="2">
        <f t="shared" si="11"/>
        <v>1.3735241792010351</v>
      </c>
      <c r="F19" s="2">
        <f t="shared" si="11"/>
        <v>1.3658930373360243</v>
      </c>
      <c r="G19" s="2">
        <f t="shared" si="11"/>
        <v>1.8261150614091792</v>
      </c>
      <c r="H19" s="2">
        <f t="shared" si="11"/>
        <v>1.9077134986225894</v>
      </c>
      <c r="I19" s="2">
        <f t="shared" si="11"/>
        <v>1.5176765633848395</v>
      </c>
      <c r="J19" s="2">
        <f t="shared" si="11"/>
        <v>1.2685057843216569</v>
      </c>
      <c r="K19" s="2">
        <f t="shared" si="11"/>
        <v>1.6058394160583942</v>
      </c>
      <c r="L19" s="2">
        <f t="shared" si="11"/>
        <v>1.8823481550791261</v>
      </c>
      <c r="M19" s="2">
        <f t="shared" si="11"/>
        <v>1.4535880480039185</v>
      </c>
      <c r="N19" s="2">
        <f t="shared" si="11"/>
        <v>1.3675423520746377</v>
      </c>
      <c r="O19" s="2">
        <f t="shared" si="11"/>
        <v>1.8397078135259355</v>
      </c>
      <c r="P19" s="2"/>
      <c r="Q19" s="2"/>
      <c r="R19" s="2"/>
      <c r="T19" s="2">
        <f t="shared" ref="T19:Z19" si="12">+T18/T20</f>
        <v>4.8206339830675331</v>
      </c>
      <c r="U19" s="2">
        <f t="shared" si="12"/>
        <v>4.9611546957117829</v>
      </c>
      <c r="V19" s="2">
        <f t="shared" si="12"/>
        <v>5.5001922337562474</v>
      </c>
      <c r="W19" s="2">
        <f t="shared" si="12"/>
        <v>5.8057655954631384</v>
      </c>
      <c r="X19" s="2">
        <f t="shared" si="12"/>
        <v>5.9144298688193739</v>
      </c>
      <c r="Y19" s="2">
        <f t="shared" si="12"/>
        <v>6.5192945554566784</v>
      </c>
      <c r="Z19" s="2">
        <f t="shared" si="12"/>
        <v>6.3384892380718547</v>
      </c>
    </row>
    <row r="20" spans="2:134" s="4" customFormat="1" x14ac:dyDescent="0.25">
      <c r="B20" s="4" t="s">
        <v>1</v>
      </c>
      <c r="C20" s="4">
        <v>2503.6</v>
      </c>
      <c r="D20" s="4">
        <v>2481.1999999999998</v>
      </c>
      <c r="E20" s="4">
        <v>2473.1999999999998</v>
      </c>
      <c r="F20" s="4">
        <v>2477.5</v>
      </c>
      <c r="G20" s="4">
        <v>2475.1999999999998</v>
      </c>
      <c r="H20" s="4">
        <v>2468.4</v>
      </c>
      <c r="I20" s="4">
        <v>2472.1999999999998</v>
      </c>
      <c r="J20" s="4">
        <v>2472.1999999999998</v>
      </c>
      <c r="K20" s="4">
        <v>2466</v>
      </c>
      <c r="L20" s="4">
        <v>2458.1</v>
      </c>
      <c r="M20" s="4">
        <v>2449.8000000000002</v>
      </c>
      <c r="N20" s="4">
        <v>2443.8000000000002</v>
      </c>
      <c r="O20" s="4">
        <v>2436.8000000000002</v>
      </c>
      <c r="T20" s="9">
        <v>2539.5</v>
      </c>
      <c r="U20" s="9">
        <v>2625.8</v>
      </c>
      <c r="V20" s="9">
        <v>2601</v>
      </c>
      <c r="W20" s="9">
        <v>2539.1999999999998</v>
      </c>
      <c r="X20" s="9">
        <f>+F20</f>
        <v>2477.5</v>
      </c>
      <c r="Y20" s="9">
        <f>+J20</f>
        <v>2472.1999999999998</v>
      </c>
      <c r="Z20" s="9">
        <f>+N20</f>
        <v>2443.8000000000002</v>
      </c>
    </row>
    <row r="21" spans="2:134" x14ac:dyDescent="0.25">
      <c r="T21" s="7"/>
      <c r="U21" s="7"/>
      <c r="V21" s="7"/>
      <c r="W21" s="7"/>
    </row>
    <row r="22" spans="2:134" x14ac:dyDescent="0.25">
      <c r="B22" s="1" t="s">
        <v>31</v>
      </c>
      <c r="G22" s="6">
        <f t="shared" ref="G22:O22" si="13">+G10/C10-1</f>
        <v>6.1080923733747294E-2</v>
      </c>
      <c r="H22" s="6">
        <f t="shared" si="13"/>
        <v>3.2157127039907474E-2</v>
      </c>
      <c r="I22" s="6">
        <f t="shared" si="13"/>
        <v>6.3284831572651967E-3</v>
      </c>
      <c r="J22" s="6">
        <f t="shared" si="13"/>
        <v>-1.0704033474432384E-3</v>
      </c>
      <c r="K22" s="6">
        <f t="shared" si="13"/>
        <v>-6.1268346211879043E-3</v>
      </c>
      <c r="L22" s="6">
        <f t="shared" si="13"/>
        <v>2.052143090340941E-2</v>
      </c>
      <c r="M22" s="6">
        <f t="shared" si="13"/>
        <v>-2.0747709829165628E-2</v>
      </c>
      <c r="N22" s="6">
        <f t="shared" si="13"/>
        <v>1.748575325118118E-2</v>
      </c>
      <c r="O22" s="6">
        <f t="shared" si="13"/>
        <v>2.9856925978746007E-2</v>
      </c>
      <c r="P22" s="6"/>
      <c r="Q22" s="6"/>
      <c r="R22" s="6"/>
      <c r="T22" s="7"/>
      <c r="U22" s="12">
        <f t="shared" ref="U22:Z22" si="14">+U10/T10-1</f>
        <v>4.8253649311506441E-2</v>
      </c>
      <c r="V22" s="12">
        <f t="shared" si="14"/>
        <v>7.284002818886548E-2</v>
      </c>
      <c r="W22" s="12">
        <f t="shared" si="14"/>
        <v>5.3456475472293041E-2</v>
      </c>
      <c r="X22" s="12">
        <f t="shared" si="14"/>
        <v>2.268447503959492E-2</v>
      </c>
      <c r="Y22" s="12">
        <f t="shared" si="14"/>
        <v>2.4778674731117167E-2</v>
      </c>
      <c r="Z22" s="12">
        <f t="shared" si="14"/>
        <v>2.9272471976962144E-3</v>
      </c>
    </row>
    <row r="23" spans="2:134" x14ac:dyDescent="0.25">
      <c r="B23" s="1" t="s">
        <v>30</v>
      </c>
      <c r="C23" s="6">
        <f t="shared" ref="C23:G23" si="15">+C12/C10</f>
        <v>0.47380166893071995</v>
      </c>
      <c r="D23" s="6">
        <f t="shared" si="15"/>
        <v>0.47542483030857363</v>
      </c>
      <c r="E23" s="6">
        <f t="shared" si="15"/>
        <v>0.48156268686466014</v>
      </c>
      <c r="F23" s="6">
        <f t="shared" si="15"/>
        <v>0.48362769425388019</v>
      </c>
      <c r="G23" s="6">
        <f t="shared" si="15"/>
        <v>0.51986648987243378</v>
      </c>
      <c r="H23" s="6">
        <f t="shared" ref="H23:O23" si="16">+H12/H10</f>
        <v>0.52688773844503523</v>
      </c>
      <c r="I23" s="6">
        <f t="shared" si="16"/>
        <v>0.51200792275315676</v>
      </c>
      <c r="J23" s="6">
        <f t="shared" si="16"/>
        <v>0.49598168623057814</v>
      </c>
      <c r="K23" s="6">
        <f t="shared" si="16"/>
        <v>0.52058701752771774</v>
      </c>
      <c r="L23" s="6">
        <f t="shared" si="16"/>
        <v>0.52387916457200312</v>
      </c>
      <c r="M23" s="6">
        <f t="shared" si="16"/>
        <v>0.5098098705501618</v>
      </c>
      <c r="N23" s="6">
        <f t="shared" si="16"/>
        <v>0.49109621828626138</v>
      </c>
      <c r="O23" s="6">
        <f t="shared" si="16"/>
        <v>0.51366925757169657</v>
      </c>
      <c r="P23" s="6"/>
      <c r="Q23" s="6"/>
      <c r="R23" s="6"/>
      <c r="T23" s="6">
        <f t="shared" ref="T23:U23" si="17">+T12/T10</f>
        <v>0.48631877548608238</v>
      </c>
      <c r="U23" s="6">
        <f t="shared" si="17"/>
        <v>0.5031712473572939</v>
      </c>
      <c r="V23" s="6">
        <f t="shared" ref="V23:W23" si="18">+V12/V10</f>
        <v>0.51249375968890409</v>
      </c>
      <c r="W23" s="6">
        <f t="shared" si="18"/>
        <v>0.47426640228465961</v>
      </c>
      <c r="X23" s="6">
        <f t="shared" ref="X23:Z23" si="19">+X12/X10</f>
        <v>0.47857473843377313</v>
      </c>
      <c r="Y23" s="6">
        <f t="shared" si="19"/>
        <v>0.51393417263618835</v>
      </c>
      <c r="Z23" s="6">
        <f t="shared" si="19"/>
        <v>0.51160362583645769</v>
      </c>
    </row>
    <row r="24" spans="2:134" x14ac:dyDescent="0.25">
      <c r="B24" s="1" t="s">
        <v>47</v>
      </c>
      <c r="C24" s="6">
        <f>+C17/C16</f>
        <v>0.21172703622173303</v>
      </c>
      <c r="D24" s="6">
        <f t="shared" ref="D24:O24" si="20">+D17/D16</f>
        <v>0.18655635987590485</v>
      </c>
      <c r="E24" s="6">
        <f t="shared" si="20"/>
        <v>0.20778917910447761</v>
      </c>
      <c r="F24" s="6">
        <f t="shared" si="20"/>
        <v>0.2005669737774628</v>
      </c>
      <c r="G24" s="6">
        <f t="shared" si="20"/>
        <v>0.22082399586278229</v>
      </c>
      <c r="H24" s="6">
        <f t="shared" si="20"/>
        <v>0.17918772877810701</v>
      </c>
      <c r="I24" s="6">
        <f t="shared" si="20"/>
        <v>0.18274885645828795</v>
      </c>
      <c r="J24" s="6">
        <f t="shared" si="20"/>
        <v>0.1894546394417162</v>
      </c>
      <c r="K24" s="6">
        <f t="shared" si="20"/>
        <v>0.22957198443579765</v>
      </c>
      <c r="L24" s="6">
        <f t="shared" si="20"/>
        <v>0.2081122710936163</v>
      </c>
      <c r="M24" s="6">
        <f t="shared" si="20"/>
        <v>0.20013477088948786</v>
      </c>
      <c r="N24" s="6">
        <f t="shared" si="20"/>
        <v>0.2132768361581921</v>
      </c>
      <c r="O24" s="6">
        <f t="shared" si="20"/>
        <v>0.22264608982139761</v>
      </c>
      <c r="P24" s="6"/>
      <c r="Q24" s="6"/>
      <c r="R24" s="6"/>
      <c r="T24" s="6">
        <f t="shared" ref="T24:U24" si="21">+T17/T16</f>
        <v>0.15068683224642709</v>
      </c>
      <c r="U24" s="6">
        <f t="shared" si="21"/>
        <v>0.17727674624226347</v>
      </c>
      <c r="V24" s="6">
        <f t="shared" ref="V24:W24" si="22">+V17/V16</f>
        <v>0.18785126312801589</v>
      </c>
      <c r="W24" s="6">
        <f t="shared" si="22"/>
        <v>0.18077243678799668</v>
      </c>
      <c r="X24" s="6">
        <f t="shared" ref="X24:Z24" si="23">+X17/X16</f>
        <v>0.20160191794257071</v>
      </c>
      <c r="Y24" s="6">
        <f t="shared" si="23"/>
        <v>0.19406940694069408</v>
      </c>
      <c r="Z24" s="6">
        <f t="shared" si="23"/>
        <v>0.21302646954224458</v>
      </c>
    </row>
    <row r="25" spans="2:134" x14ac:dyDescent="0.25">
      <c r="AC25" s="1" t="s">
        <v>48</v>
      </c>
      <c r="AD25" s="6">
        <v>0.02</v>
      </c>
    </row>
    <row r="26" spans="2:134" x14ac:dyDescent="0.25">
      <c r="B26" s="1" t="s">
        <v>52</v>
      </c>
      <c r="T26" s="4">
        <v>15242</v>
      </c>
      <c r="U26" s="4">
        <v>17403</v>
      </c>
      <c r="V26" s="4">
        <v>18371</v>
      </c>
      <c r="W26" s="9">
        <v>16723</v>
      </c>
      <c r="X26" s="9">
        <v>16848</v>
      </c>
      <c r="Y26" s="9">
        <v>19846</v>
      </c>
      <c r="AC26" s="1" t="s">
        <v>49</v>
      </c>
      <c r="AD26" s="6">
        <v>0.06</v>
      </c>
    </row>
    <row r="27" spans="2:134" x14ac:dyDescent="0.25">
      <c r="B27" s="1" t="s">
        <v>53</v>
      </c>
      <c r="T27" s="4">
        <v>3347</v>
      </c>
      <c r="U27" s="4">
        <v>3073</v>
      </c>
      <c r="V27" s="4">
        <v>2787</v>
      </c>
      <c r="W27" s="9">
        <v>3156</v>
      </c>
      <c r="X27" s="9">
        <v>3062</v>
      </c>
      <c r="Y27" s="9">
        <v>3322</v>
      </c>
      <c r="AC27" s="1" t="s">
        <v>50</v>
      </c>
      <c r="AD27" s="4">
        <f>NPV(AD26,AA18:ED18)-Main!M5+Main!M6</f>
        <v>413570.2139884379</v>
      </c>
    </row>
    <row r="28" spans="2:134" x14ac:dyDescent="0.25">
      <c r="B28" s="1" t="s">
        <v>54</v>
      </c>
      <c r="T28" s="4">
        <f t="shared" ref="T28:Y28" si="24">+T26-T27</f>
        <v>11895</v>
      </c>
      <c r="U28" s="4">
        <f t="shared" si="24"/>
        <v>14330</v>
      </c>
      <c r="V28" s="4">
        <f t="shared" si="24"/>
        <v>15584</v>
      </c>
      <c r="W28" s="9">
        <f t="shared" si="24"/>
        <v>13567</v>
      </c>
      <c r="X28" s="9">
        <f t="shared" si="24"/>
        <v>13786</v>
      </c>
      <c r="Y28" s="9">
        <f t="shared" si="24"/>
        <v>16524</v>
      </c>
      <c r="AC28" s="1" t="s">
        <v>51</v>
      </c>
      <c r="AD28" s="2">
        <f>AD27/Main!M3</f>
        <v>169.7046425886081</v>
      </c>
    </row>
    <row r="29" spans="2:134" x14ac:dyDescent="0.25">
      <c r="U29" s="6">
        <f>+U28/T28-1</f>
        <v>0.20470786044556544</v>
      </c>
      <c r="V29" s="6">
        <f>+V28/U28-1</f>
        <v>8.7508722958827612E-2</v>
      </c>
      <c r="W29" s="6">
        <f>+W28/V28-1</f>
        <v>-0.12942761806981518</v>
      </c>
      <c r="X29" s="6">
        <f>+X28/W28-1</f>
        <v>1.6142109530478344E-2</v>
      </c>
      <c r="Y29" s="6">
        <f>+Y28/X28-1</f>
        <v>0.19860728275061668</v>
      </c>
    </row>
    <row r="30" spans="2:134" x14ac:dyDescent="0.25">
      <c r="Y30" s="12">
        <f>RATE(5,0,-T28,Y28)</f>
        <v>6.7948101392961174E-2</v>
      </c>
    </row>
  </sheetData>
  <hyperlinks>
    <hyperlink ref="A1" location="Main!A1" display="Main" xr:uid="{B703EA52-736D-4A16-9F90-352F4A7593C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2025-03-10T18:09:09Z</dcterms:created>
  <dcterms:modified xsi:type="dcterms:W3CDTF">2025-11-02T00:54:48Z</dcterms:modified>
</cp:coreProperties>
</file>