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bastianchaves/Downloads/_Top Models/Consumer/"/>
    </mc:Choice>
  </mc:AlternateContent>
  <xr:revisionPtr revIDLastSave="0" documentId="13_ncr:1_{553138BB-73CD-4CDE-AD3F-F068A3589DAD}" xr6:coauthVersionLast="47" xr6:coauthVersionMax="47" xr10:uidLastSave="{00000000-0000-0000-0000-000000000000}"/>
  <bookViews>
    <workbookView xWindow="41010" yWindow="3010" windowWidth="26400" windowHeight="18030" xr2:uid="{FA5389C5-A966-484C-B9A8-032DB52A420F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4" i="2" l="1"/>
  <c r="N24" i="2"/>
  <c r="O23" i="2"/>
  <c r="N23" i="2"/>
  <c r="N21" i="2"/>
  <c r="O20" i="2" s="1"/>
  <c r="N20" i="2"/>
  <c r="O19" i="2"/>
  <c r="N19" i="2"/>
  <c r="O17" i="2"/>
  <c r="N17" i="2"/>
  <c r="O15" i="2"/>
  <c r="N15" i="2"/>
  <c r="O12" i="2"/>
  <c r="O13" i="2" s="1"/>
  <c r="N12" i="2"/>
  <c r="N13" i="2" s="1"/>
  <c r="L13" i="2"/>
  <c r="M13" i="2"/>
  <c r="Q2" i="2"/>
  <c r="P2" i="2"/>
  <c r="O2" i="2"/>
  <c r="N2" i="2"/>
  <c r="M2" i="2"/>
  <c r="L2" i="2"/>
  <c r="L21" i="2"/>
  <c r="M21" i="2" s="1"/>
  <c r="M14" i="2"/>
  <c r="L14" i="2"/>
  <c r="M7" i="2"/>
  <c r="L7" i="2"/>
  <c r="L23" i="2" s="1"/>
  <c r="G23" i="2"/>
  <c r="C16" i="2"/>
  <c r="C12" i="2"/>
  <c r="C13" i="2" s="1"/>
  <c r="C15" i="2" s="1"/>
  <c r="H23" i="2"/>
  <c r="D16" i="2"/>
  <c r="D12" i="2"/>
  <c r="D13" i="2" s="1"/>
  <c r="D15" i="2" s="1"/>
  <c r="H16" i="2"/>
  <c r="H12" i="2"/>
  <c r="H13" i="2" s="1"/>
  <c r="H15" i="2" s="1"/>
  <c r="I23" i="2"/>
  <c r="E16" i="2"/>
  <c r="I16" i="2"/>
  <c r="I12" i="2"/>
  <c r="I13" i="2" s="1"/>
  <c r="I15" i="2" s="1"/>
  <c r="E12" i="2"/>
  <c r="E13" i="2" s="1"/>
  <c r="E15" i="2" s="1"/>
  <c r="V4" i="2"/>
  <c r="W4" i="2" s="1"/>
  <c r="X4" i="2" s="1"/>
  <c r="Y4" i="2" s="1"/>
  <c r="Z4" i="2" s="1"/>
  <c r="AA4" i="2" s="1"/>
  <c r="AB4" i="2" s="1"/>
  <c r="AC4" i="2" s="1"/>
  <c r="AD4" i="2" s="1"/>
  <c r="V14" i="2"/>
  <c r="W14" i="2" s="1"/>
  <c r="X14" i="2" s="1"/>
  <c r="Y14" i="2" s="1"/>
  <c r="Z14" i="2" s="1"/>
  <c r="AA14" i="2" s="1"/>
  <c r="AB14" i="2" s="1"/>
  <c r="AC14" i="2" s="1"/>
  <c r="AD14" i="2" s="1"/>
  <c r="T5" i="2"/>
  <c r="U5" i="2"/>
  <c r="T30" i="2"/>
  <c r="S30" i="2"/>
  <c r="U30" i="2"/>
  <c r="T23" i="2"/>
  <c r="S12" i="2"/>
  <c r="S13" i="2" s="1"/>
  <c r="T12" i="2"/>
  <c r="T13" i="2" s="1"/>
  <c r="T15" i="2" s="1"/>
  <c r="U23" i="2"/>
  <c r="U12" i="2"/>
  <c r="U13" i="2" s="1"/>
  <c r="U15" i="2" s="1"/>
  <c r="W3" i="2"/>
  <c r="X3" i="2" s="1"/>
  <c r="Y3" i="2" s="1"/>
  <c r="Z3" i="2" s="1"/>
  <c r="AA3" i="2" s="1"/>
  <c r="AB3" i="2" s="1"/>
  <c r="AC3" i="2" s="1"/>
  <c r="AD3" i="2" s="1"/>
  <c r="F30" i="2"/>
  <c r="J30" i="2"/>
  <c r="F16" i="2"/>
  <c r="F12" i="2"/>
  <c r="F13" i="2" s="1"/>
  <c r="F15" i="2" s="1"/>
  <c r="J23" i="2"/>
  <c r="J16" i="2"/>
  <c r="J12" i="2"/>
  <c r="J13" i="2" s="1"/>
  <c r="J15" i="2" s="1"/>
  <c r="K30" i="2"/>
  <c r="G30" i="2"/>
  <c r="K23" i="2"/>
  <c r="G16" i="2"/>
  <c r="K16" i="2"/>
  <c r="L16" i="2" s="1"/>
  <c r="M16" i="2" s="1"/>
  <c r="G12" i="2"/>
  <c r="G13" i="2" s="1"/>
  <c r="G15" i="2" s="1"/>
  <c r="K12" i="2"/>
  <c r="K13" i="2" s="1"/>
  <c r="K15" i="2" s="1"/>
  <c r="K4" i="1"/>
  <c r="K7" i="1" s="1"/>
  <c r="D24" i="2" l="1"/>
  <c r="E24" i="2"/>
  <c r="H24" i="2"/>
  <c r="G24" i="2"/>
  <c r="I24" i="2"/>
  <c r="K24" i="2"/>
  <c r="M15" i="2"/>
  <c r="M24" i="2"/>
  <c r="F24" i="2"/>
  <c r="M23" i="2"/>
  <c r="C24" i="2"/>
  <c r="J24" i="2"/>
  <c r="M17" i="2"/>
  <c r="C17" i="2"/>
  <c r="C19" i="2" s="1"/>
  <c r="C20" i="2" s="1"/>
  <c r="D17" i="2"/>
  <c r="D19" i="2" s="1"/>
  <c r="D20" i="2" s="1"/>
  <c r="I17" i="2"/>
  <c r="I19" i="2" s="1"/>
  <c r="I20" i="2" s="1"/>
  <c r="H17" i="2"/>
  <c r="H19" i="2" s="1"/>
  <c r="H20" i="2" s="1"/>
  <c r="E17" i="2"/>
  <c r="E19" i="2" s="1"/>
  <c r="E20" i="2" s="1"/>
  <c r="U24" i="2"/>
  <c r="T24" i="2"/>
  <c r="T17" i="2"/>
  <c r="T19" i="2" s="1"/>
  <c r="T25" i="2"/>
  <c r="U25" i="2"/>
  <c r="U17" i="2"/>
  <c r="U19" i="2" s="1"/>
  <c r="S15" i="2"/>
  <c r="S24" i="2"/>
  <c r="W7" i="2"/>
  <c r="V7" i="2"/>
  <c r="F17" i="2"/>
  <c r="F19" i="2" s="1"/>
  <c r="F20" i="2" s="1"/>
  <c r="J17" i="2"/>
  <c r="J19" i="2" s="1"/>
  <c r="J20" i="2" s="1"/>
  <c r="K17" i="2"/>
  <c r="K19" i="2" s="1"/>
  <c r="K20" i="2" s="1"/>
  <c r="G17" i="2"/>
  <c r="G19" i="2" s="1"/>
  <c r="G20" i="2" s="1"/>
  <c r="M18" i="2" l="1"/>
  <c r="M19" i="2" s="1"/>
  <c r="M20" i="2" s="1"/>
  <c r="L15" i="2"/>
  <c r="L17" i="2" s="1"/>
  <c r="L24" i="2"/>
  <c r="S17" i="2"/>
  <c r="S19" i="2" s="1"/>
  <c r="S25" i="2"/>
  <c r="V13" i="2"/>
  <c r="V23" i="2"/>
  <c r="W13" i="2"/>
  <c r="W23" i="2"/>
  <c r="X7" i="2"/>
  <c r="L18" i="2" l="1"/>
  <c r="L19" i="2" s="1"/>
  <c r="L20" i="2" s="1"/>
  <c r="Y7" i="2"/>
  <c r="X13" i="2"/>
  <c r="X23" i="2"/>
  <c r="W24" i="2"/>
  <c r="W15" i="2"/>
  <c r="V15" i="2"/>
  <c r="V24" i="2"/>
  <c r="V25" i="2" l="1"/>
  <c r="V17" i="2"/>
  <c r="W25" i="2"/>
  <c r="W17" i="2"/>
  <c r="X15" i="2"/>
  <c r="X24" i="2"/>
  <c r="Z7" i="2"/>
  <c r="Y13" i="2"/>
  <c r="Y23" i="2"/>
  <c r="AA7" i="2" l="1"/>
  <c r="X25" i="2"/>
  <c r="X17" i="2"/>
  <c r="X18" i="2" s="1"/>
  <c r="X19" i="2" s="1"/>
  <c r="V18" i="2"/>
  <c r="V19" i="2" s="1"/>
  <c r="Y24" i="2"/>
  <c r="Y15" i="2"/>
  <c r="Z13" i="2"/>
  <c r="Z23" i="2"/>
  <c r="W18" i="2"/>
  <c r="W19" i="2" s="1"/>
  <c r="Z15" i="2" l="1"/>
  <c r="Z24" i="2"/>
  <c r="Y25" i="2"/>
  <c r="Y17" i="2"/>
  <c r="Y18" i="2" s="1"/>
  <c r="Y19" i="2" s="1"/>
  <c r="AB7" i="2"/>
  <c r="AA13" i="2"/>
  <c r="AA23" i="2"/>
  <c r="AA15" i="2" l="1"/>
  <c r="AA24" i="2"/>
  <c r="AB13" i="2"/>
  <c r="AB23" i="2"/>
  <c r="AC7" i="2"/>
  <c r="AD7" i="2"/>
  <c r="Z25" i="2"/>
  <c r="Z17" i="2"/>
  <c r="Z18" i="2" s="1"/>
  <c r="Z19" i="2" s="1"/>
  <c r="AD13" i="2" l="1"/>
  <c r="AD23" i="2"/>
  <c r="AC13" i="2"/>
  <c r="AC23" i="2"/>
  <c r="AB15" i="2"/>
  <c r="AB24" i="2"/>
  <c r="AA25" i="2"/>
  <c r="AA17" i="2"/>
  <c r="AA18" i="2" s="1"/>
  <c r="AA19" i="2" s="1"/>
  <c r="AB17" i="2" l="1"/>
  <c r="AB25" i="2"/>
  <c r="AC15" i="2"/>
  <c r="AC24" i="2"/>
  <c r="AD15" i="2"/>
  <c r="AD24" i="2"/>
  <c r="AD17" i="2" l="1"/>
  <c r="AD25" i="2"/>
  <c r="AC25" i="2"/>
  <c r="AC17" i="2"/>
  <c r="AC18" i="2" s="1"/>
  <c r="AC19" i="2" s="1"/>
  <c r="AB18" i="2"/>
  <c r="AB19" i="2" s="1"/>
  <c r="AD18" i="2" l="1"/>
  <c r="AD19" i="2" s="1"/>
</calcChain>
</file>

<file path=xl/sharedStrings.xml><?xml version="1.0" encoding="utf-8"?>
<sst xmlns="http://schemas.openxmlformats.org/spreadsheetml/2006/main" count="48" uniqueCount="44">
  <si>
    <t>Price</t>
  </si>
  <si>
    <t>Shares</t>
  </si>
  <si>
    <t>MC</t>
  </si>
  <si>
    <t>Cash</t>
  </si>
  <si>
    <t>Debt</t>
  </si>
  <si>
    <t>EV</t>
  </si>
  <si>
    <t>Q224</t>
  </si>
  <si>
    <t>Main</t>
  </si>
  <si>
    <t>Revenue</t>
  </si>
  <si>
    <t>Q123</t>
  </si>
  <si>
    <t>Q223</t>
  </si>
  <si>
    <t>Q323</t>
  </si>
  <si>
    <t>Q423</t>
  </si>
  <si>
    <t>Q124</t>
  </si>
  <si>
    <t>Q324</t>
  </si>
  <si>
    <t>Q424</t>
  </si>
  <si>
    <t>Food</t>
  </si>
  <si>
    <t>Labor</t>
  </si>
  <si>
    <t>Rent</t>
  </si>
  <si>
    <t>Other</t>
  </si>
  <si>
    <t>COGS</t>
  </si>
  <si>
    <t>Gross Profit</t>
  </si>
  <si>
    <t>G&amp;A</t>
  </si>
  <si>
    <t>Operating Income</t>
  </si>
  <si>
    <t>Pretax Income</t>
  </si>
  <si>
    <t>Taxes</t>
  </si>
  <si>
    <t>Net Income</t>
  </si>
  <si>
    <t>Interest</t>
  </si>
  <si>
    <t>Revenue y/y</t>
  </si>
  <si>
    <t>FCF</t>
  </si>
  <si>
    <t>CapEx</t>
  </si>
  <si>
    <t>CFFO</t>
  </si>
  <si>
    <t>Founded</t>
  </si>
  <si>
    <t>Stores</t>
  </si>
  <si>
    <t>Gross Margin</t>
  </si>
  <si>
    <t>Operating Margin</t>
  </si>
  <si>
    <t>Q422</t>
  </si>
  <si>
    <t>EPS</t>
  </si>
  <si>
    <t>Q322</t>
  </si>
  <si>
    <t>Q2222</t>
  </si>
  <si>
    <t>Q125</t>
  </si>
  <si>
    <t>Q225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</si>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</sst>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;@"/>
  </numFmts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9" fontId="0" fillId="0" borderId="0" xfId="0" applyNumberFormat="1" applyAlignment="1">
      <alignment horizontal="right"/>
    </xf>
    <xf numFmtId="164" fontId="0" fillId="0" borderId="0" xfId="0" applyNumberFormat="1"/>
    <xf numFmtId="9" fontId="0" fillId="0" borderId="0" xfId="0" applyNumberFormat="1"/>
    <xf numFmtId="164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4363BB26-C4E3-4FB9-8926-E9BA68F75DE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13138</xdr:colOff>
      <xdr:row>0</xdr:row>
      <xdr:rowOff>32845</xdr:rowOff>
    </xdr:from>
    <xdr:to>
      <xdr:col>21</xdr:col>
      <xdr:colOff>13138</xdr:colOff>
      <xdr:row>49</xdr:row>
      <xdr:rowOff>65690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67BE514-264F-F736-095B-1A80CBA75E51}"/>
            </a:ext>
          </a:extLst>
        </xdr:cNvPr>
        <xdr:cNvCxnSpPr/>
      </xdr:nvCxnSpPr>
      <xdr:spPr>
        <a:xfrm>
          <a:off x="9216259" y="32845"/>
          <a:ext cx="0" cy="775137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45983</xdr:colOff>
      <xdr:row>0</xdr:row>
      <xdr:rowOff>59121</xdr:rowOff>
    </xdr:from>
    <xdr:to>
      <xdr:col>11</xdr:col>
      <xdr:colOff>45983</xdr:colOff>
      <xdr:row>38</xdr:row>
      <xdr:rowOff>85397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4F657C9-EC9F-D5E4-EE5F-2D4130BD17A0}"/>
            </a:ext>
          </a:extLst>
        </xdr:cNvPr>
        <xdr:cNvCxnSpPr/>
      </xdr:nvCxnSpPr>
      <xdr:spPr>
        <a:xfrm>
          <a:off x="6168259" y="59121"/>
          <a:ext cx="0" cy="626679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C1448-B432-421D-B3BF-39C2763C368B}">
  <dimension ref="J2:L10"/>
  <sheetViews>
    <sheetView tabSelected="1" zoomScale="145" zoomScaleNormal="145" workbookViewId="0">
      <selection activeCell="K8" sqref="K8"/>
    </sheetView>
  </sheetViews>
  <sheetFormatPr defaultRowHeight="12.5" x14ac:dyDescent="0.25"/>
  <sheetData>
    <row r="2" spans="10:12" x14ac:dyDescent="0.25">
      <c r="J2" t="s">
        <v>0</v>
      </c>
      <c r="K2" s="1">
        <v>66.900000000000006</v>
      </c>
    </row>
    <row r="3" spans="10:12" x14ac:dyDescent="0.25">
      <c r="J3" t="s">
        <v>1</v>
      </c>
      <c r="K3" s="3">
        <v>114.320581</v>
      </c>
      <c r="L3" s="2" t="s">
        <v>6</v>
      </c>
    </row>
    <row r="4" spans="10:12" x14ac:dyDescent="0.25">
      <c r="J4" t="s">
        <v>2</v>
      </c>
      <c r="K4" s="3">
        <f>+K2*K3</f>
        <v>7648.0468689000008</v>
      </c>
      <c r="L4" s="2"/>
    </row>
    <row r="5" spans="10:12" x14ac:dyDescent="0.25">
      <c r="J5" t="s">
        <v>3</v>
      </c>
      <c r="K5" s="3">
        <v>343.74799999999999</v>
      </c>
      <c r="L5" s="2" t="s">
        <v>6</v>
      </c>
    </row>
    <row r="6" spans="10:12" x14ac:dyDescent="0.25">
      <c r="J6" t="s">
        <v>4</v>
      </c>
      <c r="K6" s="3">
        <v>0</v>
      </c>
      <c r="L6" s="2" t="s">
        <v>6</v>
      </c>
    </row>
    <row r="7" spans="10:12" x14ac:dyDescent="0.25">
      <c r="J7" t="s">
        <v>5</v>
      </c>
      <c r="K7" s="3">
        <f>+K4-K5+K6</f>
        <v>7304.2988689000013</v>
      </c>
    </row>
    <row r="10" spans="10:12" x14ac:dyDescent="0.25">
      <c r="J10" t="s">
        <v>32</v>
      </c>
      <c r="K10">
        <v>2011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A82FB-43F2-43B6-AB4A-E916E9DA41F1}">
  <dimension ref="A1:AD30"/>
  <sheetViews>
    <sheetView zoomScale="145" zoomScaleNormal="145" workbookViewId="0">
      <pane xSplit="2" ySplit="3" topLeftCell="E4" activePane="bottomRight" state="frozen"/>
      <selection pane="topRight" activeCell="C1" sqref="C1"/>
      <selection pane="bottomLeft" activeCell="A3" sqref="A3"/>
      <selection pane="bottomRight" activeCell="O22" sqref="O22"/>
    </sheetView>
  </sheetViews>
  <sheetFormatPr defaultRowHeight="12.5" x14ac:dyDescent="0.25"/>
  <cols>
    <col min="1" max="1" width="5" bestFit="1" customWidth="1"/>
    <col min="2" max="2" width="15.7265625" bestFit="1" customWidth="1"/>
    <col min="3" max="17" width="10.1796875" style="2" customWidth="1"/>
    <col min="21" max="21" width="8.54296875" customWidth="1"/>
  </cols>
  <sheetData>
    <row r="1" spans="1:30" x14ac:dyDescent="0.25">
      <c r="A1" t="s">
        <v>7</v>
      </c>
    </row>
    <row r="2" spans="1:30" s="8" customFormat="1" x14ac:dyDescent="0.25">
      <c r="C2" s="10">
        <v>44752</v>
      </c>
      <c r="D2" s="10">
        <v>44836</v>
      </c>
      <c r="E2" s="10">
        <v>44920</v>
      </c>
      <c r="F2" s="10">
        <v>45032</v>
      </c>
      <c r="G2" s="10">
        <v>45116</v>
      </c>
      <c r="H2" s="10">
        <v>45200</v>
      </c>
      <c r="I2" s="10">
        <v>45291</v>
      </c>
      <c r="J2" s="10">
        <v>45403</v>
      </c>
      <c r="K2" s="10">
        <v>45487</v>
      </c>
      <c r="L2" s="10">
        <f>+H2+365</f>
        <v>45565</v>
      </c>
      <c r="M2" s="10">
        <f>+I2+365</f>
        <v>45656</v>
      </c>
      <c r="N2" s="10">
        <f>+J2+365</f>
        <v>45768</v>
      </c>
      <c r="O2" s="10">
        <f>+K2+365</f>
        <v>45852</v>
      </c>
      <c r="P2" s="10">
        <f>+L2+365</f>
        <v>45930</v>
      </c>
      <c r="Q2" s="10">
        <f>+M2+365</f>
        <v>46021</v>
      </c>
      <c r="S2" s="8">
        <v>44561</v>
      </c>
      <c r="T2" s="8">
        <v>44926</v>
      </c>
      <c r="U2" s="8">
        <v>45291</v>
      </c>
    </row>
    <row r="3" spans="1:30" x14ac:dyDescent="0.25">
      <c r="C3" s="2" t="s">
        <v>39</v>
      </c>
      <c r="D3" s="2" t="s">
        <v>38</v>
      </c>
      <c r="E3" s="2" t="s">
        <v>36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6</v>
      </c>
      <c r="L3" s="2" t="s">
        <v>14</v>
      </c>
      <c r="M3" s="2" t="s">
        <v>15</v>
      </c>
      <c r="N3" s="2" t="s">
        <v>40</v>
      </c>
      <c r="O3" s="2" t="s">
        <v>41</v>
      </c>
      <c r="P3" s="2" t="s">
        <v>42</v>
      </c>
      <c r="Q3" s="2" t="s">
        <v>43</v>
      </c>
      <c r="S3">
        <v>2021</v>
      </c>
      <c r="T3">
        <v>2022</v>
      </c>
      <c r="U3">
        <v>2023</v>
      </c>
      <c r="V3">
        <v>2024</v>
      </c>
      <c r="W3">
        <f t="shared" ref="W3:AD3" si="0">+V3+1</f>
        <v>2025</v>
      </c>
      <c r="X3">
        <f t="shared" si="0"/>
        <v>2026</v>
      </c>
      <c r="Y3">
        <f t="shared" si="0"/>
        <v>2027</v>
      </c>
      <c r="Z3">
        <f t="shared" si="0"/>
        <v>2028</v>
      </c>
      <c r="AA3">
        <f t="shared" si="0"/>
        <v>2029</v>
      </c>
      <c r="AB3">
        <f t="shared" si="0"/>
        <v>2030</v>
      </c>
      <c r="AC3">
        <f t="shared" si="0"/>
        <v>2031</v>
      </c>
      <c r="AD3">
        <f t="shared" si="0"/>
        <v>2032</v>
      </c>
    </row>
    <row r="4" spans="1:30" s="3" customFormat="1" x14ac:dyDescent="0.25">
      <c r="B4" s="3" t="s">
        <v>33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T4" s="3">
        <v>237</v>
      </c>
      <c r="U4" s="3">
        <v>309</v>
      </c>
      <c r="V4" s="3">
        <f>+U4+100</f>
        <v>409</v>
      </c>
      <c r="W4" s="3">
        <f>+V4+150</f>
        <v>559</v>
      </c>
      <c r="X4" s="3">
        <f t="shared" ref="X4:AD4" si="1">+W4+200</f>
        <v>759</v>
      </c>
      <c r="Y4" s="3">
        <f t="shared" si="1"/>
        <v>959</v>
      </c>
      <c r="Z4" s="3">
        <f t="shared" si="1"/>
        <v>1159</v>
      </c>
      <c r="AA4" s="3">
        <f t="shared" si="1"/>
        <v>1359</v>
      </c>
      <c r="AB4" s="3">
        <f t="shared" si="1"/>
        <v>1559</v>
      </c>
      <c r="AC4" s="3">
        <f t="shared" si="1"/>
        <v>1759</v>
      </c>
      <c r="AD4" s="3">
        <f t="shared" si="1"/>
        <v>1959</v>
      </c>
    </row>
    <row r="5" spans="1:30" x14ac:dyDescent="0.25">
      <c r="T5" s="1">
        <f>+T7/T4</f>
        <v>2.3802489451476796</v>
      </c>
      <c r="U5" s="1">
        <f>+U7/U4</f>
        <v>2.3582524271844663</v>
      </c>
    </row>
    <row r="7" spans="1:30" s="5" customFormat="1" ht="13" x14ac:dyDescent="0.3">
      <c r="B7" s="5" t="s">
        <v>8</v>
      </c>
      <c r="C7" s="6">
        <v>135.91499999999999</v>
      </c>
      <c r="D7" s="6">
        <v>139.25800000000001</v>
      </c>
      <c r="E7" s="6">
        <v>129.935</v>
      </c>
      <c r="F7" s="6">
        <v>203.083</v>
      </c>
      <c r="G7" s="6">
        <v>172.89400000000001</v>
      </c>
      <c r="H7" s="6">
        <v>175.553</v>
      </c>
      <c r="I7" s="6">
        <v>177.17</v>
      </c>
      <c r="J7" s="6">
        <v>259.00599999999997</v>
      </c>
      <c r="K7" s="6">
        <v>233.495</v>
      </c>
      <c r="L7" s="6">
        <f>+H7*1.3</f>
        <v>228.21889999999999</v>
      </c>
      <c r="M7" s="6">
        <f>+I7*1.3</f>
        <v>230.321</v>
      </c>
      <c r="N7" s="6"/>
      <c r="O7" s="6">
        <v>280.61500000000001</v>
      </c>
      <c r="P7" s="6"/>
      <c r="Q7" s="6"/>
      <c r="S7" s="5">
        <v>500.072</v>
      </c>
      <c r="T7" s="5">
        <v>564.11900000000003</v>
      </c>
      <c r="U7" s="5">
        <v>728.7</v>
      </c>
      <c r="V7" s="5">
        <f>+V4*2.36</f>
        <v>965.2399999999999</v>
      </c>
      <c r="W7" s="5">
        <f t="shared" ref="W7:AD7" si="2">+W4*2.36</f>
        <v>1319.24</v>
      </c>
      <c r="X7" s="5">
        <f t="shared" si="2"/>
        <v>1791.24</v>
      </c>
      <c r="Y7" s="5">
        <f t="shared" si="2"/>
        <v>2263.2399999999998</v>
      </c>
      <c r="Z7" s="5">
        <f t="shared" si="2"/>
        <v>2735.24</v>
      </c>
      <c r="AA7" s="5">
        <f t="shared" si="2"/>
        <v>3207.24</v>
      </c>
      <c r="AB7" s="5">
        <f t="shared" si="2"/>
        <v>3679.24</v>
      </c>
      <c r="AC7" s="5">
        <f t="shared" si="2"/>
        <v>4151.24</v>
      </c>
      <c r="AD7" s="5">
        <f t="shared" si="2"/>
        <v>4623.24</v>
      </c>
    </row>
    <row r="8" spans="1:30" s="3" customFormat="1" x14ac:dyDescent="0.25">
      <c r="B8" s="3" t="s">
        <v>16</v>
      </c>
      <c r="C8" s="4">
        <v>43.741</v>
      </c>
      <c r="D8" s="4">
        <v>44.616999999999997</v>
      </c>
      <c r="E8" s="4">
        <v>40.725999999999999</v>
      </c>
      <c r="F8" s="4">
        <v>59.118000000000002</v>
      </c>
      <c r="G8" s="4">
        <v>51</v>
      </c>
      <c r="H8" s="4">
        <v>51.817999999999998</v>
      </c>
      <c r="I8" s="4">
        <v>51.521999999999998</v>
      </c>
      <c r="J8" s="4">
        <v>73.947000000000003</v>
      </c>
      <c r="K8" s="4">
        <v>68.838999999999999</v>
      </c>
      <c r="L8" s="4"/>
      <c r="M8" s="4"/>
      <c r="N8" s="4"/>
      <c r="O8" s="4">
        <v>82.95</v>
      </c>
      <c r="P8" s="4"/>
      <c r="Q8" s="4"/>
      <c r="S8" s="3">
        <v>154.77199999999999</v>
      </c>
      <c r="T8" s="3">
        <v>179.988</v>
      </c>
      <c r="U8" s="3">
        <v>213.458</v>
      </c>
    </row>
    <row r="9" spans="1:30" s="3" customFormat="1" x14ac:dyDescent="0.25">
      <c r="B9" s="3" t="s">
        <v>17</v>
      </c>
      <c r="C9" s="4">
        <v>37.731000000000002</v>
      </c>
      <c r="D9" s="4">
        <v>37.192999999999998</v>
      </c>
      <c r="E9" s="4">
        <v>35.945</v>
      </c>
      <c r="F9" s="4">
        <v>52.154000000000003</v>
      </c>
      <c r="G9" s="4">
        <v>42.417000000000002</v>
      </c>
      <c r="H9" s="4">
        <v>43.912999999999997</v>
      </c>
      <c r="I9" s="4">
        <v>48.841999999999999</v>
      </c>
      <c r="J9" s="4">
        <v>66.513000000000005</v>
      </c>
      <c r="K9" s="4">
        <v>58.387999999999998</v>
      </c>
      <c r="L9" s="4"/>
      <c r="M9" s="4"/>
      <c r="N9" s="4"/>
      <c r="O9" s="4">
        <v>69.495999999999995</v>
      </c>
      <c r="P9" s="4"/>
      <c r="Q9" s="4"/>
      <c r="S9" s="3">
        <v>143.39500000000001</v>
      </c>
      <c r="T9" s="3">
        <v>157.89099999999999</v>
      </c>
      <c r="U9" s="3">
        <v>187.32599999999999</v>
      </c>
    </row>
    <row r="10" spans="1:30" s="3" customFormat="1" x14ac:dyDescent="0.25">
      <c r="B10" s="3" t="s">
        <v>18</v>
      </c>
      <c r="C10" s="4">
        <v>12.214</v>
      </c>
      <c r="D10" s="4">
        <v>12.302</v>
      </c>
      <c r="E10" s="4">
        <v>12.413</v>
      </c>
      <c r="F10" s="4">
        <v>16.599</v>
      </c>
      <c r="G10" s="4">
        <v>13.4</v>
      </c>
      <c r="H10" s="4">
        <v>13.782</v>
      </c>
      <c r="I10" s="4">
        <v>14.538</v>
      </c>
      <c r="J10" s="4">
        <v>20.422000000000001</v>
      </c>
      <c r="K10" s="4">
        <v>15.917</v>
      </c>
      <c r="L10" s="4"/>
      <c r="M10" s="4"/>
      <c r="N10" s="4"/>
      <c r="O10" s="4">
        <v>18.791</v>
      </c>
      <c r="P10" s="4"/>
      <c r="Q10" s="4"/>
      <c r="S10" s="3">
        <v>49.298999999999999</v>
      </c>
      <c r="T10" s="3">
        <v>53.668999999999997</v>
      </c>
      <c r="U10" s="3">
        <v>58.319000000000003</v>
      </c>
    </row>
    <row r="11" spans="1:30" s="3" customFormat="1" x14ac:dyDescent="0.25">
      <c r="B11" s="3" t="s">
        <v>19</v>
      </c>
      <c r="C11" s="4">
        <v>16.623999999999999</v>
      </c>
      <c r="D11" s="4">
        <v>18.738</v>
      </c>
      <c r="E11" s="4">
        <v>17.024000000000001</v>
      </c>
      <c r="F11" s="4">
        <v>24.648</v>
      </c>
      <c r="G11" s="4">
        <v>20.646000000000001</v>
      </c>
      <c r="H11" s="4">
        <v>21.553000000000001</v>
      </c>
      <c r="I11" s="4">
        <v>22.404</v>
      </c>
      <c r="J11" s="4">
        <v>32.758000000000003</v>
      </c>
      <c r="K11" s="4">
        <v>27.991</v>
      </c>
      <c r="L11" s="4"/>
      <c r="M11" s="4"/>
      <c r="N11" s="4"/>
      <c r="O11" s="4">
        <v>34.697000000000003</v>
      </c>
      <c r="P11" s="4"/>
      <c r="Q11" s="4"/>
      <c r="S11" s="3">
        <v>70.453000000000003</v>
      </c>
      <c r="T11" s="3">
        <v>74.587000000000003</v>
      </c>
      <c r="U11" s="3">
        <v>89.251000000000005</v>
      </c>
    </row>
    <row r="12" spans="1:30" s="3" customFormat="1" x14ac:dyDescent="0.25">
      <c r="B12" s="3" t="s">
        <v>20</v>
      </c>
      <c r="C12" s="4">
        <f t="shared" ref="C12:K12" si="3">SUM(C8:C11)</f>
        <v>110.31</v>
      </c>
      <c r="D12" s="4">
        <f t="shared" si="3"/>
        <v>112.85</v>
      </c>
      <c r="E12" s="4">
        <f t="shared" si="3"/>
        <v>106.10799999999999</v>
      </c>
      <c r="F12" s="4">
        <f t="shared" si="3"/>
        <v>152.51900000000001</v>
      </c>
      <c r="G12" s="4">
        <f t="shared" si="3"/>
        <v>127.46300000000001</v>
      </c>
      <c r="H12" s="4">
        <f t="shared" si="3"/>
        <v>131.066</v>
      </c>
      <c r="I12" s="4">
        <f t="shared" si="3"/>
        <v>137.30600000000001</v>
      </c>
      <c r="J12" s="4">
        <f t="shared" si="3"/>
        <v>193.64000000000001</v>
      </c>
      <c r="K12" s="4">
        <f t="shared" si="3"/>
        <v>171.13499999999999</v>
      </c>
      <c r="L12" s="4"/>
      <c r="M12" s="4"/>
      <c r="N12" s="4">
        <f t="shared" ref="N12:O12" si="4">SUM(N8:N11)</f>
        <v>0</v>
      </c>
      <c r="O12" s="4">
        <f t="shared" si="4"/>
        <v>205.934</v>
      </c>
      <c r="P12" s="4"/>
      <c r="Q12" s="4"/>
      <c r="S12" s="4">
        <f>SUM(S8:S11)</f>
        <v>417.91899999999998</v>
      </c>
      <c r="T12" s="4">
        <f>SUM(T8:T11)</f>
        <v>466.13499999999999</v>
      </c>
      <c r="U12" s="4">
        <f>SUM(U8:U11)</f>
        <v>548.35400000000004</v>
      </c>
    </row>
    <row r="13" spans="1:30" s="3" customFormat="1" x14ac:dyDescent="0.25">
      <c r="B13" s="3" t="s">
        <v>21</v>
      </c>
      <c r="C13" s="4">
        <f t="shared" ref="C13:K13" si="5">+C7-C12</f>
        <v>25.60499999999999</v>
      </c>
      <c r="D13" s="4">
        <f t="shared" si="5"/>
        <v>26.408000000000015</v>
      </c>
      <c r="E13" s="4">
        <f t="shared" si="5"/>
        <v>23.827000000000012</v>
      </c>
      <c r="F13" s="4">
        <f t="shared" si="5"/>
        <v>50.563999999999993</v>
      </c>
      <c r="G13" s="4">
        <f t="shared" si="5"/>
        <v>45.430999999999997</v>
      </c>
      <c r="H13" s="4">
        <f t="shared" si="5"/>
        <v>44.486999999999995</v>
      </c>
      <c r="I13" s="4">
        <f t="shared" si="5"/>
        <v>39.863999999999976</v>
      </c>
      <c r="J13" s="4">
        <f t="shared" si="5"/>
        <v>65.365999999999957</v>
      </c>
      <c r="K13" s="4">
        <f t="shared" si="5"/>
        <v>62.360000000000014</v>
      </c>
      <c r="L13" s="4">
        <f>+L7*0.28</f>
        <v>63.901292000000005</v>
      </c>
      <c r="M13" s="4">
        <f>+M7*0.28</f>
        <v>64.489879999999999</v>
      </c>
      <c r="N13" s="4">
        <f t="shared" ref="N13:O13" si="6">+N7-N12</f>
        <v>0</v>
      </c>
      <c r="O13" s="4">
        <f t="shared" si="6"/>
        <v>74.681000000000012</v>
      </c>
      <c r="P13" s="4"/>
      <c r="Q13" s="4"/>
      <c r="S13" s="4">
        <f>+S7-S12</f>
        <v>82.15300000000002</v>
      </c>
      <c r="T13" s="4">
        <f>+T7-T12</f>
        <v>97.984000000000037</v>
      </c>
      <c r="U13" s="4">
        <f>+U7-U12</f>
        <v>180.346</v>
      </c>
      <c r="V13" s="3">
        <f>+V7*0.26</f>
        <v>250.96239999999997</v>
      </c>
      <c r="W13" s="3">
        <f>+W7*0.28</f>
        <v>369.38720000000006</v>
      </c>
      <c r="X13" s="3">
        <f>+X7*0.3</f>
        <v>537.37199999999996</v>
      </c>
      <c r="Y13" s="3">
        <f>+Y7*0.32</f>
        <v>724.2367999999999</v>
      </c>
      <c r="Z13" s="3">
        <f>+Z7*0.34</f>
        <v>929.98159999999996</v>
      </c>
      <c r="AA13" s="3">
        <f>+AA7*0.36</f>
        <v>1154.6063999999999</v>
      </c>
      <c r="AB13" s="3">
        <f>+AB7*0.38</f>
        <v>1398.1111999999998</v>
      </c>
      <c r="AC13" s="3">
        <f>+AC7*0.4</f>
        <v>1660.4960000000001</v>
      </c>
      <c r="AD13" s="3">
        <f>+AD7*0.42</f>
        <v>1941.7607999999998</v>
      </c>
    </row>
    <row r="14" spans="1:30" s="3" customFormat="1" x14ac:dyDescent="0.25">
      <c r="B14" s="3" t="s">
        <v>22</v>
      </c>
      <c r="C14" s="4">
        <v>16.283999999999999</v>
      </c>
      <c r="D14" s="4">
        <v>16.547000000000001</v>
      </c>
      <c r="E14" s="4">
        <v>16.268999999999998</v>
      </c>
      <c r="F14" s="4">
        <v>29.024000000000001</v>
      </c>
      <c r="G14" s="4">
        <v>23.321000000000002</v>
      </c>
      <c r="H14" s="4">
        <v>24.472000000000001</v>
      </c>
      <c r="I14" s="4">
        <v>24.673999999999999</v>
      </c>
      <c r="J14" s="4">
        <v>33.840000000000003</v>
      </c>
      <c r="K14" s="4">
        <v>28.280999999999999</v>
      </c>
      <c r="L14" s="4">
        <f>+H14</f>
        <v>24.472000000000001</v>
      </c>
      <c r="M14" s="4">
        <f>+I14</f>
        <v>24.673999999999999</v>
      </c>
      <c r="N14" s="4"/>
      <c r="O14" s="4">
        <v>32.051000000000002</v>
      </c>
      <c r="P14" s="4"/>
      <c r="Q14" s="4"/>
      <c r="S14" s="3">
        <v>64.792000000000002</v>
      </c>
      <c r="T14" s="3">
        <v>70.037000000000006</v>
      </c>
      <c r="U14" s="3">
        <v>101.491</v>
      </c>
      <c r="V14" s="3">
        <f>+U14*1.05</f>
        <v>106.56555</v>
      </c>
      <c r="W14" s="3">
        <f t="shared" ref="W14:AD14" si="7">+V14*1.05</f>
        <v>111.8938275</v>
      </c>
      <c r="X14" s="3">
        <f t="shared" si="7"/>
        <v>117.48851887500001</v>
      </c>
      <c r="Y14" s="3">
        <f t="shared" si="7"/>
        <v>123.36294481875002</v>
      </c>
      <c r="Z14" s="3">
        <f t="shared" si="7"/>
        <v>129.53109205968752</v>
      </c>
      <c r="AA14" s="3">
        <f t="shared" si="7"/>
        <v>136.0076466626719</v>
      </c>
      <c r="AB14" s="3">
        <f t="shared" si="7"/>
        <v>142.8080289958055</v>
      </c>
      <c r="AC14" s="3">
        <f t="shared" si="7"/>
        <v>149.94843044559579</v>
      </c>
      <c r="AD14" s="3">
        <f t="shared" si="7"/>
        <v>157.4458519678756</v>
      </c>
    </row>
    <row r="15" spans="1:30" s="3" customFormat="1" x14ac:dyDescent="0.25">
      <c r="B15" s="3" t="s">
        <v>23</v>
      </c>
      <c r="C15" s="4">
        <f t="shared" ref="C15:M15" si="8">+C13-C14</f>
        <v>9.3209999999999908</v>
      </c>
      <c r="D15" s="4">
        <f t="shared" si="8"/>
        <v>9.8610000000000149</v>
      </c>
      <c r="E15" s="4">
        <f t="shared" si="8"/>
        <v>7.558000000000014</v>
      </c>
      <c r="F15" s="4">
        <f t="shared" si="8"/>
        <v>21.539999999999992</v>
      </c>
      <c r="G15" s="4">
        <f t="shared" si="8"/>
        <v>22.109999999999996</v>
      </c>
      <c r="H15" s="4">
        <f t="shared" si="8"/>
        <v>20.014999999999993</v>
      </c>
      <c r="I15" s="4">
        <f t="shared" si="8"/>
        <v>15.189999999999976</v>
      </c>
      <c r="J15" s="4">
        <f t="shared" si="8"/>
        <v>31.525999999999954</v>
      </c>
      <c r="K15" s="4">
        <f t="shared" si="8"/>
        <v>34.079000000000015</v>
      </c>
      <c r="L15" s="4">
        <f t="shared" si="8"/>
        <v>39.429292000000004</v>
      </c>
      <c r="M15" s="4">
        <f t="shared" si="8"/>
        <v>39.81588</v>
      </c>
      <c r="N15" s="4">
        <f t="shared" ref="N15" si="9">+N13-N14</f>
        <v>0</v>
      </c>
      <c r="O15" s="4">
        <f t="shared" ref="O15" si="10">+O13-O14</f>
        <v>42.63000000000001</v>
      </c>
      <c r="P15" s="4"/>
      <c r="Q15" s="4"/>
      <c r="S15" s="4">
        <f>+S13-S14</f>
        <v>17.361000000000018</v>
      </c>
      <c r="T15" s="4">
        <f>+T13-T14</f>
        <v>27.947000000000031</v>
      </c>
      <c r="U15" s="4">
        <f>+U13-U14</f>
        <v>78.855000000000004</v>
      </c>
      <c r="V15" s="4">
        <f t="shared" ref="V15:AD15" si="11">+V13-V14</f>
        <v>144.39684999999997</v>
      </c>
      <c r="W15" s="4">
        <f t="shared" si="11"/>
        <v>257.49337250000008</v>
      </c>
      <c r="X15" s="4">
        <f t="shared" si="11"/>
        <v>419.88348112499995</v>
      </c>
      <c r="Y15" s="4">
        <f t="shared" si="11"/>
        <v>600.87385518124984</v>
      </c>
      <c r="Z15" s="4">
        <f t="shared" si="11"/>
        <v>800.45050794031249</v>
      </c>
      <c r="AA15" s="4">
        <f t="shared" si="11"/>
        <v>1018.5987533373279</v>
      </c>
      <c r="AB15" s="4">
        <f t="shared" si="11"/>
        <v>1255.3031710041944</v>
      </c>
      <c r="AC15" s="4">
        <f t="shared" si="11"/>
        <v>1510.5475695544044</v>
      </c>
      <c r="AD15" s="4">
        <f t="shared" si="11"/>
        <v>1784.3149480321242</v>
      </c>
    </row>
    <row r="16" spans="1:30" s="3" customFormat="1" x14ac:dyDescent="0.25">
      <c r="B16" s="3" t="s">
        <v>27</v>
      </c>
      <c r="C16" s="4">
        <f>-0.034+0.198</f>
        <v>0.16400000000000001</v>
      </c>
      <c r="D16" s="4">
        <f>0.115+0.188</f>
        <v>0.30299999999999999</v>
      </c>
      <c r="E16" s="4">
        <f>0.215+0.275</f>
        <v>0.49</v>
      </c>
      <c r="F16" s="4">
        <f>0.174-0.025</f>
        <v>0.14899999999999999</v>
      </c>
      <c r="G16" s="4">
        <f>0.699+0.118</f>
        <v>0.81699999999999995</v>
      </c>
      <c r="H16" s="4">
        <f>3.956+0.12</f>
        <v>4.0759999999999996</v>
      </c>
      <c r="I16" s="4">
        <f>4.222+0.059</f>
        <v>4.2810000000000006</v>
      </c>
      <c r="J16" s="4">
        <f>4.914+0.078</f>
        <v>4.992</v>
      </c>
      <c r="K16" s="4">
        <f>3.824+0.06</f>
        <v>3.8839999999999999</v>
      </c>
      <c r="L16" s="4">
        <f>+K16</f>
        <v>3.8839999999999999</v>
      </c>
      <c r="M16" s="4">
        <f>+L16</f>
        <v>3.8839999999999999</v>
      </c>
      <c r="N16" s="4"/>
      <c r="O16" s="4"/>
      <c r="P16" s="4"/>
      <c r="Q16" s="4"/>
      <c r="S16" s="3">
        <v>-4.8099999999999996</v>
      </c>
      <c r="T16" s="3">
        <v>-4.7E-2</v>
      </c>
      <c r="U16" s="3">
        <v>8.8520000000000003</v>
      </c>
    </row>
    <row r="17" spans="2:30" s="3" customFormat="1" x14ac:dyDescent="0.25">
      <c r="B17" s="3" t="s">
        <v>24</v>
      </c>
      <c r="C17" s="4">
        <f t="shared" ref="C17:D17" si="12">+C15+C16</f>
        <v>9.4849999999999905</v>
      </c>
      <c r="D17" s="4">
        <f t="shared" si="12"/>
        <v>10.164000000000016</v>
      </c>
      <c r="E17" s="4">
        <f t="shared" ref="E17:I17" si="13">+E15+E16</f>
        <v>8.0480000000000143</v>
      </c>
      <c r="F17" s="4">
        <f t="shared" si="13"/>
        <v>21.688999999999993</v>
      </c>
      <c r="G17" s="4">
        <f t="shared" si="13"/>
        <v>22.926999999999996</v>
      </c>
      <c r="H17" s="4">
        <f t="shared" si="13"/>
        <v>24.090999999999994</v>
      </c>
      <c r="I17" s="4">
        <f t="shared" si="13"/>
        <v>19.470999999999975</v>
      </c>
      <c r="J17" s="4">
        <f>+J15+J16</f>
        <v>36.517999999999951</v>
      </c>
      <c r="K17" s="4">
        <f>+K15+K16</f>
        <v>37.963000000000015</v>
      </c>
      <c r="L17" s="4">
        <f>+L15+L16</f>
        <v>43.313292000000004</v>
      </c>
      <c r="M17" s="4">
        <f>+M15+M16</f>
        <v>43.69988</v>
      </c>
      <c r="N17" s="4">
        <f t="shared" ref="N17:O17" si="14">+N15+N16</f>
        <v>0</v>
      </c>
      <c r="O17" s="4">
        <f t="shared" si="14"/>
        <v>42.63000000000001</v>
      </c>
      <c r="P17" s="4"/>
      <c r="Q17" s="4"/>
      <c r="S17" s="4">
        <f>+S15+S16</f>
        <v>12.55100000000002</v>
      </c>
      <c r="T17" s="4">
        <f>+T15+T16</f>
        <v>27.900000000000031</v>
      </c>
      <c r="U17" s="4">
        <f>+U15+U16</f>
        <v>87.707000000000008</v>
      </c>
      <c r="V17" s="4">
        <f t="shared" ref="V17:AD17" si="15">+V15+V16</f>
        <v>144.39684999999997</v>
      </c>
      <c r="W17" s="4">
        <f t="shared" si="15"/>
        <v>257.49337250000008</v>
      </c>
      <c r="X17" s="4">
        <f t="shared" si="15"/>
        <v>419.88348112499995</v>
      </c>
      <c r="Y17" s="4">
        <f t="shared" si="15"/>
        <v>600.87385518124984</v>
      </c>
      <c r="Z17" s="4">
        <f t="shared" si="15"/>
        <v>800.45050794031249</v>
      </c>
      <c r="AA17" s="4">
        <f t="shared" si="15"/>
        <v>1018.5987533373279</v>
      </c>
      <c r="AB17" s="4">
        <f t="shared" si="15"/>
        <v>1255.3031710041944</v>
      </c>
      <c r="AC17" s="4">
        <f t="shared" si="15"/>
        <v>1510.5475695544044</v>
      </c>
      <c r="AD17" s="4">
        <f t="shared" si="15"/>
        <v>1784.3149480321242</v>
      </c>
    </row>
    <row r="18" spans="2:30" s="3" customFormat="1" x14ac:dyDescent="0.25">
      <c r="B18" s="3" t="s">
        <v>25</v>
      </c>
      <c r="C18" s="4">
        <v>5.6000000000000001E-2</v>
      </c>
      <c r="D18" s="4">
        <v>2.9000000000000001E-2</v>
      </c>
      <c r="E18" s="4">
        <v>2.5999999999999999E-2</v>
      </c>
      <c r="F18" s="4">
        <v>3.7999999999999999E-2</v>
      </c>
      <c r="G18" s="4">
        <v>0.04</v>
      </c>
      <c r="H18" s="4">
        <v>3.7999999999999999E-2</v>
      </c>
      <c r="I18" s="4">
        <v>0.65200000000000002</v>
      </c>
      <c r="J18" s="4">
        <v>0.252</v>
      </c>
      <c r="K18" s="4">
        <v>0.28699999999999998</v>
      </c>
      <c r="L18" s="4">
        <f>+L17*0.1</f>
        <v>4.3313292000000008</v>
      </c>
      <c r="M18" s="4">
        <f>+M17*0.1</f>
        <v>4.3699880000000002</v>
      </c>
      <c r="N18" s="4"/>
      <c r="O18" s="4"/>
      <c r="P18" s="4"/>
      <c r="Q18" s="4"/>
      <c r="S18" s="3">
        <v>0.11700000000000001</v>
      </c>
      <c r="T18" s="3">
        <v>9.2999999999999999E-2</v>
      </c>
      <c r="U18" s="3">
        <v>0.76800000000000002</v>
      </c>
      <c r="V18" s="3">
        <f>+V17*0.1</f>
        <v>14.439684999999997</v>
      </c>
      <c r="W18" s="3">
        <f>+W17*0.1</f>
        <v>25.749337250000011</v>
      </c>
      <c r="X18" s="3">
        <f>+X17*0.1</f>
        <v>41.988348112499999</v>
      </c>
      <c r="Y18" s="3">
        <f>+Y17*0.1</f>
        <v>60.087385518124989</v>
      </c>
      <c r="Z18" s="3">
        <f>+Z17*0.15</f>
        <v>120.06757619104687</v>
      </c>
      <c r="AA18" s="3">
        <f>+AA17*0.15</f>
        <v>152.7898130005992</v>
      </c>
      <c r="AB18" s="3">
        <f>+AB17*0.15</f>
        <v>188.29547565062916</v>
      </c>
      <c r="AC18" s="3">
        <f>+AC17*0.2</f>
        <v>302.10951391088088</v>
      </c>
      <c r="AD18" s="3">
        <f>+AD17*0.2</f>
        <v>356.86298960642489</v>
      </c>
    </row>
    <row r="19" spans="2:30" s="3" customFormat="1" x14ac:dyDescent="0.25">
      <c r="B19" s="3" t="s">
        <v>26</v>
      </c>
      <c r="C19" s="4">
        <f t="shared" ref="C19:D19" si="16">+C17-C18</f>
        <v>9.4289999999999914</v>
      </c>
      <c r="D19" s="4">
        <f t="shared" si="16"/>
        <v>10.135000000000016</v>
      </c>
      <c r="E19" s="4">
        <f t="shared" ref="E19:I19" si="17">+E17-E18</f>
        <v>8.0220000000000145</v>
      </c>
      <c r="F19" s="4">
        <f t="shared" si="17"/>
        <v>21.650999999999993</v>
      </c>
      <c r="G19" s="4">
        <f t="shared" si="17"/>
        <v>22.886999999999997</v>
      </c>
      <c r="H19" s="4">
        <f t="shared" si="17"/>
        <v>24.052999999999994</v>
      </c>
      <c r="I19" s="4">
        <f t="shared" si="17"/>
        <v>18.818999999999974</v>
      </c>
      <c r="J19" s="4">
        <f>+J17-J18</f>
        <v>36.265999999999948</v>
      </c>
      <c r="K19" s="4">
        <f>+K17-K18</f>
        <v>37.676000000000016</v>
      </c>
      <c r="L19" s="4">
        <f>+L17-L18</f>
        <v>38.981962800000005</v>
      </c>
      <c r="M19" s="4">
        <f>+M17-M18</f>
        <v>39.329892000000001</v>
      </c>
      <c r="N19" s="4">
        <f t="shared" ref="N19:O19" si="18">+N17-N18</f>
        <v>0</v>
      </c>
      <c r="O19" s="4">
        <f t="shared" si="18"/>
        <v>42.63000000000001</v>
      </c>
      <c r="P19" s="4"/>
      <c r="Q19" s="4"/>
      <c r="S19" s="4">
        <f>+S17-S18</f>
        <v>12.434000000000019</v>
      </c>
      <c r="T19" s="4">
        <f>+T17-T18</f>
        <v>27.807000000000031</v>
      </c>
      <c r="U19" s="4">
        <f>+U17-U18</f>
        <v>86.939000000000007</v>
      </c>
      <c r="V19" s="4">
        <f t="shared" ref="V19:AD19" si="19">+V17-V18</f>
        <v>129.95716499999997</v>
      </c>
      <c r="W19" s="4">
        <f t="shared" si="19"/>
        <v>231.74403525000008</v>
      </c>
      <c r="X19" s="4">
        <f t="shared" si="19"/>
        <v>377.89513301249997</v>
      </c>
      <c r="Y19" s="4">
        <f t="shared" si="19"/>
        <v>540.78646966312488</v>
      </c>
      <c r="Z19" s="4">
        <f t="shared" si="19"/>
        <v>680.38293174926559</v>
      </c>
      <c r="AA19" s="4">
        <f t="shared" si="19"/>
        <v>865.80894033672871</v>
      </c>
      <c r="AB19" s="4">
        <f t="shared" si="19"/>
        <v>1067.0076953535652</v>
      </c>
      <c r="AC19" s="4">
        <f t="shared" si="19"/>
        <v>1208.4380556435235</v>
      </c>
      <c r="AD19" s="4">
        <f t="shared" si="19"/>
        <v>1427.4519584256993</v>
      </c>
    </row>
    <row r="20" spans="2:30" s="3" customFormat="1" x14ac:dyDescent="0.25">
      <c r="B20" s="3" t="s">
        <v>37</v>
      </c>
      <c r="C20" s="11">
        <f t="shared" ref="C20:M20" si="20">+C19/C21</f>
        <v>7.1323751891074059</v>
      </c>
      <c r="D20" s="11">
        <f t="shared" si="20"/>
        <v>7.6375282592313614</v>
      </c>
      <c r="E20" s="11">
        <f t="shared" si="20"/>
        <v>5.8384279475982632</v>
      </c>
      <c r="F20" s="11">
        <f t="shared" si="20"/>
        <v>13.145719489981781</v>
      </c>
      <c r="G20" s="11">
        <f t="shared" si="20"/>
        <v>0.73170497778061949</v>
      </c>
      <c r="H20" s="11">
        <f t="shared" si="20"/>
        <v>0.20433596968898929</v>
      </c>
      <c r="I20" s="11">
        <f t="shared" si="20"/>
        <v>0.16050319829424284</v>
      </c>
      <c r="J20" s="11">
        <f t="shared" si="20"/>
        <v>0.30750576583909872</v>
      </c>
      <c r="K20" s="11">
        <f t="shared" si="20"/>
        <v>0.31850267560507578</v>
      </c>
      <c r="L20" s="11">
        <f t="shared" si="20"/>
        <v>0.32954293056952777</v>
      </c>
      <c r="M20" s="11">
        <f t="shared" si="20"/>
        <v>0.33248422956945162</v>
      </c>
      <c r="N20" s="11">
        <f t="shared" ref="N20" si="21">+N19/N21</f>
        <v>0</v>
      </c>
      <c r="O20" s="11">
        <f t="shared" ref="O20" si="22">+O19/O21</f>
        <v>0.36025149154089281</v>
      </c>
      <c r="P20" s="11"/>
      <c r="Q20" s="11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2:30" s="3" customFormat="1" x14ac:dyDescent="0.25">
      <c r="B21" s="3" t="s">
        <v>1</v>
      </c>
      <c r="C21" s="4">
        <v>1.3220000000000001</v>
      </c>
      <c r="D21" s="4">
        <v>1.327</v>
      </c>
      <c r="E21" s="4">
        <v>1.3740000000000001</v>
      </c>
      <c r="F21" s="4">
        <v>1.647</v>
      </c>
      <c r="G21" s="4">
        <v>31.279</v>
      </c>
      <c r="H21" s="4">
        <v>117.71299999999999</v>
      </c>
      <c r="I21" s="4">
        <v>117.25</v>
      </c>
      <c r="J21" s="4">
        <v>117.93600000000001</v>
      </c>
      <c r="K21" s="4">
        <v>118.291</v>
      </c>
      <c r="L21" s="4">
        <f>+K21</f>
        <v>118.291</v>
      </c>
      <c r="M21" s="4">
        <f>+L21</f>
        <v>118.291</v>
      </c>
      <c r="N21" s="4">
        <f t="shared" ref="N21:O21" si="23">+M21</f>
        <v>118.291</v>
      </c>
      <c r="O21" s="4">
        <v>118.334</v>
      </c>
      <c r="P21" s="4"/>
      <c r="Q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3" spans="2:30" x14ac:dyDescent="0.25">
      <c r="B23" s="3" t="s">
        <v>28</v>
      </c>
      <c r="G23" s="7">
        <f t="shared" ref="G23:M23" si="24">+G7/C7-1</f>
        <v>0.2720744583011443</v>
      </c>
      <c r="H23" s="7">
        <f t="shared" si="24"/>
        <v>0.26063134613451289</v>
      </c>
      <c r="I23" s="7">
        <f t="shared" si="24"/>
        <v>0.36352791780505633</v>
      </c>
      <c r="J23" s="7">
        <f t="shared" si="24"/>
        <v>0.27537016884721988</v>
      </c>
      <c r="K23" s="7">
        <f t="shared" si="24"/>
        <v>0.35050956077133955</v>
      </c>
      <c r="L23" s="7">
        <f t="shared" si="24"/>
        <v>0.30000000000000004</v>
      </c>
      <c r="M23" s="7">
        <f t="shared" si="24"/>
        <v>0.30000000000000004</v>
      </c>
      <c r="N23" s="7">
        <f t="shared" ref="N23" si="25">+N7/J7-1</f>
        <v>-1</v>
      </c>
      <c r="O23" s="7">
        <f t="shared" ref="O23" si="26">+O7/K7-1</f>
        <v>0.20180303646759024</v>
      </c>
      <c r="P23" s="7"/>
      <c r="Q23" s="7"/>
      <c r="T23" s="9">
        <f>+T7/S7-1</f>
        <v>0.1280755571197747</v>
      </c>
      <c r="U23" s="9">
        <f>+U7/T7-1</f>
        <v>0.29174872677573349</v>
      </c>
      <c r="V23" s="9">
        <f t="shared" ref="V23:AD23" si="27">+V7/U7-1</f>
        <v>0.32460546178125416</v>
      </c>
      <c r="W23" s="9">
        <f t="shared" si="27"/>
        <v>0.36674816625916895</v>
      </c>
      <c r="X23" s="9">
        <f t="shared" si="27"/>
        <v>0.35778175313059024</v>
      </c>
      <c r="Y23" s="9">
        <f t="shared" si="27"/>
        <v>0.26350461133069825</v>
      </c>
      <c r="Z23" s="9">
        <f t="shared" si="27"/>
        <v>0.20855057351407713</v>
      </c>
      <c r="AA23" s="9">
        <f t="shared" si="27"/>
        <v>0.17256255392579822</v>
      </c>
      <c r="AB23" s="9">
        <f t="shared" si="27"/>
        <v>0.14716703458425306</v>
      </c>
      <c r="AC23" s="9">
        <f t="shared" si="27"/>
        <v>0.12828736369467597</v>
      </c>
      <c r="AD23" s="9">
        <f t="shared" si="27"/>
        <v>0.11370096645821492</v>
      </c>
    </row>
    <row r="24" spans="2:30" x14ac:dyDescent="0.25">
      <c r="B24" s="3" t="s">
        <v>34</v>
      </c>
      <c r="C24" s="9">
        <f t="shared" ref="C24:M24" si="28">+C13/C7</f>
        <v>0.18838980245006062</v>
      </c>
      <c r="D24" s="9">
        <f t="shared" si="28"/>
        <v>0.18963362966580027</v>
      </c>
      <c r="E24" s="9">
        <f t="shared" si="28"/>
        <v>0.18337630353638368</v>
      </c>
      <c r="F24" s="9">
        <f t="shared" si="28"/>
        <v>0.24898194334336204</v>
      </c>
      <c r="G24" s="9">
        <f t="shared" si="28"/>
        <v>0.26276793873702958</v>
      </c>
      <c r="H24" s="9">
        <f t="shared" si="28"/>
        <v>0.25341065091453863</v>
      </c>
      <c r="I24" s="9">
        <f t="shared" si="28"/>
        <v>0.22500423322232871</v>
      </c>
      <c r="J24" s="9">
        <f t="shared" si="28"/>
        <v>0.25237253191045755</v>
      </c>
      <c r="K24" s="9">
        <f t="shared" si="28"/>
        <v>0.2670721000449689</v>
      </c>
      <c r="L24" s="9">
        <f t="shared" si="28"/>
        <v>0.28000000000000003</v>
      </c>
      <c r="M24" s="9">
        <f t="shared" si="28"/>
        <v>0.28000000000000003</v>
      </c>
      <c r="N24" s="9" t="e">
        <f t="shared" ref="N24:O24" si="29">+N13/N7</f>
        <v>#DIV/0!</v>
      </c>
      <c r="O24" s="9">
        <f t="shared" si="29"/>
        <v>0.26613331432745935</v>
      </c>
      <c r="P24" s="9"/>
      <c r="Q24" s="9"/>
      <c r="S24" s="9">
        <f>+S13/S7</f>
        <v>0.1642823433425587</v>
      </c>
      <c r="T24" s="9">
        <f>+T13/T7</f>
        <v>0.17369384828378415</v>
      </c>
      <c r="U24" s="9">
        <f>+U13/U7</f>
        <v>0.24749005077535335</v>
      </c>
      <c r="V24" s="9">
        <f t="shared" ref="V24:AD24" si="30">+V13/V7</f>
        <v>0.26</v>
      </c>
      <c r="W24" s="9">
        <f t="shared" si="30"/>
        <v>0.28000000000000003</v>
      </c>
      <c r="X24" s="9">
        <f t="shared" si="30"/>
        <v>0.3</v>
      </c>
      <c r="Y24" s="9">
        <f t="shared" si="30"/>
        <v>0.32</v>
      </c>
      <c r="Z24" s="9">
        <f t="shared" si="30"/>
        <v>0.34</v>
      </c>
      <c r="AA24" s="9">
        <f t="shared" si="30"/>
        <v>0.36</v>
      </c>
      <c r="AB24" s="9">
        <f t="shared" si="30"/>
        <v>0.37999999999999995</v>
      </c>
      <c r="AC24" s="9">
        <f t="shared" si="30"/>
        <v>0.4</v>
      </c>
      <c r="AD24" s="9">
        <f t="shared" si="30"/>
        <v>0.42</v>
      </c>
    </row>
    <row r="25" spans="2:30" x14ac:dyDescent="0.25">
      <c r="B25" s="3" t="s">
        <v>35</v>
      </c>
      <c r="S25" s="9">
        <f>+S15/S7</f>
        <v>3.4717000751891762E-2</v>
      </c>
      <c r="T25" s="9">
        <f>+T15/T7</f>
        <v>4.9540965647319149E-2</v>
      </c>
      <c r="U25" s="9">
        <f>+U15/U7</f>
        <v>0.10821325648414985</v>
      </c>
      <c r="V25" s="9">
        <f t="shared" ref="V25:AD25" si="31">+V15/V7</f>
        <v>0.14959683602005719</v>
      </c>
      <c r="W25" s="9">
        <f t="shared" si="31"/>
        <v>0.19518311489948764</v>
      </c>
      <c r="X25" s="9">
        <f t="shared" si="31"/>
        <v>0.23440939300428751</v>
      </c>
      <c r="Y25" s="9">
        <f t="shared" si="31"/>
        <v>0.26549276929589877</v>
      </c>
      <c r="Z25" s="9">
        <f t="shared" si="31"/>
        <v>0.29264361004530226</v>
      </c>
      <c r="AA25" s="9">
        <f t="shared" si="31"/>
        <v>0.31759355499972813</v>
      </c>
      <c r="AB25" s="9">
        <f t="shared" si="31"/>
        <v>0.34118545433410008</v>
      </c>
      <c r="AC25" s="9">
        <f t="shared" si="31"/>
        <v>0.36387864097339701</v>
      </c>
      <c r="AD25" s="9">
        <f t="shared" si="31"/>
        <v>0.38594469420409155</v>
      </c>
    </row>
    <row r="28" spans="2:30" s="3" customFormat="1" x14ac:dyDescent="0.25">
      <c r="B28" s="3" t="s">
        <v>31</v>
      </c>
      <c r="C28" s="4"/>
      <c r="D28" s="4"/>
      <c r="E28" s="4"/>
      <c r="F28" s="4">
        <v>25.678999999999998</v>
      </c>
      <c r="G28" s="4">
        <v>47.11</v>
      </c>
      <c r="H28" s="4"/>
      <c r="I28" s="4"/>
      <c r="J28" s="4">
        <v>38.386000000000003</v>
      </c>
      <c r="K28" s="4">
        <v>87.295000000000002</v>
      </c>
      <c r="L28" s="4"/>
      <c r="M28" s="4"/>
      <c r="N28" s="4"/>
      <c r="O28" s="4"/>
      <c r="P28" s="4"/>
      <c r="Q28" s="4"/>
      <c r="S28" s="3">
        <v>3.3929999999999998</v>
      </c>
      <c r="T28" s="3">
        <v>6.0380000000000003</v>
      </c>
      <c r="U28" s="3">
        <v>97.100999999999999</v>
      </c>
    </row>
    <row r="29" spans="2:30" s="3" customFormat="1" x14ac:dyDescent="0.25">
      <c r="B29" s="3" t="s">
        <v>30</v>
      </c>
      <c r="C29" s="4"/>
      <c r="D29" s="4"/>
      <c r="E29" s="4"/>
      <c r="F29" s="4">
        <v>39.097000000000001</v>
      </c>
      <c r="G29" s="4">
        <v>72.477999999999994</v>
      </c>
      <c r="H29" s="4"/>
      <c r="I29" s="4"/>
      <c r="J29" s="4">
        <v>33.686999999999998</v>
      </c>
      <c r="K29" s="4">
        <v>59.881999999999998</v>
      </c>
      <c r="L29" s="4"/>
      <c r="M29" s="4"/>
      <c r="N29" s="4"/>
      <c r="O29" s="4"/>
      <c r="P29" s="4"/>
      <c r="Q29" s="4"/>
      <c r="S29" s="3">
        <v>56.308999999999997</v>
      </c>
      <c r="T29" s="3">
        <v>104.161</v>
      </c>
      <c r="U29" s="3">
        <v>168.80600000000001</v>
      </c>
    </row>
    <row r="30" spans="2:30" s="3" customFormat="1" x14ac:dyDescent="0.25">
      <c r="B30" s="3" t="s">
        <v>29</v>
      </c>
      <c r="C30" s="4"/>
      <c r="D30" s="4"/>
      <c r="E30" s="4"/>
      <c r="F30" s="4">
        <f>+F28-F29</f>
        <v>-13.418000000000003</v>
      </c>
      <c r="G30" s="4">
        <f>+G28-G29</f>
        <v>-25.367999999999995</v>
      </c>
      <c r="H30" s="4"/>
      <c r="I30" s="4"/>
      <c r="J30" s="4">
        <f>+J28-J29</f>
        <v>4.6990000000000052</v>
      </c>
      <c r="K30" s="4">
        <f>+K28-K29</f>
        <v>27.413000000000004</v>
      </c>
      <c r="L30" s="4"/>
      <c r="M30" s="4"/>
      <c r="N30" s="4"/>
      <c r="O30" s="4"/>
      <c r="P30" s="4"/>
      <c r="Q30" s="4"/>
      <c r="S30" s="3">
        <f t="shared" ref="S30:T30" si="32">+S28-S29</f>
        <v>-52.915999999999997</v>
      </c>
      <c r="T30" s="3">
        <f t="shared" si="32"/>
        <v>-98.123000000000005</v>
      </c>
      <c r="U30" s="3">
        <f>+U28-U29</f>
        <v>-71.705000000000013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Chaves</dc:creator>
  <cp:lastModifiedBy>Sebastian Chaves</cp:lastModifiedBy>
  <dcterms:created xsi:type="dcterms:W3CDTF">2024-10-13T15:03:28Z</dcterms:created>
  <dcterms:modified xsi:type="dcterms:W3CDTF">2025-08-12T20:18:32Z</dcterms:modified>
</cp:coreProperties>
</file>