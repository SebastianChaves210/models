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35FCA647-AA9C-4911-8CBC-CAC8D7ADB633}" xr6:coauthVersionLast="47" xr6:coauthVersionMax="47" xr10:uidLastSave="{00000000-0000-0000-0000-000000000000}"/>
  <bookViews>
    <workbookView xWindow="7140" yWindow="4305" windowWidth="21660" windowHeight="11175" activeTab="2" xr2:uid="{00000000-000D-0000-FFFF-FFFF00000000}"/>
  </bookViews>
  <sheets>
    <sheet name="Main" sheetId="1" r:id="rId1"/>
    <sheet name="Model" sheetId="2" r:id="rId2"/>
    <sheet name="Yutrepia" sheetId="3" r:id="rId3"/>
    <sheet name="Generic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28" i="2" l="1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L16" i="2"/>
  <c r="AI16" i="2"/>
  <c r="AI14" i="2"/>
  <c r="AT11" i="2"/>
  <c r="AU11" i="2" s="1"/>
  <c r="AV6" i="2"/>
  <c r="AU6" i="2"/>
  <c r="AT6" i="2"/>
  <c r="AX19" i="2"/>
  <c r="AX10" i="2"/>
  <c r="AX6" i="2"/>
  <c r="AX7" i="2" s="1"/>
  <c r="AX5" i="2"/>
  <c r="AX3" i="2"/>
  <c r="AX2" i="2"/>
  <c r="AU19" i="2"/>
  <c r="AV19" i="2" s="1"/>
  <c r="AU10" i="2"/>
  <c r="AV10" i="2" s="1"/>
  <c r="AU7" i="2"/>
  <c r="AU5" i="2"/>
  <c r="AV5" i="2" s="1"/>
  <c r="AU3" i="2"/>
  <c r="AV3" i="2" s="1"/>
  <c r="AW3" i="2" s="1"/>
  <c r="AU2" i="2"/>
  <c r="AV2" i="2" s="1"/>
  <c r="AW2" i="2" s="1"/>
  <c r="AS6" i="2"/>
  <c r="AR6" i="2"/>
  <c r="AQ6" i="2"/>
  <c r="AP6" i="2"/>
  <c r="AO6" i="2"/>
  <c r="AN6" i="2"/>
  <c r="AM6" i="2"/>
  <c r="AL6" i="2"/>
  <c r="AK6" i="2"/>
  <c r="AJ6" i="2"/>
  <c r="AI6" i="2"/>
  <c r="K5" i="2"/>
  <c r="L5" i="2" s="1"/>
  <c r="M5" i="2" s="1"/>
  <c r="N5" i="2" s="1"/>
  <c r="N7" i="2" s="1"/>
  <c r="N8" i="2" s="1"/>
  <c r="I5" i="2"/>
  <c r="H5" i="2"/>
  <c r="G5" i="2"/>
  <c r="N3" i="2"/>
  <c r="M3" i="2"/>
  <c r="L3" i="2"/>
  <c r="AF3" i="2"/>
  <c r="AG3" i="2"/>
  <c r="L11" i="2"/>
  <c r="M11" i="2" s="1"/>
  <c r="N11" i="2" s="1"/>
  <c r="L10" i="2"/>
  <c r="L19" i="2"/>
  <c r="M19" i="2" s="1"/>
  <c r="N19" i="2" s="1"/>
  <c r="AH19" i="2" s="1"/>
  <c r="AI19" i="2" s="1"/>
  <c r="AJ19" i="2" s="1"/>
  <c r="AK19" i="2" s="1"/>
  <c r="L8" i="2"/>
  <c r="L7" i="2"/>
  <c r="F19" i="2"/>
  <c r="F11" i="2"/>
  <c r="F10" i="2"/>
  <c r="F8" i="2"/>
  <c r="F7" i="2"/>
  <c r="C14" i="2"/>
  <c r="C12" i="2"/>
  <c r="C9" i="2"/>
  <c r="J16" i="2"/>
  <c r="J11" i="2"/>
  <c r="J10" i="2"/>
  <c r="J8" i="2"/>
  <c r="J7" i="2"/>
  <c r="J5" i="2" s="1"/>
  <c r="K21" i="2"/>
  <c r="D14" i="2"/>
  <c r="D12" i="2"/>
  <c r="D9" i="2"/>
  <c r="H14" i="2"/>
  <c r="J19" i="2"/>
  <c r="E14" i="2"/>
  <c r="E12" i="2"/>
  <c r="E9" i="2"/>
  <c r="I14" i="2"/>
  <c r="I9" i="2"/>
  <c r="I22" i="2" s="1"/>
  <c r="H9" i="2"/>
  <c r="H22" i="2" s="1"/>
  <c r="G9" i="2"/>
  <c r="I12" i="2"/>
  <c r="H12" i="2"/>
  <c r="G12" i="2"/>
  <c r="AF14" i="2"/>
  <c r="AG14" i="2"/>
  <c r="AH14" i="2" s="1"/>
  <c r="AF9" i="2"/>
  <c r="AF22" i="2" s="1"/>
  <c r="AF12" i="2"/>
  <c r="AG12" i="2"/>
  <c r="AG9" i="2"/>
  <c r="AG22" i="2" s="1"/>
  <c r="AG2" i="2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J5" i="1"/>
  <c r="K62" i="2"/>
  <c r="G14" i="2"/>
  <c r="K14" i="2"/>
  <c r="J47" i="2"/>
  <c r="J39" i="2"/>
  <c r="J38" i="2"/>
  <c r="J43" i="2" s="1"/>
  <c r="J31" i="2"/>
  <c r="J33" i="2" s="1"/>
  <c r="K47" i="2"/>
  <c r="K39" i="2"/>
  <c r="K38" i="2"/>
  <c r="K31" i="2"/>
  <c r="K33" i="2" s="1"/>
  <c r="K12" i="2"/>
  <c r="K9" i="2"/>
  <c r="K22" i="2" s="1"/>
  <c r="J4" i="1"/>
  <c r="AV11" i="2" l="1"/>
  <c r="AX11" i="2" s="1"/>
  <c r="AX12" i="2" s="1"/>
  <c r="AU12" i="2"/>
  <c r="AX9" i="2"/>
  <c r="AX8" i="2"/>
  <c r="AU9" i="2"/>
  <c r="F12" i="2"/>
  <c r="AL19" i="2"/>
  <c r="F9" i="2"/>
  <c r="F22" i="2" s="1"/>
  <c r="AH3" i="2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L12" i="2"/>
  <c r="AG13" i="2"/>
  <c r="AG15" i="2" s="1"/>
  <c r="AG17" i="2" s="1"/>
  <c r="AG18" i="2" s="1"/>
  <c r="AH11" i="2"/>
  <c r="AI11" i="2" s="1"/>
  <c r="F5" i="2"/>
  <c r="F14" i="2"/>
  <c r="J12" i="2"/>
  <c r="J21" i="2"/>
  <c r="F13" i="2"/>
  <c r="F15" i="2" s="1"/>
  <c r="F17" i="2" s="1"/>
  <c r="F18" i="2" s="1"/>
  <c r="J14" i="2"/>
  <c r="J9" i="2"/>
  <c r="J13" i="2" s="1"/>
  <c r="J15" i="2" s="1"/>
  <c r="J17" i="2" s="1"/>
  <c r="J18" i="2" s="1"/>
  <c r="L9" i="2"/>
  <c r="G13" i="2"/>
  <c r="G15" i="2" s="1"/>
  <c r="G17" i="2" s="1"/>
  <c r="G18" i="2" s="1"/>
  <c r="G22" i="2"/>
  <c r="C13" i="2"/>
  <c r="C15" i="2" s="1"/>
  <c r="C17" i="2" s="1"/>
  <c r="C18" i="2" s="1"/>
  <c r="M10" i="2"/>
  <c r="M12" i="2" s="1"/>
  <c r="J22" i="2"/>
  <c r="E13" i="2"/>
  <c r="E15" i="2" s="1"/>
  <c r="E17" i="2" s="1"/>
  <c r="E18" i="2" s="1"/>
  <c r="D13" i="2"/>
  <c r="D15" i="2" s="1"/>
  <c r="D17" i="2" s="1"/>
  <c r="D18" i="2" s="1"/>
  <c r="H13" i="2"/>
  <c r="H15" i="2" s="1"/>
  <c r="H17" i="2" s="1"/>
  <c r="H18" i="2" s="1"/>
  <c r="I13" i="2"/>
  <c r="I15" i="2" s="1"/>
  <c r="I17" i="2" s="1"/>
  <c r="I18" i="2" s="1"/>
  <c r="K13" i="2"/>
  <c r="K15" i="2" s="1"/>
  <c r="K17" i="2" s="1"/>
  <c r="K18" i="2" s="1"/>
  <c r="AF13" i="2"/>
  <c r="AF15" i="2" s="1"/>
  <c r="AF17" i="2" s="1"/>
  <c r="AF18" i="2" s="1"/>
  <c r="J7" i="1"/>
  <c r="K43" i="2"/>
  <c r="AX13" i="2" l="1"/>
  <c r="AX22" i="2"/>
  <c r="AU22" i="2"/>
  <c r="AU13" i="2"/>
  <c r="AV12" i="2"/>
  <c r="AU8" i="2"/>
  <c r="AV7" i="2"/>
  <c r="AX21" i="2"/>
  <c r="L13" i="2"/>
  <c r="L15" i="2" s="1"/>
  <c r="L17" i="2" s="1"/>
  <c r="L22" i="2"/>
  <c r="AJ11" i="2"/>
  <c r="AM19" i="2"/>
  <c r="N10" i="2"/>
  <c r="N12" i="2" s="1"/>
  <c r="AH10" i="2"/>
  <c r="AV9" i="2" l="1"/>
  <c r="AV21" i="2"/>
  <c r="AV8" i="2"/>
  <c r="AW21" i="2"/>
  <c r="AH12" i="2"/>
  <c r="AI10" i="2"/>
  <c r="L18" i="2"/>
  <c r="L24" i="2"/>
  <c r="AK11" i="2"/>
  <c r="AN19" i="2"/>
  <c r="AW22" i="2" l="1"/>
  <c r="AV22" i="2"/>
  <c r="AV13" i="2"/>
  <c r="AL11" i="2"/>
  <c r="AJ10" i="2"/>
  <c r="AI12" i="2"/>
  <c r="AO19" i="2"/>
  <c r="AK10" i="2" l="1"/>
  <c r="AJ12" i="2"/>
  <c r="AM11" i="2"/>
  <c r="AP19" i="2"/>
  <c r="AN11" i="2" l="1"/>
  <c r="AL10" i="2"/>
  <c r="AK12" i="2"/>
  <c r="AQ19" i="2"/>
  <c r="AM10" i="2" l="1"/>
  <c r="AL12" i="2"/>
  <c r="AO11" i="2"/>
  <c r="AR19" i="2"/>
  <c r="AP11" i="2" l="1"/>
  <c r="AN10" i="2"/>
  <c r="AM12" i="2"/>
  <c r="AS19" i="2"/>
  <c r="AO10" i="2" l="1"/>
  <c r="AN12" i="2"/>
  <c r="AQ11" i="2"/>
  <c r="AT19" i="2"/>
  <c r="M7" i="2"/>
  <c r="AH5" i="2"/>
  <c r="AI5" i="2" s="1"/>
  <c r="M8" i="2" l="1"/>
  <c r="AH8" i="2" s="1"/>
  <c r="AR11" i="2"/>
  <c r="AP10" i="2"/>
  <c r="AO12" i="2"/>
  <c r="AI7" i="2"/>
  <c r="AJ5" i="2"/>
  <c r="N9" i="2"/>
  <c r="AH7" i="2"/>
  <c r="AH9" i="2" l="1"/>
  <c r="AH21" i="2"/>
  <c r="AQ10" i="2"/>
  <c r="AP12" i="2"/>
  <c r="AS11" i="2"/>
  <c r="AI21" i="2"/>
  <c r="M9" i="2"/>
  <c r="AH22" i="2"/>
  <c r="AH13" i="2"/>
  <c r="AH15" i="2" s="1"/>
  <c r="AH17" i="2" s="1"/>
  <c r="N13" i="2"/>
  <c r="N15" i="2" s="1"/>
  <c r="N17" i="2" s="1"/>
  <c r="N18" i="2" s="1"/>
  <c r="N22" i="2"/>
  <c r="AJ7" i="2"/>
  <c r="AJ21" i="2" s="1"/>
  <c r="AK5" i="2"/>
  <c r="AI9" i="2"/>
  <c r="AI8" i="2" s="1"/>
  <c r="AH18" i="2" l="1"/>
  <c r="M13" i="2"/>
  <c r="M15" i="2" s="1"/>
  <c r="M17" i="2" s="1"/>
  <c r="M22" i="2"/>
  <c r="AI13" i="2"/>
  <c r="AI15" i="2" s="1"/>
  <c r="AI22" i="2"/>
  <c r="AR10" i="2"/>
  <c r="AQ12" i="2"/>
  <c r="AL5" i="2"/>
  <c r="AK7" i="2"/>
  <c r="AK21" i="2" s="1"/>
  <c r="AJ9" i="2"/>
  <c r="AS10" i="2" l="1"/>
  <c r="AR12" i="2"/>
  <c r="M24" i="2"/>
  <c r="N24" i="2" s="1"/>
  <c r="AH24" i="2" s="1"/>
  <c r="M18" i="2"/>
  <c r="AJ13" i="2"/>
  <c r="AJ22" i="2"/>
  <c r="AJ8" i="2"/>
  <c r="AK9" i="2"/>
  <c r="AK8" i="2" s="1"/>
  <c r="AM5" i="2"/>
  <c r="AL7" i="2"/>
  <c r="AL21" i="2" s="1"/>
  <c r="AK13" i="2" l="1"/>
  <c r="AK22" i="2"/>
  <c r="AI17" i="2"/>
  <c r="AT10" i="2"/>
  <c r="AT12" i="2" s="1"/>
  <c r="AS12" i="2"/>
  <c r="AL9" i="2"/>
  <c r="AL8" i="2" s="1"/>
  <c r="AN5" i="2"/>
  <c r="AM7" i="2"/>
  <c r="AM21" i="2" s="1"/>
  <c r="AI24" i="2" l="1"/>
  <c r="AJ14" i="2" s="1"/>
  <c r="AJ15" i="2" s="1"/>
  <c r="AJ16" i="2" s="1"/>
  <c r="AJ17" i="2" s="1"/>
  <c r="AJ18" i="2" s="1"/>
  <c r="AL13" i="2"/>
  <c r="AL22" i="2"/>
  <c r="AI18" i="2"/>
  <c r="AM9" i="2"/>
  <c r="AM8" i="2" s="1"/>
  <c r="AN7" i="2"/>
  <c r="AN21" i="2" s="1"/>
  <c r="AO5" i="2"/>
  <c r="AJ24" i="2" l="1"/>
  <c r="AM13" i="2"/>
  <c r="AM22" i="2"/>
  <c r="AP5" i="2"/>
  <c r="AO7" i="2"/>
  <c r="AO21" i="2" s="1"/>
  <c r="AN9" i="2"/>
  <c r="AK14" i="2" l="1"/>
  <c r="AK15" i="2" s="1"/>
  <c r="AK16" i="2" s="1"/>
  <c r="AK17" i="2"/>
  <c r="AN13" i="2"/>
  <c r="AN22" i="2"/>
  <c r="AN8" i="2"/>
  <c r="AO9" i="2"/>
  <c r="AO8" i="2" s="1"/>
  <c r="AP7" i="2"/>
  <c r="AP21" i="2" s="1"/>
  <c r="AQ5" i="2"/>
  <c r="AK18" i="2" l="1"/>
  <c r="AK24" i="2"/>
  <c r="AO13" i="2"/>
  <c r="AO22" i="2"/>
  <c r="AQ7" i="2"/>
  <c r="AQ21" i="2" s="1"/>
  <c r="AR5" i="2"/>
  <c r="AP9" i="2"/>
  <c r="AL14" i="2" l="1"/>
  <c r="AL15" i="2" s="1"/>
  <c r="AL17" i="2"/>
  <c r="AP13" i="2"/>
  <c r="AP22" i="2"/>
  <c r="AP8" i="2"/>
  <c r="AR7" i="2"/>
  <c r="AR21" i="2" s="1"/>
  <c r="AS5" i="2"/>
  <c r="AQ9" i="2"/>
  <c r="AL24" i="2" l="1"/>
  <c r="AL18" i="2"/>
  <c r="AQ13" i="2"/>
  <c r="AQ22" i="2"/>
  <c r="AQ8" i="2"/>
  <c r="AS7" i="2"/>
  <c r="AS21" i="2" s="1"/>
  <c r="AT5" i="2"/>
  <c r="AT7" i="2" s="1"/>
  <c r="AR9" i="2"/>
  <c r="AM14" i="2" l="1"/>
  <c r="AM15" i="2" s="1"/>
  <c r="AM16" i="2" s="1"/>
  <c r="AM17" i="2"/>
  <c r="AT21" i="2"/>
  <c r="AU21" i="2"/>
  <c r="AR13" i="2"/>
  <c r="AR22" i="2"/>
  <c r="AR8" i="2"/>
  <c r="AT9" i="2"/>
  <c r="AS9" i="2"/>
  <c r="AS8" i="2"/>
  <c r="AM24" i="2" l="1"/>
  <c r="AM18" i="2"/>
  <c r="AS13" i="2"/>
  <c r="AS22" i="2"/>
  <c r="AT13" i="2"/>
  <c r="AT22" i="2"/>
  <c r="AT8" i="2"/>
  <c r="AN14" i="2" l="1"/>
  <c r="AN15" i="2" s="1"/>
  <c r="AN16" i="2" s="1"/>
  <c r="AN17" i="2"/>
  <c r="AN18" i="2" l="1"/>
  <c r="AN24" i="2"/>
  <c r="AO14" i="2" l="1"/>
  <c r="AO15" i="2" s="1"/>
  <c r="AO16" i="2" s="1"/>
  <c r="AO17" i="2"/>
  <c r="AO18" i="2" l="1"/>
  <c r="AO24" i="2"/>
  <c r="AP14" i="2" l="1"/>
  <c r="AP15" i="2" s="1"/>
  <c r="AP16" i="2" s="1"/>
  <c r="AP17" i="2"/>
  <c r="AP18" i="2" l="1"/>
  <c r="AP24" i="2"/>
  <c r="AQ14" i="2" l="1"/>
  <c r="AQ15" i="2" s="1"/>
  <c r="AQ16" i="2" s="1"/>
  <c r="AQ17" i="2" l="1"/>
  <c r="AQ18" i="2"/>
  <c r="AQ24" i="2"/>
  <c r="AR14" i="2" l="1"/>
  <c r="AR15" i="2" s="1"/>
  <c r="AR16" i="2" s="1"/>
  <c r="AR17" i="2"/>
  <c r="AR18" i="2" l="1"/>
  <c r="AR24" i="2"/>
  <c r="AS14" i="2" l="1"/>
  <c r="AS15" i="2" s="1"/>
  <c r="AS16" i="2" s="1"/>
  <c r="AS17" i="2" s="1"/>
  <c r="AS18" i="2" l="1"/>
  <c r="AS24" i="2"/>
  <c r="AT14" i="2" l="1"/>
  <c r="AT15" i="2" s="1"/>
  <c r="AT16" i="2" s="1"/>
  <c r="AT17" i="2"/>
  <c r="AZ29" i="2" l="1"/>
  <c r="AT18" i="2"/>
  <c r="AT24" i="2"/>
  <c r="AU14" i="2" l="1"/>
  <c r="AU15" i="2" s="1"/>
  <c r="AU16" i="2" s="1"/>
  <c r="AU17" i="2" l="1"/>
  <c r="AU18" i="2" l="1"/>
  <c r="AU24" i="2"/>
  <c r="AV14" i="2" l="1"/>
  <c r="AV15" i="2" s="1"/>
  <c r="AV16" i="2" s="1"/>
  <c r="AV17" i="2"/>
  <c r="AV18" i="2" s="1"/>
  <c r="AV24" i="2"/>
  <c r="AW24" i="2" l="1"/>
  <c r="AX14" i="2"/>
  <c r="AX15" i="2" s="1"/>
  <c r="AX16" i="2" s="1"/>
  <c r="AX17" i="2" l="1"/>
  <c r="AX18" i="2" l="1"/>
  <c r="AX24" i="2"/>
</calcChain>
</file>

<file path=xl/sharedStrings.xml><?xml version="1.0" encoding="utf-8"?>
<sst xmlns="http://schemas.openxmlformats.org/spreadsheetml/2006/main" count="189" uniqueCount="154">
  <si>
    <t>Brand</t>
  </si>
  <si>
    <t>Generic</t>
  </si>
  <si>
    <t>Indication</t>
  </si>
  <si>
    <t>Economics</t>
  </si>
  <si>
    <t>Admin</t>
  </si>
  <si>
    <t>IP</t>
  </si>
  <si>
    <t>Price</t>
  </si>
  <si>
    <t>Yutrepia</t>
  </si>
  <si>
    <t>treprostinil</t>
  </si>
  <si>
    <t>PAH</t>
  </si>
  <si>
    <t>DPI</t>
  </si>
  <si>
    <t>Shares</t>
  </si>
  <si>
    <t>Q122</t>
  </si>
  <si>
    <t>None</t>
  </si>
  <si>
    <t>50% Sandoz, Chengdu</t>
  </si>
  <si>
    <t>IV</t>
  </si>
  <si>
    <t>MC</t>
  </si>
  <si>
    <t>Cash</t>
  </si>
  <si>
    <t>Debt</t>
  </si>
  <si>
    <t>EV</t>
  </si>
  <si>
    <t>Morrisville, NC</t>
  </si>
  <si>
    <t>PPE</t>
  </si>
  <si>
    <t>6/20/22: CMO appointed</t>
  </si>
  <si>
    <t>AD</t>
  </si>
  <si>
    <t>6/9/22: PHA presentation</t>
  </si>
  <si>
    <t>6/7/22: investor conference</t>
  </si>
  <si>
    <t>RareGen, LLC, renamed Liquidia PAH, LLC</t>
  </si>
  <si>
    <t>6/2/22: investor conference</t>
  </si>
  <si>
    <t xml:space="preserve">  Acquired 11/18/2020 pursuant to 8/3/20 agreement</t>
  </si>
  <si>
    <t>5/16/22: ATS presentation</t>
  </si>
  <si>
    <t xml:space="preserve">  Issued 5.55m shares to RareGen holders, followed by 617k.</t>
  </si>
  <si>
    <t>5/12/22: Q122 results</t>
  </si>
  <si>
    <t>Liquidia Technologies, Inc.</t>
  </si>
  <si>
    <t>5/5/22: Q122 date</t>
  </si>
  <si>
    <t>Caligan Partners LP PIPE</t>
  </si>
  <si>
    <t>4/25/22: inducements</t>
  </si>
  <si>
    <t xml:space="preserve">  8.6m shares at 2.52 for $22m</t>
  </si>
  <si>
    <t>4/18/22: Closed financing for $54m net.</t>
  </si>
  <si>
    <t>4/12/22: Sold 11.3m shares at 5.10.</t>
  </si>
  <si>
    <t>1/3/22: Jeffs hired</t>
  </si>
  <si>
    <t>CEO: Roger Jeffs replaced Damian deGoa. Neal Fowler early CEO.</t>
  </si>
  <si>
    <t>11/2021: Yutrepia tentatively approved</t>
  </si>
  <si>
    <t>CFO: Michael Kaseta</t>
  </si>
  <si>
    <t>4/2021: 8.6m shares sold at 2.52 for 21.7m.</t>
  </si>
  <si>
    <t>CMO: Rajeev Saggar</t>
  </si>
  <si>
    <t>11/18/20: completed RareGen acquisition for 5.55m shares.</t>
  </si>
  <si>
    <t>2/2/2018: files S-1. LIQ861 is in Phase 3.</t>
  </si>
  <si>
    <t>PRINT: Particle Replication In Non-Wetting Templates</t>
  </si>
  <si>
    <t>7/2012: $14m raise (amended 3/2011 filing).</t>
  </si>
  <si>
    <t xml:space="preserve">  Discontinued: LIQ865 for pain</t>
  </si>
  <si>
    <t>3/2011: $10m raise.</t>
  </si>
  <si>
    <t>PBM owns 9.3% of company</t>
  </si>
  <si>
    <t>5/2010: $25m raise (amended 1/2010 filing).</t>
  </si>
  <si>
    <t>Chasm Technologies, Inc.</t>
  </si>
  <si>
    <t>1/2010: $20m raise (amended 2009 filing).</t>
  </si>
  <si>
    <t xml:space="preserve">  Manufacturing consulting, including royalties.</t>
  </si>
  <si>
    <t>7/2009: $7m raise.</t>
  </si>
  <si>
    <t>LGM Pharma LLC</t>
  </si>
  <si>
    <t>3/2007: $16m Series B round with NEA</t>
  </si>
  <si>
    <t xml:space="preserve">  Yutrepia API</t>
  </si>
  <si>
    <t>5/2006: $6m Series A round</t>
  </si>
  <si>
    <t>2/2005: $2m round</t>
  </si>
  <si>
    <t>6/2004: formation in NC by Joseph DeSimone</t>
  </si>
  <si>
    <t>Main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</si>
  <si>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</si>
  <si>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</si>
  <si>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</si>
  <si>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</si>
  <si>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</si>
  <si>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</si>
  <si>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</si>
  <si>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</si>
  <si>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</si>
  <si>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</si>
  <si>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</si>
  <si>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Q123</t>
  </si>
  <si>
    <t>Q223</t>
  </si>
  <si>
    <t>Q323</t>
  </si>
  <si>
    <t>Q423</t>
  </si>
  <si>
    <t>Revenue</t>
  </si>
  <si>
    <t>COGS</t>
  </si>
  <si>
    <t>Gross Profit</t>
  </si>
  <si>
    <t>R&amp;D</t>
  </si>
  <si>
    <t>SG&amp;A</t>
  </si>
  <si>
    <t>Operating Expenses</t>
  </si>
  <si>
    <t>Operating Income</t>
  </si>
  <si>
    <t>Interest Expense</t>
  </si>
  <si>
    <t>Pretax Income</t>
  </si>
  <si>
    <t>AR</t>
  </si>
  <si>
    <t>Prepaids</t>
  </si>
  <si>
    <t>Lease</t>
  </si>
  <si>
    <t>Indemnification</t>
  </si>
  <si>
    <t>Contract</t>
  </si>
  <si>
    <t>Goodwill</t>
  </si>
  <si>
    <t>Other</t>
  </si>
  <si>
    <t>Assets</t>
  </si>
  <si>
    <t>AP</t>
  </si>
  <si>
    <t>Compensation</t>
  </si>
  <si>
    <t>AE</t>
  </si>
  <si>
    <t>OpLease</t>
  </si>
  <si>
    <t>FinLease</t>
  </si>
  <si>
    <t>LitFinance</t>
  </si>
  <si>
    <t>S/E</t>
  </si>
  <si>
    <t>L+S/E</t>
  </si>
  <si>
    <t>Stock</t>
  </si>
  <si>
    <t>PIC</t>
  </si>
  <si>
    <t>S/E Check</t>
  </si>
  <si>
    <t>Model NI</t>
  </si>
  <si>
    <t>SBC</t>
  </si>
  <si>
    <t>D&amp;A</t>
  </si>
  <si>
    <t>Extinguishment</t>
  </si>
  <si>
    <t>Non-cash interest</t>
  </si>
  <si>
    <t>ONCA</t>
  </si>
  <si>
    <t>Other AE</t>
  </si>
  <si>
    <t>Operating Lease</t>
  </si>
  <si>
    <t>CFFO</t>
  </si>
  <si>
    <t>Yutrepia, fka LIQ861</t>
  </si>
  <si>
    <t>100%?, UNC license LSD</t>
  </si>
  <si>
    <t>Regulatory</t>
  </si>
  <si>
    <t>tentative approval for NDA 11/2021, 505b2 with Tyvaso RLD</t>
  </si>
  <si>
    <t>District Court of Delaware litigation vs. UTHR - Magistrate Judge Hall, Judge Andrews</t>
  </si>
  <si>
    <t>8497393 - invalidated in IPR by SteadyMed</t>
  </si>
  <si>
    <t>9604901 - Process to prepare treprostinil - UTHR consented; PTAB concluded 7 claims were unpatentable. Claims 6 &amp; 7 survive, requiring specific temperature storage</t>
  </si>
  <si>
    <t>10716793 - Treprostinil by inhalation - IPR petition filed 1/2021, expect decision in 12 months?</t>
  </si>
  <si>
    <t>6/2021 claim construction in USDC Delaware, UTHR agreed to noninfringement of 901 and reserved rights</t>
  </si>
  <si>
    <t>1/2022 filed for summary judgment for invalidity of 1-3, 6, 8-9 of '066, 1-4, 6, 8 of '901 patent</t>
  </si>
  <si>
    <t xml:space="preserve">  Denied due to inadequate notice</t>
  </si>
  <si>
    <t>3/28/2022-3/31/2022 - trial</t>
  </si>
  <si>
    <t>6/15/2022 - post-trial briefing schedule</t>
  </si>
  <si>
    <t>October 2022: expected decision</t>
  </si>
  <si>
    <t>IPR</t>
  </si>
  <si>
    <t>March 2020 filing</t>
  </si>
  <si>
    <t>Clinical Trials</t>
  </si>
  <si>
    <t>Phase III "INSPIRE"</t>
  </si>
  <si>
    <t>Saggar was PI</t>
  </si>
  <si>
    <t>IV via Smiths Medical pump</t>
  </si>
  <si>
    <t>Paid Sandoz $20m for profit share</t>
  </si>
  <si>
    <t>Smiths Medical term sheet/settlement</t>
  </si>
  <si>
    <t>6/27/22: Russell index addition</t>
  </si>
  <si>
    <t>6/24/22: inducements</t>
  </si>
  <si>
    <t>EPS</t>
  </si>
  <si>
    <t>Net Income</t>
  </si>
  <si>
    <t>Taxes</t>
  </si>
  <si>
    <t>Revenue Growth</t>
  </si>
  <si>
    <t>Gross Margin</t>
  </si>
  <si>
    <t>Tyvaso</t>
  </si>
  <si>
    <t>Discount</t>
  </si>
  <si>
    <t>ROIC</t>
  </si>
  <si>
    <t>NPV</t>
  </si>
  <si>
    <t>Share</t>
  </si>
  <si>
    <t>10898494 - Issued 1/26/2021, filed 5/5/17 (expires 5/5/37 without HW extension)</t>
  </si>
  <si>
    <t xml:space="preserve">  District court litigation</t>
  </si>
  <si>
    <t>9593066 - Process to prepare treprostinil - IPR petition did not establish reasonable likelihood (failed).</t>
  </si>
  <si>
    <t xml:space="preserve">  Delaware district court litigation with Judge Andrews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</si>
</sst>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18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5" fillId="0" borderId="0" xfId="0" applyFont="1"/>
    <xf numFmtId="0" fontId="5" fillId="0" borderId="0" xfId="0" applyFont="1" applyAlignment="1">
      <alignment horizontal="right"/>
    </xf>
    <xf numFmtId="0" fontId="7" fillId="0" borderId="0" xfId="1" applyFont="1"/>
    <xf numFmtId="3" fontId="5" fillId="0" borderId="0" xfId="0" applyNumberFormat="1" applyFont="1"/>
    <xf numFmtId="3" fontId="5" fillId="0" borderId="0" xfId="0" applyNumberFormat="1" applyFont="1" applyAlignment="1">
      <alignment horizontal="right"/>
    </xf>
    <xf numFmtId="3" fontId="8" fillId="0" borderId="0" xfId="0" applyNumberFormat="1" applyFont="1"/>
    <xf numFmtId="3" fontId="8" fillId="0" borderId="0" xfId="0" applyNumberFormat="1" applyFont="1" applyAlignment="1">
      <alignment horizontal="right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9" fontId="4" fillId="0" borderId="0" xfId="0" applyNumberFormat="1" applyFont="1" applyAlignment="1">
      <alignment horizontal="left"/>
    </xf>
    <xf numFmtId="0" fontId="4" fillId="0" borderId="2" xfId="0" applyFont="1" applyBorder="1"/>
    <xf numFmtId="1" fontId="4" fillId="0" borderId="0" xfId="0" applyNumberFormat="1" applyFont="1"/>
    <xf numFmtId="0" fontId="4" fillId="0" borderId="1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7" fillId="0" borderId="1" xfId="1" applyFont="1" applyBorder="1"/>
    <xf numFmtId="0" fontId="9" fillId="0" borderId="0" xfId="0" applyFont="1"/>
    <xf numFmtId="0" fontId="3" fillId="0" borderId="0" xfId="0" applyFont="1"/>
    <xf numFmtId="0" fontId="8" fillId="0" borderId="0" xfId="0" applyFont="1"/>
    <xf numFmtId="4" fontId="5" fillId="0" borderId="0" xfId="0" applyNumberFormat="1" applyFont="1"/>
    <xf numFmtId="4" fontId="5" fillId="0" borderId="0" xfId="0" applyNumberFormat="1" applyFont="1" applyAlignment="1">
      <alignment horizontal="right"/>
    </xf>
    <xf numFmtId="9" fontId="5" fillId="0" borderId="0" xfId="0" applyNumberFormat="1" applyFont="1" applyAlignment="1">
      <alignment horizontal="right"/>
    </xf>
    <xf numFmtId="164" fontId="10" fillId="0" borderId="0" xfId="0" applyNumberFormat="1" applyFont="1"/>
    <xf numFmtId="164" fontId="10" fillId="0" borderId="0" xfId="0" applyNumberFormat="1" applyFont="1" applyAlignment="1">
      <alignment horizontal="right"/>
    </xf>
    <xf numFmtId="9" fontId="5" fillId="0" borderId="0" xfId="0" applyNumberFormat="1" applyFont="1"/>
    <xf numFmtId="0" fontId="2" fillId="0" borderId="0" xfId="0" applyFon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</xdr:colOff>
      <xdr:row>0</xdr:row>
      <xdr:rowOff>66675</xdr:rowOff>
    </xdr:from>
    <xdr:to>
      <xdr:col>11</xdr:col>
      <xdr:colOff>28575</xdr:colOff>
      <xdr:row>65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EFC5981-1718-13CE-27EB-D8DA070AE549}"/>
            </a:ext>
          </a:extLst>
        </xdr:cNvPr>
        <xdr:cNvCxnSpPr/>
      </xdr:nvCxnSpPr>
      <xdr:spPr>
        <a:xfrm>
          <a:off x="6657975" y="66675"/>
          <a:ext cx="0" cy="92106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28575</xdr:colOff>
      <xdr:row>0</xdr:row>
      <xdr:rowOff>0</xdr:rowOff>
    </xdr:from>
    <xdr:to>
      <xdr:col>33</xdr:col>
      <xdr:colOff>28575</xdr:colOff>
      <xdr:row>64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D167F6E-3859-4530-A9AD-B0AA7613634E}"/>
            </a:ext>
          </a:extLst>
        </xdr:cNvPr>
        <xdr:cNvCxnSpPr/>
      </xdr:nvCxnSpPr>
      <xdr:spPr>
        <a:xfrm>
          <a:off x="12944475" y="0"/>
          <a:ext cx="0" cy="9696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5E447-130B-0846-A9A4-F2F095497506}">
  <dimension ref="B2:K35"/>
  <sheetViews>
    <sheetView zoomScaleNormal="100" zoomScaleSheetLayoutView="100" workbookViewId="0"/>
  </sheetViews>
  <sheetFormatPr defaultColWidth="8.5703125" defaultRowHeight="12.75" x14ac:dyDescent="0.2"/>
  <cols>
    <col min="1" max="1" width="4.5703125" style="11" customWidth="1"/>
    <col min="2" max="2" width="8.5703125" style="11"/>
    <col min="3" max="3" width="11.28515625" style="11" customWidth="1"/>
    <col min="4" max="4" width="10.85546875" style="11" customWidth="1"/>
    <col min="5" max="5" width="20.5703125" style="11" customWidth="1"/>
    <col min="6" max="6" width="8.5703125" style="11" customWidth="1"/>
    <col min="7" max="10" width="8.5703125" style="11"/>
    <col min="11" max="11" width="8.5703125" style="12"/>
    <col min="12" max="16384" width="8.5703125" style="11"/>
  </cols>
  <sheetData>
    <row r="2" spans="2:11" x14ac:dyDescent="0.2">
      <c r="B2" s="8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10" t="s">
        <v>5</v>
      </c>
      <c r="I2" s="11" t="s">
        <v>6</v>
      </c>
      <c r="J2" s="11">
        <v>4.8600000000000003</v>
      </c>
    </row>
    <row r="3" spans="2:11" x14ac:dyDescent="0.2">
      <c r="B3" s="20" t="s">
        <v>7</v>
      </c>
      <c r="C3" s="11" t="s">
        <v>8</v>
      </c>
      <c r="D3" s="11" t="s">
        <v>9</v>
      </c>
      <c r="E3" s="13">
        <v>1</v>
      </c>
      <c r="F3" s="11" t="s">
        <v>10</v>
      </c>
      <c r="G3" s="14"/>
      <c r="I3" s="11" t="s">
        <v>11</v>
      </c>
      <c r="J3" s="15">
        <v>64.344476</v>
      </c>
      <c r="K3" s="12" t="s">
        <v>12</v>
      </c>
    </row>
    <row r="4" spans="2:11" x14ac:dyDescent="0.2">
      <c r="B4" s="16" t="s">
        <v>13</v>
      </c>
      <c r="C4" s="11" t="s">
        <v>8</v>
      </c>
      <c r="D4" s="11" t="s">
        <v>9</v>
      </c>
      <c r="E4" s="11" t="s">
        <v>14</v>
      </c>
      <c r="F4" s="11" t="s">
        <v>15</v>
      </c>
      <c r="G4" s="14"/>
      <c r="I4" s="11" t="s">
        <v>16</v>
      </c>
      <c r="J4" s="15">
        <f>J2*J3</f>
        <v>312.71415336000001</v>
      </c>
    </row>
    <row r="5" spans="2:11" x14ac:dyDescent="0.2">
      <c r="B5" s="16"/>
      <c r="G5" s="14"/>
      <c r="I5" s="11" t="s">
        <v>17</v>
      </c>
      <c r="J5" s="15">
        <f>57.794+54</f>
        <v>111.794</v>
      </c>
      <c r="K5" s="12" t="s">
        <v>12</v>
      </c>
    </row>
    <row r="6" spans="2:11" x14ac:dyDescent="0.2">
      <c r="B6" s="17"/>
      <c r="C6" s="18"/>
      <c r="D6" s="18"/>
      <c r="E6" s="18"/>
      <c r="F6" s="18"/>
      <c r="G6" s="19"/>
      <c r="I6" s="11" t="s">
        <v>18</v>
      </c>
      <c r="J6" s="15">
        <v>19.475999999999999</v>
      </c>
      <c r="K6" s="12" t="s">
        <v>12</v>
      </c>
    </row>
    <row r="7" spans="2:11" x14ac:dyDescent="0.2">
      <c r="I7" s="11" t="s">
        <v>19</v>
      </c>
      <c r="J7" s="15">
        <f>J4-J5+J6</f>
        <v>220.39615336000003</v>
      </c>
    </row>
    <row r="8" spans="2:11" x14ac:dyDescent="0.2">
      <c r="B8" s="11" t="s">
        <v>20</v>
      </c>
    </row>
    <row r="9" spans="2:11" x14ac:dyDescent="0.2">
      <c r="I9" s="11" t="s">
        <v>21</v>
      </c>
      <c r="J9" s="11">
        <v>5</v>
      </c>
      <c r="K9" s="12" t="s">
        <v>12</v>
      </c>
    </row>
    <row r="10" spans="2:11" x14ac:dyDescent="0.2">
      <c r="B10" s="23" t="s">
        <v>138</v>
      </c>
      <c r="I10" s="11" t="s">
        <v>23</v>
      </c>
      <c r="J10" s="11">
        <v>326</v>
      </c>
      <c r="K10" s="12" t="s">
        <v>12</v>
      </c>
    </row>
    <row r="11" spans="2:11" x14ac:dyDescent="0.2">
      <c r="B11" s="23" t="s">
        <v>139</v>
      </c>
    </row>
    <row r="12" spans="2:11" x14ac:dyDescent="0.2">
      <c r="B12" s="23" t="s">
        <v>22</v>
      </c>
      <c r="I12" s="11" t="s">
        <v>26</v>
      </c>
    </row>
    <row r="13" spans="2:11" x14ac:dyDescent="0.2">
      <c r="B13" s="11" t="s">
        <v>24</v>
      </c>
      <c r="I13" s="11" t="s">
        <v>28</v>
      </c>
    </row>
    <row r="14" spans="2:11" x14ac:dyDescent="0.2">
      <c r="B14" s="11" t="s">
        <v>25</v>
      </c>
      <c r="I14" s="11" t="s">
        <v>30</v>
      </c>
    </row>
    <row r="15" spans="2:11" x14ac:dyDescent="0.2">
      <c r="B15" s="11" t="s">
        <v>27</v>
      </c>
      <c r="I15" s="11" t="s">
        <v>32</v>
      </c>
    </row>
    <row r="16" spans="2:11" x14ac:dyDescent="0.2">
      <c r="B16" s="11" t="s">
        <v>29</v>
      </c>
      <c r="I16" s="11" t="s">
        <v>34</v>
      </c>
    </row>
    <row r="17" spans="2:9" x14ac:dyDescent="0.2">
      <c r="B17" s="11" t="s">
        <v>31</v>
      </c>
      <c r="I17" s="11" t="s">
        <v>36</v>
      </c>
    </row>
    <row r="18" spans="2:9" x14ac:dyDescent="0.2">
      <c r="B18" s="11" t="s">
        <v>33</v>
      </c>
    </row>
    <row r="19" spans="2:9" x14ac:dyDescent="0.2">
      <c r="B19" s="11" t="s">
        <v>35</v>
      </c>
    </row>
    <row r="20" spans="2:9" x14ac:dyDescent="0.2">
      <c r="B20" s="11" t="s">
        <v>37</v>
      </c>
      <c r="I20" s="11" t="s">
        <v>40</v>
      </c>
    </row>
    <row r="21" spans="2:9" x14ac:dyDescent="0.2">
      <c r="B21" s="11" t="s">
        <v>38</v>
      </c>
      <c r="I21" s="11" t="s">
        <v>42</v>
      </c>
    </row>
    <row r="22" spans="2:9" x14ac:dyDescent="0.2">
      <c r="B22" s="11" t="s">
        <v>39</v>
      </c>
      <c r="I22" s="11" t="s">
        <v>44</v>
      </c>
    </row>
    <row r="23" spans="2:9" x14ac:dyDescent="0.2">
      <c r="B23" s="11" t="s">
        <v>41</v>
      </c>
    </row>
    <row r="24" spans="2:9" x14ac:dyDescent="0.2">
      <c r="B24" s="11" t="s">
        <v>43</v>
      </c>
      <c r="I24" s="11" t="s">
        <v>47</v>
      </c>
    </row>
    <row r="25" spans="2:9" x14ac:dyDescent="0.2">
      <c r="B25" s="11" t="s">
        <v>45</v>
      </c>
      <c r="I25" s="11" t="s">
        <v>49</v>
      </c>
    </row>
    <row r="26" spans="2:9" x14ac:dyDescent="0.2">
      <c r="B26" s="11" t="s">
        <v>46</v>
      </c>
      <c r="I26" s="11" t="s">
        <v>51</v>
      </c>
    </row>
    <row r="27" spans="2:9" x14ac:dyDescent="0.2">
      <c r="B27" s="11" t="s">
        <v>48</v>
      </c>
      <c r="I27" s="11" t="s">
        <v>53</v>
      </c>
    </row>
    <row r="28" spans="2:9" x14ac:dyDescent="0.2">
      <c r="B28" s="11" t="s">
        <v>50</v>
      </c>
      <c r="I28" s="11" t="s">
        <v>55</v>
      </c>
    </row>
    <row r="29" spans="2:9" x14ac:dyDescent="0.2">
      <c r="B29" s="11" t="s">
        <v>52</v>
      </c>
      <c r="I29" s="11" t="s">
        <v>57</v>
      </c>
    </row>
    <row r="30" spans="2:9" x14ac:dyDescent="0.2">
      <c r="B30" s="11" t="s">
        <v>54</v>
      </c>
      <c r="I30" s="11" t="s">
        <v>59</v>
      </c>
    </row>
    <row r="31" spans="2:9" x14ac:dyDescent="0.2">
      <c r="B31" s="11" t="s">
        <v>56</v>
      </c>
    </row>
    <row r="32" spans="2:9" x14ac:dyDescent="0.2">
      <c r="B32" s="11" t="s">
        <v>58</v>
      </c>
    </row>
    <row r="33" spans="2:2" x14ac:dyDescent="0.2">
      <c r="B33" s="11" t="s">
        <v>60</v>
      </c>
    </row>
    <row r="34" spans="2:2" x14ac:dyDescent="0.2">
      <c r="B34" s="11" t="s">
        <v>61</v>
      </c>
    </row>
    <row r="35" spans="2:2" x14ac:dyDescent="0.2">
      <c r="B35" s="11" t="s">
        <v>62</v>
      </c>
    </row>
  </sheetData>
  <hyperlinks>
    <hyperlink ref="B3" location="Yutrepia!A1" display="Yutrepia" xr:uid="{A9D47119-0EB6-4A9C-8321-E6C60063A65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8FC4-DF97-D249-BD7D-4DE2D2FEC1D0}">
  <dimension ref="A1:AZ62"/>
  <sheetViews>
    <sheetView zoomScaleNormal="100" zoomScaleSheetLayoutView="100" workbookViewId="0">
      <pane xSplit="2" ySplit="2" topLeftCell="AK3" activePane="bottomRight" state="frozen"/>
      <selection pane="topRight" activeCell="G1" sqref="G1"/>
      <selection pane="bottomLeft" activeCell="A4" sqref="A4"/>
      <selection pane="bottomRight" activeCell="AT7" sqref="AT7"/>
    </sheetView>
  </sheetViews>
  <sheetFormatPr defaultColWidth="8.5703125" defaultRowHeight="12.75" x14ac:dyDescent="0.2"/>
  <cols>
    <col min="1" max="1" width="5" style="1" customWidth="1"/>
    <col min="2" max="2" width="18.42578125" style="1" customWidth="1"/>
    <col min="3" max="7" width="8.5703125" style="2"/>
    <col min="8" max="8" width="7.42578125" style="2" customWidth="1"/>
    <col min="9" max="22" width="8.5703125" style="2"/>
    <col min="23" max="40" width="8.5703125" style="1"/>
    <col min="41" max="43" width="9.42578125" style="1" customWidth="1"/>
    <col min="44" max="44" width="10.28515625" style="1" customWidth="1"/>
    <col min="45" max="46" width="9.140625" style="1" bestFit="1" customWidth="1"/>
    <col min="47" max="50" width="9.28515625" style="1" customWidth="1"/>
    <col min="51" max="16384" width="8.5703125" style="1"/>
  </cols>
  <sheetData>
    <row r="1" spans="1:50" x14ac:dyDescent="0.2">
      <c r="A1" s="3" t="s">
        <v>63</v>
      </c>
    </row>
    <row r="2" spans="1:50" x14ac:dyDescent="0.2">
      <c r="C2" s="2" t="s">
        <v>64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71</v>
      </c>
      <c r="K2" s="2" t="s">
        <v>12</v>
      </c>
      <c r="L2" s="2" t="s">
        <v>72</v>
      </c>
      <c r="M2" s="2" t="s">
        <v>73</v>
      </c>
      <c r="N2" s="2" t="s">
        <v>74</v>
      </c>
      <c r="O2" s="2" t="s">
        <v>75</v>
      </c>
      <c r="P2" s="2" t="s">
        <v>76</v>
      </c>
      <c r="Q2" s="2" t="s">
        <v>77</v>
      </c>
      <c r="R2" s="2" t="s">
        <v>78</v>
      </c>
      <c r="U2" s="2">
        <v>2009</v>
      </c>
      <c r="V2" s="2">
        <v>2010</v>
      </c>
      <c r="W2" s="1">
        <v>2011</v>
      </c>
      <c r="X2" s="1">
        <v>2012</v>
      </c>
      <c r="Y2" s="1">
        <v>2013</v>
      </c>
      <c r="Z2" s="1">
        <v>2014</v>
      </c>
      <c r="AA2" s="1">
        <v>2015</v>
      </c>
      <c r="AB2" s="1">
        <v>2016</v>
      </c>
      <c r="AC2" s="1">
        <v>2017</v>
      </c>
      <c r="AD2" s="1">
        <v>2018</v>
      </c>
      <c r="AE2" s="1">
        <v>2019</v>
      </c>
      <c r="AF2" s="1">
        <v>2020</v>
      </c>
      <c r="AG2" s="1">
        <f>+AF2+1</f>
        <v>2021</v>
      </c>
      <c r="AH2" s="1">
        <f t="shared" ref="AH2:AT2" si="0">+AG2+1</f>
        <v>2022</v>
      </c>
      <c r="AI2" s="1">
        <f t="shared" si="0"/>
        <v>2023</v>
      </c>
      <c r="AJ2" s="1">
        <f t="shared" si="0"/>
        <v>2024</v>
      </c>
      <c r="AK2" s="1">
        <f t="shared" si="0"/>
        <v>2025</v>
      </c>
      <c r="AL2" s="1">
        <f t="shared" si="0"/>
        <v>2026</v>
      </c>
      <c r="AM2" s="1">
        <f t="shared" si="0"/>
        <v>2027</v>
      </c>
      <c r="AN2" s="1">
        <f t="shared" si="0"/>
        <v>2028</v>
      </c>
      <c r="AO2" s="1">
        <f t="shared" si="0"/>
        <v>2029</v>
      </c>
      <c r="AP2" s="1">
        <f t="shared" si="0"/>
        <v>2030</v>
      </c>
      <c r="AQ2" s="1">
        <f t="shared" si="0"/>
        <v>2031</v>
      </c>
      <c r="AR2" s="1">
        <f t="shared" si="0"/>
        <v>2032</v>
      </c>
      <c r="AS2" s="1">
        <f t="shared" si="0"/>
        <v>2033</v>
      </c>
      <c r="AT2" s="1">
        <f t="shared" si="0"/>
        <v>2034</v>
      </c>
      <c r="AU2" s="1">
        <f t="shared" ref="AU2" si="1">+AT2+1</f>
        <v>2035</v>
      </c>
      <c r="AV2" s="1">
        <f t="shared" ref="AV2" si="2">+AU2+1</f>
        <v>2036</v>
      </c>
      <c r="AW2" s="1">
        <f t="shared" ref="AW2" si="3">+AV2+1</f>
        <v>2037</v>
      </c>
      <c r="AX2" s="1">
        <f t="shared" ref="AX2" si="4">+AW2+1</f>
        <v>2038</v>
      </c>
    </row>
    <row r="3" spans="1:50" s="27" customFormat="1" x14ac:dyDescent="0.2">
      <c r="B3" s="27" t="s">
        <v>145</v>
      </c>
      <c r="C3" s="28">
        <v>102.9</v>
      </c>
      <c r="D3" s="28">
        <v>119.2</v>
      </c>
      <c r="E3" s="28">
        <v>129.5</v>
      </c>
      <c r="F3" s="28">
        <v>131.69999999999999</v>
      </c>
      <c r="G3" s="28">
        <v>123</v>
      </c>
      <c r="H3" s="28">
        <v>153.80000000000001</v>
      </c>
      <c r="I3" s="28">
        <v>164.2</v>
      </c>
      <c r="J3" s="28">
        <v>166.5</v>
      </c>
      <c r="K3" s="28">
        <v>172</v>
      </c>
      <c r="L3" s="28">
        <f>H3*1.2</f>
        <v>184.56</v>
      </c>
      <c r="M3" s="28">
        <f t="shared" ref="M3:N3" si="5">I3*1.2</f>
        <v>197.04</v>
      </c>
      <c r="N3" s="28">
        <f t="shared" si="5"/>
        <v>199.79999999999998</v>
      </c>
      <c r="O3" s="28"/>
      <c r="P3" s="28"/>
      <c r="Q3" s="28"/>
      <c r="R3" s="28"/>
      <c r="S3" s="28"/>
      <c r="T3" s="28"/>
      <c r="U3" s="28">
        <v>20.3</v>
      </c>
      <c r="V3" s="28">
        <v>151.80000000000001</v>
      </c>
      <c r="W3" s="27">
        <v>240.4</v>
      </c>
      <c r="X3" s="27">
        <v>325.60000000000002</v>
      </c>
      <c r="Y3" s="27">
        <v>438.3</v>
      </c>
      <c r="Z3" s="27">
        <v>463.1</v>
      </c>
      <c r="AA3" s="27">
        <v>470.1</v>
      </c>
      <c r="AB3" s="27">
        <v>404.6</v>
      </c>
      <c r="AC3" s="27">
        <v>372.9</v>
      </c>
      <c r="AD3" s="27">
        <v>415.2</v>
      </c>
      <c r="AE3" s="27">
        <v>415.6</v>
      </c>
      <c r="AF3" s="27">
        <f>SUM(C3:F3)</f>
        <v>483.3</v>
      </c>
      <c r="AG3" s="27">
        <f>SUM(G3:J3)</f>
        <v>607.5</v>
      </c>
      <c r="AH3" s="27">
        <f>SUM(K3:N3)</f>
        <v>753.4</v>
      </c>
      <c r="AI3" s="27">
        <f>AH3*1.2</f>
        <v>904.07999999999993</v>
      </c>
      <c r="AJ3" s="27">
        <f>AI3*1.01</f>
        <v>913.12079999999992</v>
      </c>
      <c r="AK3" s="27">
        <f t="shared" ref="AK3:AT3" si="6">AJ3*1.01</f>
        <v>922.25200799999993</v>
      </c>
      <c r="AL3" s="27">
        <f t="shared" si="6"/>
        <v>931.47452807999991</v>
      </c>
      <c r="AM3" s="27">
        <f t="shared" si="6"/>
        <v>940.78927336079994</v>
      </c>
      <c r="AN3" s="27">
        <f t="shared" si="6"/>
        <v>950.19716609440798</v>
      </c>
      <c r="AO3" s="27">
        <f t="shared" si="6"/>
        <v>959.69913775535201</v>
      </c>
      <c r="AP3" s="27">
        <f t="shared" si="6"/>
        <v>969.29612913290555</v>
      </c>
      <c r="AQ3" s="27">
        <f t="shared" si="6"/>
        <v>978.98909042423463</v>
      </c>
      <c r="AR3" s="27">
        <f t="shared" si="6"/>
        <v>988.77898132847702</v>
      </c>
      <c r="AS3" s="27">
        <f t="shared" si="6"/>
        <v>998.66677114176184</v>
      </c>
      <c r="AT3" s="27">
        <f t="shared" si="6"/>
        <v>1008.6534388531795</v>
      </c>
      <c r="AU3" s="27">
        <f t="shared" ref="AU3:AW3" si="7">AT3*1.01</f>
        <v>1018.7399732417114</v>
      </c>
      <c r="AV3" s="27">
        <f t="shared" si="7"/>
        <v>1028.9273729741285</v>
      </c>
      <c r="AW3" s="27">
        <f t="shared" si="7"/>
        <v>1039.2166467038699</v>
      </c>
      <c r="AX3" s="27">
        <f t="shared" ref="AX3" si="8">AW3*1.01</f>
        <v>1049.6088131709087</v>
      </c>
    </row>
    <row r="5" spans="1:50" x14ac:dyDescent="0.2">
      <c r="B5" s="1" t="s">
        <v>1</v>
      </c>
      <c r="F5" s="5">
        <f>F7</f>
        <v>739.62800000000004</v>
      </c>
      <c r="G5" s="5">
        <f t="shared" ref="G5:K5" si="9">G7</f>
        <v>3084</v>
      </c>
      <c r="H5" s="5">
        <f t="shared" si="9"/>
        <v>3376.0859999999998</v>
      </c>
      <c r="I5" s="5">
        <f t="shared" si="9"/>
        <v>3178.6210000000001</v>
      </c>
      <c r="J5" s="5">
        <f t="shared" si="9"/>
        <v>3214.637999999999</v>
      </c>
      <c r="K5" s="5">
        <f t="shared" si="9"/>
        <v>3492</v>
      </c>
      <c r="L5" s="5">
        <f>K5</f>
        <v>3492</v>
      </c>
      <c r="M5" s="5">
        <f t="shared" ref="M5:N5" si="10">L5</f>
        <v>3492</v>
      </c>
      <c r="N5" s="5">
        <f t="shared" si="10"/>
        <v>3492</v>
      </c>
      <c r="AH5" s="4">
        <f>SUM(K5:N5)</f>
        <v>13968</v>
      </c>
      <c r="AI5" s="4">
        <f>AH5*0.9</f>
        <v>12571.2</v>
      </c>
      <c r="AJ5" s="4">
        <f t="shared" ref="AJ5:AT5" si="11">AI5*0.9</f>
        <v>11314.080000000002</v>
      </c>
      <c r="AK5" s="4">
        <f t="shared" si="11"/>
        <v>10182.672000000002</v>
      </c>
      <c r="AL5" s="4">
        <f t="shared" si="11"/>
        <v>9164.4048000000021</v>
      </c>
      <c r="AM5" s="4">
        <f t="shared" si="11"/>
        <v>8247.9643200000028</v>
      </c>
      <c r="AN5" s="4">
        <f t="shared" si="11"/>
        <v>7423.1678880000027</v>
      </c>
      <c r="AO5" s="4">
        <f t="shared" si="11"/>
        <v>6680.8510992000029</v>
      </c>
      <c r="AP5" s="4">
        <f t="shared" si="11"/>
        <v>6012.7659892800029</v>
      </c>
      <c r="AQ5" s="4">
        <f t="shared" si="11"/>
        <v>5411.4893903520024</v>
      </c>
      <c r="AR5" s="4">
        <f t="shared" si="11"/>
        <v>4870.3404513168025</v>
      </c>
      <c r="AS5" s="4">
        <f t="shared" si="11"/>
        <v>4383.3064061851228</v>
      </c>
      <c r="AT5" s="4">
        <f t="shared" si="11"/>
        <v>3944.9757655666108</v>
      </c>
      <c r="AU5" s="4">
        <f t="shared" ref="AU5:AV5" si="12">AT5*0.9</f>
        <v>3550.4781890099498</v>
      </c>
      <c r="AV5" s="4">
        <f t="shared" si="12"/>
        <v>3195.4303701089548</v>
      </c>
      <c r="AW5" s="4">
        <f>AV5*0.9</f>
        <v>2875.8873330980596</v>
      </c>
      <c r="AX5" s="4">
        <f t="shared" ref="AX5" si="13">AW5*0.9</f>
        <v>2588.2985997882538</v>
      </c>
    </row>
    <row r="6" spans="1:50" s="4" customFormat="1" x14ac:dyDescent="0.2">
      <c r="B6" s="4" t="s">
        <v>7</v>
      </c>
      <c r="C6" s="5"/>
      <c r="D6" s="5"/>
      <c r="E6" s="5"/>
      <c r="F6" s="5"/>
      <c r="G6" s="5"/>
      <c r="H6" s="5"/>
      <c r="I6" s="5"/>
      <c r="J6" s="5"/>
      <c r="K6" s="5"/>
      <c r="L6" s="5"/>
      <c r="M6" s="5">
        <v>3000</v>
      </c>
      <c r="N6" s="5">
        <v>5000</v>
      </c>
      <c r="O6" s="5"/>
      <c r="P6" s="5"/>
      <c r="Q6" s="5"/>
      <c r="R6" s="5"/>
      <c r="S6" s="5"/>
      <c r="T6" s="5"/>
      <c r="U6" s="5"/>
      <c r="V6" s="5"/>
      <c r="AH6" s="4">
        <v>0</v>
      </c>
      <c r="AI6" s="4">
        <f>V3*0.75*1000</f>
        <v>113850.00000000001</v>
      </c>
      <c r="AJ6" s="4">
        <f t="shared" ref="AJ6:AS6" si="14">W3*0.75*1000</f>
        <v>180300</v>
      </c>
      <c r="AK6" s="4">
        <f t="shared" si="14"/>
        <v>244200.00000000003</v>
      </c>
      <c r="AL6" s="4">
        <f t="shared" si="14"/>
        <v>328725</v>
      </c>
      <c r="AM6" s="4">
        <f t="shared" si="14"/>
        <v>347325.00000000006</v>
      </c>
      <c r="AN6" s="4">
        <f t="shared" si="14"/>
        <v>352575.00000000006</v>
      </c>
      <c r="AO6" s="4">
        <f t="shared" si="14"/>
        <v>303450.00000000006</v>
      </c>
      <c r="AP6" s="4">
        <f t="shared" si="14"/>
        <v>279674.99999999994</v>
      </c>
      <c r="AQ6" s="4">
        <f t="shared" si="14"/>
        <v>311400</v>
      </c>
      <c r="AR6" s="4">
        <f t="shared" si="14"/>
        <v>311700.00000000006</v>
      </c>
      <c r="AS6" s="4">
        <f t="shared" si="14"/>
        <v>362475</v>
      </c>
      <c r="AT6" s="4">
        <f t="shared" ref="AT6" si="15">AG3*0.75*1000</f>
        <v>455625</v>
      </c>
      <c r="AU6" s="4">
        <f t="shared" ref="AU6" si="16">AH3*0.75*1000</f>
        <v>565050</v>
      </c>
      <c r="AV6" s="4">
        <f t="shared" ref="AV6" si="17">AI3*0.75*1000</f>
        <v>678060</v>
      </c>
      <c r="AW6" s="4">
        <f>AJ3*0.75*1000</f>
        <v>684840.6</v>
      </c>
      <c r="AX6" s="4">
        <f t="shared" ref="AX6" si="18">AW6*0.1</f>
        <v>68484.06</v>
      </c>
    </row>
    <row r="7" spans="1:50" s="6" customFormat="1" x14ac:dyDescent="0.2">
      <c r="B7" s="6" t="s">
        <v>79</v>
      </c>
      <c r="C7" s="7">
        <v>0</v>
      </c>
      <c r="D7" s="7">
        <v>0</v>
      </c>
      <c r="E7" s="7">
        <v>0</v>
      </c>
      <c r="F7" s="7">
        <f>AF7-E7-D7-C7</f>
        <v>739.62800000000004</v>
      </c>
      <c r="G7" s="7">
        <v>3084</v>
      </c>
      <c r="H7" s="7">
        <v>3376.0859999999998</v>
      </c>
      <c r="I7" s="7">
        <v>3178.6210000000001</v>
      </c>
      <c r="J7" s="7">
        <f>+AG7-I7-H7-G7</f>
        <v>3214.637999999999</v>
      </c>
      <c r="K7" s="7">
        <v>3492</v>
      </c>
      <c r="L7" s="7">
        <f>K7</f>
        <v>3492</v>
      </c>
      <c r="M7" s="7">
        <f>M6+M5</f>
        <v>6492</v>
      </c>
      <c r="N7" s="7">
        <f t="shared" ref="N7" si="19">N6+N5</f>
        <v>8492</v>
      </c>
      <c r="O7" s="7"/>
      <c r="P7" s="7"/>
      <c r="Q7" s="7"/>
      <c r="R7" s="7"/>
      <c r="S7" s="7"/>
      <c r="T7" s="7"/>
      <c r="U7" s="7"/>
      <c r="V7" s="7"/>
      <c r="AF7" s="6">
        <v>739.62800000000004</v>
      </c>
      <c r="AG7" s="6">
        <v>12853.344999999999</v>
      </c>
      <c r="AH7" s="6">
        <f>AH5+AH6</f>
        <v>13968</v>
      </c>
      <c r="AI7" s="6">
        <f>AI6+AI5</f>
        <v>126421.20000000001</v>
      </c>
      <c r="AJ7" s="6">
        <f t="shared" ref="AJ7:AT7" si="20">AJ6+AJ5</f>
        <v>191614.08000000002</v>
      </c>
      <c r="AK7" s="6">
        <f t="shared" si="20"/>
        <v>254382.67200000002</v>
      </c>
      <c r="AL7" s="6">
        <f t="shared" si="20"/>
        <v>337889.40480000002</v>
      </c>
      <c r="AM7" s="6">
        <f t="shared" si="20"/>
        <v>355572.96432000009</v>
      </c>
      <c r="AN7" s="6">
        <f t="shared" si="20"/>
        <v>359998.16788800008</v>
      </c>
      <c r="AO7" s="6">
        <f t="shared" si="20"/>
        <v>310130.85109920008</v>
      </c>
      <c r="AP7" s="6">
        <f t="shared" si="20"/>
        <v>285687.76598927996</v>
      </c>
      <c r="AQ7" s="6">
        <f t="shared" si="20"/>
        <v>316811.48939035198</v>
      </c>
      <c r="AR7" s="6">
        <f t="shared" si="20"/>
        <v>316570.34045131685</v>
      </c>
      <c r="AS7" s="6">
        <f t="shared" si="20"/>
        <v>366858.30640618515</v>
      </c>
      <c r="AT7" s="6">
        <f t="shared" si="20"/>
        <v>459569.97576556663</v>
      </c>
      <c r="AU7" s="6">
        <f t="shared" ref="AU7" si="21">AU6+AU5</f>
        <v>568600.47818900994</v>
      </c>
      <c r="AV7" s="6">
        <f t="shared" ref="AV7" si="22">AV6+AV5</f>
        <v>681255.43037010892</v>
      </c>
      <c r="AW7" s="6">
        <f>AW6+AW5</f>
        <v>687716.48733309808</v>
      </c>
      <c r="AX7" s="6">
        <f t="shared" ref="AX7" si="23">AX6+AX5</f>
        <v>71072.358599788247</v>
      </c>
    </row>
    <row r="8" spans="1:50" s="4" customFormat="1" x14ac:dyDescent="0.2">
      <c r="B8" s="4" t="s">
        <v>80</v>
      </c>
      <c r="C8" s="5">
        <v>0</v>
      </c>
      <c r="D8" s="5">
        <v>0</v>
      </c>
      <c r="E8" s="5">
        <v>0</v>
      </c>
      <c r="F8" s="5">
        <f>AF8-E8-D8-C8</f>
        <v>237.71199999999999</v>
      </c>
      <c r="G8" s="5">
        <v>694</v>
      </c>
      <c r="H8" s="5">
        <v>713.73599999999999</v>
      </c>
      <c r="I8" s="5">
        <v>889.51099999999997</v>
      </c>
      <c r="J8" s="5">
        <f>AG8-I8-H8-G8</f>
        <v>725.66400000000021</v>
      </c>
      <c r="K8" s="5">
        <v>694</v>
      </c>
      <c r="L8" s="5">
        <f>K8</f>
        <v>694</v>
      </c>
      <c r="M8" s="5">
        <f>M7*0.15</f>
        <v>973.8</v>
      </c>
      <c r="N8" s="5">
        <f t="shared" ref="N8" si="24">N7*0.15</f>
        <v>1273.8</v>
      </c>
      <c r="O8" s="5"/>
      <c r="P8" s="5"/>
      <c r="Q8" s="5"/>
      <c r="R8" s="5"/>
      <c r="S8" s="5"/>
      <c r="T8" s="5"/>
      <c r="U8" s="5"/>
      <c r="V8" s="5"/>
      <c r="AF8" s="4">
        <v>237.71199999999999</v>
      </c>
      <c r="AG8" s="4">
        <v>3022.9110000000001</v>
      </c>
      <c r="AH8" s="4">
        <f>SUM(K8:N8)</f>
        <v>3635.6000000000004</v>
      </c>
      <c r="AI8" s="4">
        <f>AI7-AI9</f>
        <v>22755.816000000006</v>
      </c>
      <c r="AJ8" s="4">
        <f t="shared" ref="AJ8:AK8" si="25">AJ7-AJ9</f>
        <v>32574.39360000001</v>
      </c>
      <c r="AK8" s="4">
        <f t="shared" si="25"/>
        <v>40701.227520000015</v>
      </c>
      <c r="AL8" s="4">
        <f t="shared" ref="AL8" si="26">AL7-AL9</f>
        <v>50683.410719999985</v>
      </c>
      <c r="AM8" s="4">
        <f t="shared" ref="AM8" si="27">AM7-AM9</f>
        <v>53335.944648000004</v>
      </c>
      <c r="AN8" s="4">
        <f t="shared" ref="AN8" si="28">AN7-AN9</f>
        <v>53999.725183200033</v>
      </c>
      <c r="AO8" s="4">
        <f t="shared" ref="AO8" si="29">AO7-AO9</f>
        <v>46519.627664880012</v>
      </c>
      <c r="AP8" s="4">
        <f t="shared" ref="AP8" si="30">AP7-AP9</f>
        <v>42853.164898391988</v>
      </c>
      <c r="AQ8" s="4">
        <f t="shared" ref="AQ8" si="31">AQ7-AQ9</f>
        <v>47521.723408552818</v>
      </c>
      <c r="AR8" s="4">
        <f t="shared" ref="AR8" si="32">AR7-AR9</f>
        <v>47485.551067697525</v>
      </c>
      <c r="AS8" s="4">
        <f t="shared" ref="AS8" si="33">AS7-AS9</f>
        <v>55028.745960927801</v>
      </c>
      <c r="AT8" s="4">
        <f t="shared" ref="AT8" si="34">AT7-AT9</f>
        <v>68935.496364835009</v>
      </c>
      <c r="AU8" s="4">
        <f t="shared" ref="AU8" si="35">AU7-AU9</f>
        <v>85290.071728351526</v>
      </c>
      <c r="AV8" s="4">
        <f t="shared" ref="AV8" si="36">AV7-AV9</f>
        <v>102188.31455551635</v>
      </c>
      <c r="AW8" s="4">
        <f>AW7-AW9</f>
        <v>103157.47309996467</v>
      </c>
      <c r="AX8" s="4">
        <f t="shared" ref="AX8" si="37">AX7-AX9</f>
        <v>10660.853789968241</v>
      </c>
    </row>
    <row r="9" spans="1:50" s="4" customFormat="1" x14ac:dyDescent="0.2">
      <c r="B9" s="4" t="s">
        <v>81</v>
      </c>
      <c r="C9" s="5">
        <f>C7-C8</f>
        <v>0</v>
      </c>
      <c r="D9" s="5">
        <f t="shared" ref="D9" si="38">D7-D8</f>
        <v>0</v>
      </c>
      <c r="E9" s="5">
        <f t="shared" ref="E9:I9" si="39">E7-E8</f>
        <v>0</v>
      </c>
      <c r="F9" s="5">
        <f t="shared" si="39"/>
        <v>501.91600000000005</v>
      </c>
      <c r="G9" s="5">
        <f t="shared" si="39"/>
        <v>2390</v>
      </c>
      <c r="H9" s="5">
        <f t="shared" si="39"/>
        <v>2662.35</v>
      </c>
      <c r="I9" s="5">
        <f t="shared" si="39"/>
        <v>2289.11</v>
      </c>
      <c r="J9" s="5">
        <f>J7-J8</f>
        <v>2488.9739999999988</v>
      </c>
      <c r="K9" s="5">
        <f>K7-K8</f>
        <v>2798</v>
      </c>
      <c r="L9" s="5">
        <f t="shared" ref="L9" si="40">L7-L8</f>
        <v>2798</v>
      </c>
      <c r="M9" s="5">
        <f t="shared" ref="M9" si="41">M7-M8</f>
        <v>5518.2</v>
      </c>
      <c r="N9" s="5">
        <f t="shared" ref="N9" si="42">N7-N8</f>
        <v>7218.2</v>
      </c>
      <c r="O9" s="5"/>
      <c r="P9" s="5"/>
      <c r="Q9" s="5"/>
      <c r="R9" s="5"/>
      <c r="S9" s="5"/>
      <c r="T9" s="5"/>
      <c r="U9" s="5"/>
      <c r="V9" s="5"/>
      <c r="AF9" s="4">
        <f t="shared" ref="AF9" si="43">AF7-AF8</f>
        <v>501.91600000000005</v>
      </c>
      <c r="AG9" s="4">
        <f>AG7-AG8</f>
        <v>9830.4339999999993</v>
      </c>
      <c r="AH9" s="4">
        <f>AH7-AH8</f>
        <v>10332.4</v>
      </c>
      <c r="AI9" s="4">
        <f>AI7*0.82</f>
        <v>103665.38400000001</v>
      </c>
      <c r="AJ9" s="4">
        <f>AJ7*0.83</f>
        <v>159039.68640000001</v>
      </c>
      <c r="AK9" s="4">
        <f>AK7*0.84</f>
        <v>213681.44448000001</v>
      </c>
      <c r="AL9" s="4">
        <f>AL7*0.85</f>
        <v>287205.99408000003</v>
      </c>
      <c r="AM9" s="4">
        <f t="shared" ref="AM9:AT9" si="44">AM7*0.85</f>
        <v>302237.01967200008</v>
      </c>
      <c r="AN9" s="4">
        <f t="shared" si="44"/>
        <v>305998.44270480005</v>
      </c>
      <c r="AO9" s="4">
        <f t="shared" si="44"/>
        <v>263611.22343432007</v>
      </c>
      <c r="AP9" s="4">
        <f t="shared" si="44"/>
        <v>242834.60109088797</v>
      </c>
      <c r="AQ9" s="4">
        <f t="shared" si="44"/>
        <v>269289.76598179917</v>
      </c>
      <c r="AR9" s="4">
        <f t="shared" si="44"/>
        <v>269084.78938361933</v>
      </c>
      <c r="AS9" s="4">
        <f t="shared" si="44"/>
        <v>311829.56044525735</v>
      </c>
      <c r="AT9" s="4">
        <f t="shared" si="44"/>
        <v>390634.47940073162</v>
      </c>
      <c r="AU9" s="4">
        <f t="shared" ref="AU9:AV9" si="45">AU7*0.85</f>
        <v>483310.40646065841</v>
      </c>
      <c r="AV9" s="4">
        <f t="shared" si="45"/>
        <v>579067.11581459257</v>
      </c>
      <c r="AW9" s="4">
        <f>AW7*0.85</f>
        <v>584559.01423313341</v>
      </c>
      <c r="AX9" s="4">
        <f t="shared" ref="AX9" si="46">AX7*0.85</f>
        <v>60411.504809820006</v>
      </c>
    </row>
    <row r="10" spans="1:50" s="4" customFormat="1" x14ac:dyDescent="0.2">
      <c r="B10" s="4" t="s">
        <v>82</v>
      </c>
      <c r="C10" s="5">
        <v>10822.924000000001</v>
      </c>
      <c r="D10" s="5">
        <v>8490.4179999999997</v>
      </c>
      <c r="E10" s="5">
        <v>7660.9790000000003</v>
      </c>
      <c r="F10" s="5">
        <f>AF10-E10-D10-C10</f>
        <v>5248.0720000000001</v>
      </c>
      <c r="G10" s="5">
        <v>6054</v>
      </c>
      <c r="H10" s="5">
        <v>4595.4179999999997</v>
      </c>
      <c r="I10" s="5">
        <v>4487.098</v>
      </c>
      <c r="J10" s="5">
        <f t="shared" ref="J10:J11" si="47">AG10-I10-H10-G10</f>
        <v>5380.4320000000007</v>
      </c>
      <c r="K10" s="5">
        <v>4728</v>
      </c>
      <c r="L10" s="5">
        <f>K10-500</f>
        <v>4228</v>
      </c>
      <c r="M10" s="5">
        <f t="shared" ref="M10:N10" si="48">L10-500</f>
        <v>3728</v>
      </c>
      <c r="N10" s="5">
        <f t="shared" si="48"/>
        <v>3228</v>
      </c>
      <c r="O10" s="5"/>
      <c r="P10" s="5"/>
      <c r="Q10" s="5"/>
      <c r="R10" s="5"/>
      <c r="S10" s="5"/>
      <c r="T10" s="5"/>
      <c r="U10" s="5"/>
      <c r="V10" s="5"/>
      <c r="AF10" s="4">
        <v>32222.393</v>
      </c>
      <c r="AG10" s="4">
        <v>20516.948</v>
      </c>
      <c r="AH10" s="4">
        <f t="shared" ref="AH10:AH11" si="49">SUM(K10:N10)</f>
        <v>15912</v>
      </c>
      <c r="AI10" s="4">
        <f>AH10*0.8</f>
        <v>12729.6</v>
      </c>
      <c r="AJ10" s="4">
        <f t="shared" ref="AJ10:AT10" si="50">AI10*0.8</f>
        <v>10183.68</v>
      </c>
      <c r="AK10" s="4">
        <f t="shared" si="50"/>
        <v>8146.9440000000004</v>
      </c>
      <c r="AL10" s="4">
        <f t="shared" si="50"/>
        <v>6517.5552000000007</v>
      </c>
      <c r="AM10" s="4">
        <f t="shared" si="50"/>
        <v>5214.0441600000013</v>
      </c>
      <c r="AN10" s="4">
        <f t="shared" si="50"/>
        <v>4171.2353280000016</v>
      </c>
      <c r="AO10" s="4">
        <f t="shared" si="50"/>
        <v>3336.9882624000015</v>
      </c>
      <c r="AP10" s="4">
        <f t="shared" si="50"/>
        <v>2669.5906099200015</v>
      </c>
      <c r="AQ10" s="4">
        <f t="shared" si="50"/>
        <v>2135.6724879360013</v>
      </c>
      <c r="AR10" s="4">
        <f t="shared" si="50"/>
        <v>1708.537990348801</v>
      </c>
      <c r="AS10" s="4">
        <f t="shared" si="50"/>
        <v>1366.830392279041</v>
      </c>
      <c r="AT10" s="4">
        <f t="shared" si="50"/>
        <v>1093.4643138232329</v>
      </c>
      <c r="AU10" s="4">
        <f t="shared" ref="AU10:AV10" si="51">AT10*0.8</f>
        <v>874.77145105858642</v>
      </c>
      <c r="AV10" s="4">
        <f t="shared" si="51"/>
        <v>699.81716084686923</v>
      </c>
      <c r="AW10" s="4">
        <f>AV10*0.8</f>
        <v>559.85372867749538</v>
      </c>
      <c r="AX10" s="4">
        <f t="shared" ref="AX10" si="52">AW10*0.8</f>
        <v>447.88298294199632</v>
      </c>
    </row>
    <row r="11" spans="1:50" s="4" customFormat="1" x14ac:dyDescent="0.2">
      <c r="B11" s="4" t="s">
        <v>83</v>
      </c>
      <c r="C11" s="5">
        <v>3823.1970000000001</v>
      </c>
      <c r="D11" s="5">
        <v>5226.2640000000001</v>
      </c>
      <c r="E11" s="5">
        <v>7151.7879999999996</v>
      </c>
      <c r="F11" s="5">
        <f>AF11-E11-D11-C11</f>
        <v>11167.403999999999</v>
      </c>
      <c r="G11" s="5">
        <v>5337</v>
      </c>
      <c r="H11" s="5">
        <v>4420.79</v>
      </c>
      <c r="I11" s="5">
        <v>4881.6689999999999</v>
      </c>
      <c r="J11" s="5">
        <f t="shared" si="47"/>
        <v>8471.07</v>
      </c>
      <c r="K11" s="5">
        <v>12542</v>
      </c>
      <c r="L11" s="5">
        <f>K11</f>
        <v>12542</v>
      </c>
      <c r="M11" s="5">
        <f t="shared" ref="M11:N11" si="53">L11</f>
        <v>12542</v>
      </c>
      <c r="N11" s="5">
        <f t="shared" si="53"/>
        <v>12542</v>
      </c>
      <c r="O11" s="5"/>
      <c r="P11" s="5"/>
      <c r="Q11" s="5"/>
      <c r="R11" s="5"/>
      <c r="S11" s="5"/>
      <c r="T11" s="5"/>
      <c r="U11" s="5"/>
      <c r="V11" s="5"/>
      <c r="AF11" s="4">
        <v>27368.652999999998</v>
      </c>
      <c r="AG11" s="4">
        <v>23110.528999999999</v>
      </c>
      <c r="AH11" s="4">
        <f t="shared" si="49"/>
        <v>50168</v>
      </c>
      <c r="AI11" s="4">
        <f>AH11*1.03</f>
        <v>51673.04</v>
      </c>
      <c r="AJ11" s="4">
        <f t="shared" ref="AJ11:AV11" si="54">AI11*1.03</f>
        <v>53223.231200000002</v>
      </c>
      <c r="AK11" s="4">
        <f t="shared" si="54"/>
        <v>54819.928136000002</v>
      </c>
      <c r="AL11" s="4">
        <f t="shared" si="54"/>
        <v>56464.525980080005</v>
      </c>
      <c r="AM11" s="4">
        <f t="shared" si="54"/>
        <v>58158.461759482409</v>
      </c>
      <c r="AN11" s="4">
        <f t="shared" si="54"/>
        <v>59903.215612266882</v>
      </c>
      <c r="AO11" s="4">
        <f t="shared" si="54"/>
        <v>61700.312080634889</v>
      </c>
      <c r="AP11" s="4">
        <f t="shared" si="54"/>
        <v>63551.321443053937</v>
      </c>
      <c r="AQ11" s="4">
        <f t="shared" si="54"/>
        <v>65457.861086345554</v>
      </c>
      <c r="AR11" s="4">
        <f t="shared" si="54"/>
        <v>67421.596918935917</v>
      </c>
      <c r="AS11" s="4">
        <f t="shared" si="54"/>
        <v>69444.244826504</v>
      </c>
      <c r="AT11" s="4">
        <f t="shared" si="54"/>
        <v>71527.572171299122</v>
      </c>
      <c r="AU11" s="4">
        <f t="shared" si="54"/>
        <v>73673.399336438102</v>
      </c>
      <c r="AV11" s="4">
        <f t="shared" si="54"/>
        <v>75883.601316531247</v>
      </c>
      <c r="AW11" s="4">
        <f>AV11*1.03</f>
        <v>78160.109356027184</v>
      </c>
      <c r="AX11" s="4">
        <f t="shared" ref="AX11" si="55">AW11*0.1</f>
        <v>7816.0109356027187</v>
      </c>
    </row>
    <row r="12" spans="1:50" s="4" customFormat="1" x14ac:dyDescent="0.2">
      <c r="B12" s="4" t="s">
        <v>84</v>
      </c>
      <c r="C12" s="5">
        <f t="shared" ref="C12" si="56">+C10+C11</f>
        <v>14646.121000000001</v>
      </c>
      <c r="D12" s="5">
        <f t="shared" ref="D12" si="57">+D10+D11</f>
        <v>13716.682000000001</v>
      </c>
      <c r="E12" s="5">
        <f t="shared" ref="E12:I12" si="58">+E10+E11</f>
        <v>14812.767</v>
      </c>
      <c r="F12" s="5">
        <f t="shared" si="58"/>
        <v>16415.475999999999</v>
      </c>
      <c r="G12" s="5">
        <f t="shared" si="58"/>
        <v>11391</v>
      </c>
      <c r="H12" s="5">
        <f t="shared" si="58"/>
        <v>9016.2079999999987</v>
      </c>
      <c r="I12" s="5">
        <f t="shared" si="58"/>
        <v>9368.7669999999998</v>
      </c>
      <c r="J12" s="5">
        <f>+J10+J11</f>
        <v>13851.502</v>
      </c>
      <c r="K12" s="5">
        <f>+K10+K11</f>
        <v>17270</v>
      </c>
      <c r="L12" s="5">
        <f t="shared" ref="L12" si="59">+L10+L11</f>
        <v>16770</v>
      </c>
      <c r="M12" s="5">
        <f t="shared" ref="M12" si="60">+M10+M11</f>
        <v>16270</v>
      </c>
      <c r="N12" s="5">
        <f t="shared" ref="N12" si="61">+N10+N11</f>
        <v>15770</v>
      </c>
      <c r="O12" s="5"/>
      <c r="P12" s="5"/>
      <c r="Q12" s="5"/>
      <c r="R12" s="5"/>
      <c r="S12" s="5"/>
      <c r="T12" s="5"/>
      <c r="U12" s="5"/>
      <c r="V12" s="5"/>
      <c r="AF12" s="4">
        <f t="shared" ref="AF12" si="62">AF11+AF10</f>
        <v>59591.046000000002</v>
      </c>
      <c r="AG12" s="4">
        <f>AG11+AG10</f>
        <v>43627.476999999999</v>
      </c>
      <c r="AH12" s="4">
        <f t="shared" ref="AH12" si="63">AH11+AH10</f>
        <v>66080</v>
      </c>
      <c r="AI12" s="4">
        <f t="shared" ref="AI12" si="64">AI11+AI10</f>
        <v>64402.64</v>
      </c>
      <c r="AJ12" s="4">
        <f t="shared" ref="AJ12" si="65">AJ11+AJ10</f>
        <v>63406.911200000002</v>
      </c>
      <c r="AK12" s="4">
        <f t="shared" ref="AK12" si="66">AK11+AK10</f>
        <v>62966.872136000005</v>
      </c>
      <c r="AL12" s="4">
        <f t="shared" ref="AL12" si="67">AL11+AL10</f>
        <v>62982.081180080007</v>
      </c>
      <c r="AM12" s="4">
        <f t="shared" ref="AM12" si="68">AM11+AM10</f>
        <v>63372.505919482413</v>
      </c>
      <c r="AN12" s="4">
        <f t="shared" ref="AN12" si="69">AN11+AN10</f>
        <v>64074.450940266885</v>
      </c>
      <c r="AO12" s="4">
        <f t="shared" ref="AO12" si="70">AO11+AO10</f>
        <v>65037.300343034891</v>
      </c>
      <c r="AP12" s="4">
        <f t="shared" ref="AP12" si="71">AP11+AP10</f>
        <v>66220.912052973945</v>
      </c>
      <c r="AQ12" s="4">
        <f t="shared" ref="AQ12" si="72">AQ11+AQ10</f>
        <v>67593.533574281551</v>
      </c>
      <c r="AR12" s="4">
        <f t="shared" ref="AR12" si="73">AR11+AR10</f>
        <v>69130.134909284723</v>
      </c>
      <c r="AS12" s="4">
        <f t="shared" ref="AS12" si="74">AS11+AS10</f>
        <v>70811.075218783037</v>
      </c>
      <c r="AT12" s="4">
        <f t="shared" ref="AT12" si="75">AT11+AT10</f>
        <v>72621.036485122357</v>
      </c>
      <c r="AU12" s="4">
        <f t="shared" ref="AU12" si="76">AU11+AU10</f>
        <v>74548.170787496681</v>
      </c>
      <c r="AV12" s="4">
        <f t="shared" ref="AV12" si="77">AV11+AV10</f>
        <v>76583.418477378116</v>
      </c>
      <c r="AW12" s="4">
        <f>AW11+AW10</f>
        <v>78719.963084704679</v>
      </c>
      <c r="AX12" s="4">
        <f t="shared" ref="AX12" si="78">AX11+AX10</f>
        <v>8263.8939185447143</v>
      </c>
    </row>
    <row r="13" spans="1:50" s="4" customFormat="1" x14ac:dyDescent="0.2">
      <c r="B13" s="4" t="s">
        <v>85</v>
      </c>
      <c r="C13" s="5">
        <f t="shared" ref="C13" si="79">+C9-C12</f>
        <v>-14646.121000000001</v>
      </c>
      <c r="D13" s="5">
        <f t="shared" ref="D13" si="80">+D9-D12</f>
        <v>-13716.682000000001</v>
      </c>
      <c r="E13" s="5">
        <f t="shared" ref="E13:I13" si="81">+E9-E12</f>
        <v>-14812.767</v>
      </c>
      <c r="F13" s="5">
        <f t="shared" si="81"/>
        <v>-15913.56</v>
      </c>
      <c r="G13" s="5">
        <f t="shared" si="81"/>
        <v>-9001</v>
      </c>
      <c r="H13" s="5">
        <f t="shared" si="81"/>
        <v>-6353.8579999999984</v>
      </c>
      <c r="I13" s="5">
        <f t="shared" si="81"/>
        <v>-7079.6569999999992</v>
      </c>
      <c r="J13" s="5">
        <f>+J9-J12</f>
        <v>-11362.528000000002</v>
      </c>
      <c r="K13" s="5">
        <f>+K9-K12</f>
        <v>-14472</v>
      </c>
      <c r="L13" s="5">
        <f t="shared" ref="L13" si="82">+L9-L12</f>
        <v>-13972</v>
      </c>
      <c r="M13" s="5">
        <f t="shared" ref="M13" si="83">+M9-M12</f>
        <v>-10751.8</v>
      </c>
      <c r="N13" s="5">
        <f t="shared" ref="N13" si="84">+N9-N12</f>
        <v>-8551.7999999999993</v>
      </c>
      <c r="O13" s="5"/>
      <c r="P13" s="5"/>
      <c r="Q13" s="5"/>
      <c r="R13" s="5"/>
      <c r="S13" s="5"/>
      <c r="T13" s="5"/>
      <c r="U13" s="5"/>
      <c r="V13" s="5"/>
      <c r="AF13" s="4">
        <f t="shared" ref="AF13" si="85">AF9-AF12</f>
        <v>-59089.130000000005</v>
      </c>
      <c r="AG13" s="4">
        <f>AG9-AG12</f>
        <v>-33797.042999999998</v>
      </c>
      <c r="AH13" s="4">
        <f t="shared" ref="AH13" si="86">AH9-AH12</f>
        <v>-55747.6</v>
      </c>
      <c r="AI13" s="4">
        <f t="shared" ref="AI13" si="87">AI9-AI12</f>
        <v>39262.744000000006</v>
      </c>
      <c r="AJ13" s="4">
        <f t="shared" ref="AJ13" si="88">AJ9-AJ12</f>
        <v>95632.775200000004</v>
      </c>
      <c r="AK13" s="4">
        <f t="shared" ref="AK13" si="89">AK9-AK12</f>
        <v>150714.57234399999</v>
      </c>
      <c r="AL13" s="4">
        <f t="shared" ref="AL13" si="90">AL9-AL12</f>
        <v>224223.91289992002</v>
      </c>
      <c r="AM13" s="4">
        <f t="shared" ref="AM13" si="91">AM9-AM12</f>
        <v>238864.51375251767</v>
      </c>
      <c r="AN13" s="4">
        <f t="shared" ref="AN13" si="92">AN9-AN12</f>
        <v>241923.99176453316</v>
      </c>
      <c r="AO13" s="4">
        <f t="shared" ref="AO13" si="93">AO9-AO12</f>
        <v>198573.92309128516</v>
      </c>
      <c r="AP13" s="4">
        <f t="shared" ref="AP13" si="94">AP9-AP12</f>
        <v>176613.68903791404</v>
      </c>
      <c r="AQ13" s="4">
        <f t="shared" ref="AQ13" si="95">AQ9-AQ12</f>
        <v>201696.23240751761</v>
      </c>
      <c r="AR13" s="4">
        <f t="shared" ref="AR13" si="96">AR9-AR12</f>
        <v>199954.65447433462</v>
      </c>
      <c r="AS13" s="4">
        <f t="shared" ref="AS13" si="97">AS9-AS12</f>
        <v>241018.48522647429</v>
      </c>
      <c r="AT13" s="4">
        <f t="shared" ref="AT13" si="98">AT9-AT12</f>
        <v>318013.44291560928</v>
      </c>
      <c r="AU13" s="4">
        <f t="shared" ref="AU13" si="99">AU9-AU12</f>
        <v>408762.23567316175</v>
      </c>
      <c r="AV13" s="4">
        <f t="shared" ref="AV13" si="100">AV9-AV12</f>
        <v>502483.69733721449</v>
      </c>
      <c r="AW13" s="4">
        <f>AW9-AW12</f>
        <v>505839.0511484287</v>
      </c>
      <c r="AX13" s="4">
        <f t="shared" ref="AX13" si="101">AX9-AX12</f>
        <v>52147.61089127529</v>
      </c>
    </row>
    <row r="14" spans="1:50" s="4" customFormat="1" x14ac:dyDescent="0.2">
      <c r="B14" s="4" t="s">
        <v>86</v>
      </c>
      <c r="C14" s="5">
        <f>109.59-254.948</f>
        <v>-145.358</v>
      </c>
      <c r="D14" s="5">
        <f>11.631-211.05</f>
        <v>-199.41900000000001</v>
      </c>
      <c r="E14" s="5">
        <f>34.633-190.546</f>
        <v>-155.91299999999998</v>
      </c>
      <c r="F14" s="5">
        <f>AF14-E14-D14-C14</f>
        <v>-172.94900000000001</v>
      </c>
      <c r="G14" s="5">
        <f>21-150</f>
        <v>-129</v>
      </c>
      <c r="H14" s="5">
        <f>4.88-202.508</f>
        <v>-197.62800000000001</v>
      </c>
      <c r="I14" s="5">
        <f>3.875-205.11</f>
        <v>-201.23500000000001</v>
      </c>
      <c r="J14" s="5">
        <f t="shared" ref="J14:J16" si="102">AG14-I14-H14-G14</f>
        <v>-253.74199999999996</v>
      </c>
      <c r="K14" s="5">
        <f>4-478</f>
        <v>-474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AF14" s="4">
        <f>184.359-857.998</f>
        <v>-673.63900000000001</v>
      </c>
      <c r="AG14" s="4">
        <f>33.435-815.04</f>
        <v>-781.60500000000002</v>
      </c>
      <c r="AH14" s="4">
        <f>AG14</f>
        <v>-781.60500000000002</v>
      </c>
      <c r="AI14" s="4">
        <f>AH24*$AZ$27</f>
        <v>490.36799999999994</v>
      </c>
      <c r="AJ14" s="4">
        <f t="shared" ref="AJ14:AX14" si="103">AI24*$AZ$27</f>
        <v>1205.9240160000002</v>
      </c>
      <c r="AK14" s="4">
        <f t="shared" si="103"/>
        <v>2949.0206018880003</v>
      </c>
      <c r="AL14" s="4">
        <f t="shared" si="103"/>
        <v>5714.9652749139841</v>
      </c>
      <c r="AM14" s="4">
        <f t="shared" si="103"/>
        <v>9164.0484475364938</v>
      </c>
      <c r="AN14" s="4">
        <f t="shared" si="103"/>
        <v>12884.476880537306</v>
      </c>
      <c r="AO14" s="4">
        <f t="shared" si="103"/>
        <v>16706.603910213365</v>
      </c>
      <c r="AP14" s="4">
        <f t="shared" si="103"/>
        <v>19935.811815235844</v>
      </c>
      <c r="AQ14" s="4">
        <f t="shared" si="103"/>
        <v>22884.054328033089</v>
      </c>
      <c r="AR14" s="4">
        <f t="shared" si="103"/>
        <v>26252.758629066353</v>
      </c>
      <c r="AS14" s="4">
        <f t="shared" si="103"/>
        <v>29645.86982561737</v>
      </c>
      <c r="AT14" s="4">
        <f t="shared" si="103"/>
        <v>33705.835151398744</v>
      </c>
      <c r="AU14" s="4">
        <f t="shared" si="103"/>
        <v>38981.624322403863</v>
      </c>
      <c r="AV14" s="4">
        <f t="shared" si="103"/>
        <v>45697.782222337344</v>
      </c>
      <c r="AW14" s="4">
        <f>AV24*$AZ$27</f>
        <v>53920.504415730618</v>
      </c>
      <c r="AX14" s="4">
        <f t="shared" si="103"/>
        <v>62316.897749193013</v>
      </c>
    </row>
    <row r="15" spans="1:50" s="4" customFormat="1" x14ac:dyDescent="0.2">
      <c r="B15" s="4" t="s">
        <v>87</v>
      </c>
      <c r="C15" s="5">
        <f t="shared" ref="C15:D15" si="104">+C13+C14</f>
        <v>-14791.479000000001</v>
      </c>
      <c r="D15" s="5">
        <f t="shared" si="104"/>
        <v>-13916.101000000001</v>
      </c>
      <c r="E15" s="5">
        <f t="shared" ref="E15:J15" si="105">+E13+E14</f>
        <v>-14968.68</v>
      </c>
      <c r="F15" s="5">
        <f t="shared" si="105"/>
        <v>-16086.509</v>
      </c>
      <c r="G15" s="5">
        <f t="shared" si="105"/>
        <v>-9130</v>
      </c>
      <c r="H15" s="5">
        <f t="shared" si="105"/>
        <v>-6551.4859999999981</v>
      </c>
      <c r="I15" s="5">
        <f t="shared" si="105"/>
        <v>-7280.8919999999989</v>
      </c>
      <c r="J15" s="5">
        <f t="shared" si="105"/>
        <v>-11616.270000000002</v>
      </c>
      <c r="K15" s="5">
        <f>+K13+K14</f>
        <v>-14946</v>
      </c>
      <c r="L15" s="5">
        <f t="shared" ref="L15" si="106">+L13+L14</f>
        <v>-13972</v>
      </c>
      <c r="M15" s="5">
        <f t="shared" ref="M15" si="107">+M13+M14</f>
        <v>-10751.8</v>
      </c>
      <c r="N15" s="5">
        <f t="shared" ref="N15" si="108">+N13+N14</f>
        <v>-8551.7999999999993</v>
      </c>
      <c r="O15" s="5"/>
      <c r="P15" s="5"/>
      <c r="Q15" s="5"/>
      <c r="R15" s="5"/>
      <c r="S15" s="5"/>
      <c r="T15" s="5"/>
      <c r="U15" s="5"/>
      <c r="V15" s="5"/>
      <c r="AF15" s="4">
        <f t="shared" ref="AF15" si="109">AF13+AF14</f>
        <v>-59762.769000000008</v>
      </c>
      <c r="AG15" s="4">
        <f>AG13+AG14</f>
        <v>-34578.648000000001</v>
      </c>
      <c r="AH15" s="4">
        <f t="shared" ref="AH15" si="110">AH13+AH14</f>
        <v>-56529.205000000002</v>
      </c>
      <c r="AI15" s="4">
        <f t="shared" ref="AI15" si="111">AI13+AI14</f>
        <v>39753.112000000008</v>
      </c>
      <c r="AJ15" s="4">
        <f t="shared" ref="AJ15" si="112">AJ13+AJ14</f>
        <v>96838.699216000008</v>
      </c>
      <c r="AK15" s="4">
        <f t="shared" ref="AK15" si="113">AK13+AK14</f>
        <v>153663.592945888</v>
      </c>
      <c r="AL15" s="4">
        <f t="shared" ref="AL15" si="114">AL13+AL14</f>
        <v>229938.87817483401</v>
      </c>
      <c r="AM15" s="4">
        <f t="shared" ref="AM15" si="115">AM13+AM14</f>
        <v>248028.56220005418</v>
      </c>
      <c r="AN15" s="4">
        <f t="shared" ref="AN15" si="116">AN13+AN14</f>
        <v>254808.46864507048</v>
      </c>
      <c r="AO15" s="4">
        <f t="shared" ref="AO15" si="117">AO13+AO14</f>
        <v>215280.52700149853</v>
      </c>
      <c r="AP15" s="4">
        <f t="shared" ref="AP15" si="118">AP13+AP14</f>
        <v>196549.50085314989</v>
      </c>
      <c r="AQ15" s="4">
        <f t="shared" ref="AQ15" si="119">AQ13+AQ14</f>
        <v>224580.2867355507</v>
      </c>
      <c r="AR15" s="4">
        <f t="shared" ref="AR15" si="120">AR13+AR14</f>
        <v>226207.41310340096</v>
      </c>
      <c r="AS15" s="4">
        <f t="shared" ref="AS15" si="121">AS13+AS14</f>
        <v>270664.35505209165</v>
      </c>
      <c r="AT15" s="4">
        <f t="shared" ref="AT15" si="122">AT13+AT14</f>
        <v>351719.27806700801</v>
      </c>
      <c r="AU15" s="4">
        <f t="shared" ref="AU15" si="123">AU13+AU14</f>
        <v>447743.85999556561</v>
      </c>
      <c r="AV15" s="4">
        <f t="shared" ref="AV15" si="124">AV13+AV14</f>
        <v>548181.47955955181</v>
      </c>
      <c r="AW15" s="4">
        <f>AW13+AW14</f>
        <v>559759.55556415929</v>
      </c>
      <c r="AX15" s="4">
        <f t="shared" ref="AX15" si="125">AX13+AX14</f>
        <v>114464.5086404683</v>
      </c>
    </row>
    <row r="16" spans="1:50" s="4" customFormat="1" x14ac:dyDescent="0.2">
      <c r="B16" s="4" t="s">
        <v>142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f t="shared" si="102"/>
        <v>0</v>
      </c>
      <c r="K16" s="5">
        <v>0</v>
      </c>
      <c r="L16" s="5">
        <v>0</v>
      </c>
      <c r="M16" s="5">
        <v>0</v>
      </c>
      <c r="N16" s="5">
        <v>0</v>
      </c>
      <c r="O16" s="5"/>
      <c r="P16" s="5"/>
      <c r="Q16" s="5"/>
      <c r="R16" s="5"/>
      <c r="S16" s="5"/>
      <c r="T16" s="5"/>
      <c r="U16" s="5"/>
      <c r="V16" s="5"/>
      <c r="AF16" s="4">
        <v>0</v>
      </c>
      <c r="AG16" s="4">
        <v>0</v>
      </c>
      <c r="AH16" s="4">
        <v>0</v>
      </c>
      <c r="AI16" s="4">
        <f>AI15*0.1</f>
        <v>3975.311200000001</v>
      </c>
      <c r="AJ16" s="4">
        <f t="shared" ref="AJ16:AK16" si="126">AJ15*0.1</f>
        <v>9683.8699216000005</v>
      </c>
      <c r="AK16" s="4">
        <f t="shared" si="126"/>
        <v>15366.359294588801</v>
      </c>
      <c r="AL16" s="4">
        <f>AL15*0.25</f>
        <v>57484.719543708503</v>
      </c>
      <c r="AM16" s="4">
        <f t="shared" ref="AM16:AX16" si="127">AM15*0.25</f>
        <v>62007.140550013544</v>
      </c>
      <c r="AN16" s="4">
        <f t="shared" si="127"/>
        <v>63702.117161267619</v>
      </c>
      <c r="AO16" s="4">
        <f t="shared" si="127"/>
        <v>53820.131750374632</v>
      </c>
      <c r="AP16" s="4">
        <f t="shared" si="127"/>
        <v>49137.375213287472</v>
      </c>
      <c r="AQ16" s="4">
        <f t="shared" si="127"/>
        <v>56145.071683887676</v>
      </c>
      <c r="AR16" s="4">
        <f t="shared" si="127"/>
        <v>56551.853275850241</v>
      </c>
      <c r="AS16" s="4">
        <f t="shared" si="127"/>
        <v>67666.088763022912</v>
      </c>
      <c r="AT16" s="4">
        <f t="shared" si="127"/>
        <v>87929.819516752003</v>
      </c>
      <c r="AU16" s="4">
        <f t="shared" si="127"/>
        <v>111935.9649988914</v>
      </c>
      <c r="AV16" s="4">
        <f t="shared" si="127"/>
        <v>137045.36988988795</v>
      </c>
      <c r="AW16" s="4">
        <f>AW15*0.25</f>
        <v>139939.88889103982</v>
      </c>
      <c r="AX16" s="4">
        <f t="shared" si="127"/>
        <v>28616.127160117074</v>
      </c>
    </row>
    <row r="17" spans="2:52" s="4" customFormat="1" x14ac:dyDescent="0.2">
      <c r="B17" s="4" t="s">
        <v>141</v>
      </c>
      <c r="C17" s="5">
        <f t="shared" ref="C17:D17" si="128">C15-C16</f>
        <v>-14791.479000000001</v>
      </c>
      <c r="D17" s="5">
        <f t="shared" si="128"/>
        <v>-13916.101000000001</v>
      </c>
      <c r="E17" s="5">
        <f t="shared" ref="E17:J17" si="129">E15-E16</f>
        <v>-14968.68</v>
      </c>
      <c r="F17" s="5">
        <f t="shared" si="129"/>
        <v>-16086.509</v>
      </c>
      <c r="G17" s="5">
        <f t="shared" si="129"/>
        <v>-9130</v>
      </c>
      <c r="H17" s="5">
        <f t="shared" si="129"/>
        <v>-6551.4859999999981</v>
      </c>
      <c r="I17" s="5">
        <f t="shared" si="129"/>
        <v>-7280.8919999999989</v>
      </c>
      <c r="J17" s="5">
        <f t="shared" si="129"/>
        <v>-11616.270000000002</v>
      </c>
      <c r="K17" s="5">
        <f>K15-K16</f>
        <v>-14946</v>
      </c>
      <c r="L17" s="5">
        <f t="shared" ref="L17" si="130">L15-L16</f>
        <v>-13972</v>
      </c>
      <c r="M17" s="5">
        <f t="shared" ref="M17" si="131">M15-M16</f>
        <v>-10751.8</v>
      </c>
      <c r="N17" s="5">
        <f t="shared" ref="N17" si="132">N15-N16</f>
        <v>-8551.7999999999993</v>
      </c>
      <c r="O17" s="5"/>
      <c r="P17" s="5"/>
      <c r="Q17" s="5"/>
      <c r="R17" s="5"/>
      <c r="S17" s="5"/>
      <c r="T17" s="5"/>
      <c r="U17" s="5"/>
      <c r="V17" s="5"/>
      <c r="AF17" s="4">
        <f t="shared" ref="AF17" si="133">AF15-AF16</f>
        <v>-59762.769000000008</v>
      </c>
      <c r="AG17" s="4">
        <f>AG15-AG16</f>
        <v>-34578.648000000001</v>
      </c>
      <c r="AH17" s="4">
        <f t="shared" ref="AH17" si="134">AH15-AH16</f>
        <v>-56529.205000000002</v>
      </c>
      <c r="AI17" s="4">
        <f t="shared" ref="AI17" si="135">AI15-AI16</f>
        <v>35777.800800000005</v>
      </c>
      <c r="AJ17" s="4">
        <f t="shared" ref="AJ17" si="136">AJ15-AJ16</f>
        <v>87154.829294400013</v>
      </c>
      <c r="AK17" s="4">
        <f t="shared" ref="AK17" si="137">AK15-AK16</f>
        <v>138297.2336512992</v>
      </c>
      <c r="AL17" s="4">
        <f t="shared" ref="AL17" si="138">AL15-AL16</f>
        <v>172454.15863112552</v>
      </c>
      <c r="AM17" s="4">
        <f t="shared" ref="AM17" si="139">AM15-AM16</f>
        <v>186021.42165004063</v>
      </c>
      <c r="AN17" s="4">
        <f t="shared" ref="AN17" si="140">AN15-AN16</f>
        <v>191106.35148380286</v>
      </c>
      <c r="AO17" s="4">
        <f t="shared" ref="AO17" si="141">AO15-AO16</f>
        <v>161460.3952511239</v>
      </c>
      <c r="AP17" s="4">
        <f t="shared" ref="AP17" si="142">AP15-AP16</f>
        <v>147412.12563986241</v>
      </c>
      <c r="AQ17" s="4">
        <f t="shared" ref="AQ17" si="143">AQ15-AQ16</f>
        <v>168435.21505166302</v>
      </c>
      <c r="AR17" s="4">
        <f t="shared" ref="AR17" si="144">AR15-AR16</f>
        <v>169655.55982755072</v>
      </c>
      <c r="AS17" s="4">
        <f t="shared" ref="AS17" si="145">AS15-AS16</f>
        <v>202998.26628906874</v>
      </c>
      <c r="AT17" s="4">
        <f t="shared" ref="AT17" si="146">AT15-AT16</f>
        <v>263789.45855025598</v>
      </c>
      <c r="AU17" s="4">
        <f t="shared" ref="AU17" si="147">AU15-AU16</f>
        <v>335807.89499667421</v>
      </c>
      <c r="AV17" s="4">
        <f t="shared" ref="AV17" si="148">AV15-AV16</f>
        <v>411136.10966966383</v>
      </c>
      <c r="AW17" s="4">
        <f>AW15-AW16</f>
        <v>419819.66667311947</v>
      </c>
      <c r="AX17" s="4">
        <f>AX15-AX16</f>
        <v>85848.381480351221</v>
      </c>
    </row>
    <row r="18" spans="2:52" s="4" customFormat="1" x14ac:dyDescent="0.2">
      <c r="B18" s="4" t="s">
        <v>140</v>
      </c>
      <c r="C18" s="25">
        <f t="shared" ref="C18:D18" si="149">C17/C19</f>
        <v>-0.52030246565643579</v>
      </c>
      <c r="D18" s="25">
        <f t="shared" si="149"/>
        <v>-0.48864402477950786</v>
      </c>
      <c r="E18" s="25">
        <f t="shared" ref="E18:J18" si="150">E17/E19</f>
        <v>-0.396463855623365</v>
      </c>
      <c r="F18" s="25">
        <f t="shared" si="150"/>
        <v>-0.42607092820876402</v>
      </c>
      <c r="G18" s="25">
        <f t="shared" si="150"/>
        <v>-0.21015869375299948</v>
      </c>
      <c r="H18" s="25">
        <f t="shared" si="150"/>
        <v>-0.12884673167171726</v>
      </c>
      <c r="I18" s="25">
        <f t="shared" si="150"/>
        <v>-0.13979805534391607</v>
      </c>
      <c r="J18" s="25">
        <f t="shared" si="150"/>
        <v>-0.22304024786384311</v>
      </c>
      <c r="K18" s="25">
        <f>K17/K19</f>
        <v>-0.28487409474185049</v>
      </c>
      <c r="L18" s="25">
        <f t="shared" ref="L18" si="151">L17/L19</f>
        <v>-0.26630943742360064</v>
      </c>
      <c r="M18" s="25">
        <f t="shared" ref="M18" si="152">M17/M19</f>
        <v>-0.20493170693465998</v>
      </c>
      <c r="N18" s="25">
        <f t="shared" ref="N18" si="153">N17/N19</f>
        <v>-0.16299921607208331</v>
      </c>
      <c r="O18" s="5"/>
      <c r="P18" s="5"/>
      <c r="Q18" s="5"/>
      <c r="R18" s="5"/>
      <c r="S18" s="5"/>
      <c r="T18" s="5"/>
      <c r="U18" s="5"/>
      <c r="V18" s="5"/>
      <c r="AF18" s="24">
        <f t="shared" ref="AF18" si="154">AF17/AF19</f>
        <v>-1.7635152158403071</v>
      </c>
      <c r="AG18" s="24">
        <f>AG17/AG19</f>
        <v>-0.69605924279521836</v>
      </c>
      <c r="AH18" s="24">
        <f t="shared" ref="AH18" si="155">AH17/AH19</f>
        <v>-1.0774592600596473</v>
      </c>
      <c r="AI18" s="24">
        <f t="shared" ref="AI18" si="156">AI17/AI19</f>
        <v>0.6819328659677677</v>
      </c>
      <c r="AJ18" s="24">
        <f t="shared" ref="AJ18" si="157">AJ17/AJ19</f>
        <v>1.6611904922803906</v>
      </c>
      <c r="AK18" s="24">
        <f t="shared" ref="AK18" si="158">AK17/AK19</f>
        <v>2.635976130183062</v>
      </c>
      <c r="AL18" s="24">
        <f t="shared" ref="AL18" si="159">AL17/AL19</f>
        <v>3.2870147413695552</v>
      </c>
      <c r="AM18" s="24">
        <f t="shared" ref="AM18" si="160">AM17/AM19</f>
        <v>3.5456098016290243</v>
      </c>
      <c r="AN18" s="24">
        <f t="shared" ref="AN18" si="161">AN17/AN19</f>
        <v>3.6425296988067872</v>
      </c>
      <c r="AO18" s="24">
        <f t="shared" ref="AO18" si="162">AO17/AO19</f>
        <v>3.0774711584253516</v>
      </c>
      <c r="AP18" s="24">
        <f t="shared" ref="AP18" si="163">AP17/AP19</f>
        <v>2.8097080051938805</v>
      </c>
      <c r="AQ18" s="24">
        <f t="shared" ref="AQ18" si="164">AQ17/AQ19</f>
        <v>3.2104127800409086</v>
      </c>
      <c r="AR18" s="24">
        <f t="shared" ref="AR18" si="165">AR17/AR19</f>
        <v>3.2336728237518648</v>
      </c>
      <c r="AS18" s="24">
        <f t="shared" ref="AS18" si="166">AS17/AS19</f>
        <v>3.8691922483114927</v>
      </c>
      <c r="AT18" s="24">
        <f t="shared" ref="AT18" si="167">AT17/AT19</f>
        <v>5.0278859365012094</v>
      </c>
      <c r="AU18" s="24">
        <f t="shared" ref="AU18" si="168">AU17/AU19</f>
        <v>6.4005734038768871</v>
      </c>
      <c r="AV18" s="24">
        <f t="shared" ref="AV18" si="169">AV17/AV19</f>
        <v>7.8363459827265931</v>
      </c>
      <c r="AW18" s="24">
        <f>AW17/AW19</f>
        <v>8.0018565166820785</v>
      </c>
      <c r="AX18" s="24">
        <f t="shared" ref="AX18" si="170">AX17/AX19</f>
        <v>1.6362893054508296</v>
      </c>
    </row>
    <row r="19" spans="2:52" s="4" customFormat="1" x14ac:dyDescent="0.2">
      <c r="B19" s="4" t="s">
        <v>11</v>
      </c>
      <c r="C19" s="5">
        <v>28428.616000000002</v>
      </c>
      <c r="D19" s="5">
        <v>28479.016</v>
      </c>
      <c r="E19" s="5">
        <v>37755.472000000002</v>
      </c>
      <c r="F19" s="5">
        <f>E19</f>
        <v>37755.472000000002</v>
      </c>
      <c r="G19" s="5">
        <v>43443.360999999997</v>
      </c>
      <c r="H19" s="5">
        <v>50847.125999999997</v>
      </c>
      <c r="I19" s="5">
        <v>52081.497000000003</v>
      </c>
      <c r="J19" s="5">
        <f>I19</f>
        <v>52081.497000000003</v>
      </c>
      <c r="K19" s="5">
        <v>52465.283000000003</v>
      </c>
      <c r="L19" s="5">
        <f>K19</f>
        <v>52465.283000000003</v>
      </c>
      <c r="M19" s="5">
        <f t="shared" ref="M19:N19" si="171">L19</f>
        <v>52465.283000000003</v>
      </c>
      <c r="N19" s="5">
        <f t="shared" si="171"/>
        <v>52465.283000000003</v>
      </c>
      <c r="O19" s="5"/>
      <c r="P19" s="5"/>
      <c r="Q19" s="5"/>
      <c r="R19" s="5"/>
      <c r="S19" s="5"/>
      <c r="T19" s="5"/>
      <c r="U19" s="5"/>
      <c r="V19" s="5"/>
      <c r="AF19" s="4">
        <v>33888.434000000001</v>
      </c>
      <c r="AG19" s="4">
        <v>49677.737000000001</v>
      </c>
      <c r="AH19" s="4">
        <f>N19</f>
        <v>52465.283000000003</v>
      </c>
      <c r="AI19" s="4">
        <f>AH19</f>
        <v>52465.283000000003</v>
      </c>
      <c r="AJ19" s="4">
        <f t="shared" ref="AJ19:AT19" si="172">AI19</f>
        <v>52465.283000000003</v>
      </c>
      <c r="AK19" s="4">
        <f t="shared" si="172"/>
        <v>52465.283000000003</v>
      </c>
      <c r="AL19" s="4">
        <f t="shared" si="172"/>
        <v>52465.283000000003</v>
      </c>
      <c r="AM19" s="4">
        <f t="shared" si="172"/>
        <v>52465.283000000003</v>
      </c>
      <c r="AN19" s="4">
        <f t="shared" si="172"/>
        <v>52465.283000000003</v>
      </c>
      <c r="AO19" s="4">
        <f t="shared" si="172"/>
        <v>52465.283000000003</v>
      </c>
      <c r="AP19" s="4">
        <f t="shared" si="172"/>
        <v>52465.283000000003</v>
      </c>
      <c r="AQ19" s="4">
        <f t="shared" si="172"/>
        <v>52465.283000000003</v>
      </c>
      <c r="AR19" s="4">
        <f t="shared" si="172"/>
        <v>52465.283000000003</v>
      </c>
      <c r="AS19" s="4">
        <f t="shared" si="172"/>
        <v>52465.283000000003</v>
      </c>
      <c r="AT19" s="4">
        <f t="shared" si="172"/>
        <v>52465.283000000003</v>
      </c>
      <c r="AU19" s="4">
        <f t="shared" ref="AU19:AV19" si="173">AT19</f>
        <v>52465.283000000003</v>
      </c>
      <c r="AV19" s="4">
        <f t="shared" si="173"/>
        <v>52465.283000000003</v>
      </c>
      <c r="AW19" s="4">
        <f>AV19</f>
        <v>52465.283000000003</v>
      </c>
      <c r="AX19" s="4">
        <f t="shared" ref="AX19" si="174">AW19</f>
        <v>52465.283000000003</v>
      </c>
    </row>
    <row r="20" spans="2:52" s="4" customFormat="1" x14ac:dyDescent="0.2"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2:52" s="4" customFormat="1" x14ac:dyDescent="0.2">
      <c r="B21" s="4" t="s">
        <v>143</v>
      </c>
      <c r="C21" s="5"/>
      <c r="D21" s="5"/>
      <c r="E21" s="5"/>
      <c r="F21" s="5"/>
      <c r="G21" s="26"/>
      <c r="H21" s="26"/>
      <c r="I21" s="26"/>
      <c r="J21" s="26">
        <f t="shared" ref="J21" si="175">J7/F7-1</f>
        <v>3.3462902972845789</v>
      </c>
      <c r="K21" s="26">
        <f>K7/G7-1</f>
        <v>0.13229571984435795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AH21" s="29">
        <f>AH7/AG7-1</f>
        <v>8.6721005310290922E-2</v>
      </c>
      <c r="AI21" s="29">
        <f t="shared" ref="AI21:AT21" si="176">AI7/AH7-1</f>
        <v>8.0507731958762889</v>
      </c>
      <c r="AJ21" s="29">
        <f t="shared" si="176"/>
        <v>0.5156799650691497</v>
      </c>
      <c r="AK21" s="29">
        <f t="shared" si="176"/>
        <v>0.32757818214611367</v>
      </c>
      <c r="AL21" s="29">
        <f t="shared" si="176"/>
        <v>0.32827209551443026</v>
      </c>
      <c r="AM21" s="29">
        <f t="shared" si="176"/>
        <v>5.2335347805496202E-2</v>
      </c>
      <c r="AN21" s="29">
        <f t="shared" si="176"/>
        <v>1.2445275687545054E-2</v>
      </c>
      <c r="AO21" s="29">
        <f t="shared" si="176"/>
        <v>-0.13852102937455602</v>
      </c>
      <c r="AP21" s="29">
        <f t="shared" si="176"/>
        <v>-7.8815393642026388E-2</v>
      </c>
      <c r="AQ21" s="29">
        <f t="shared" si="176"/>
        <v>0.10894314390151338</v>
      </c>
      <c r="AR21" s="29">
        <f t="shared" si="176"/>
        <v>-7.6117485353577319E-4</v>
      </c>
      <c r="AS21" s="29">
        <f t="shared" si="176"/>
        <v>0.15885242402423283</v>
      </c>
      <c r="AT21" s="29">
        <f t="shared" si="176"/>
        <v>0.25271792335194188</v>
      </c>
      <c r="AU21" s="29">
        <f t="shared" ref="AU21:AW21" si="177">AU7/AT7-1</f>
        <v>0.23724461599523927</v>
      </c>
      <c r="AV21" s="29">
        <f t="shared" si="177"/>
        <v>0.19812672782109586</v>
      </c>
      <c r="AW21" s="29">
        <f t="shared" si="177"/>
        <v>9.4840447135651207E-3</v>
      </c>
      <c r="AX21" s="29">
        <f t="shared" ref="AX21" si="178">AX7/AW7-1</f>
        <v>-0.89665456636731167</v>
      </c>
    </row>
    <row r="22" spans="2:52" s="4" customFormat="1" x14ac:dyDescent="0.2">
      <c r="B22" s="4" t="s">
        <v>144</v>
      </c>
      <c r="C22" s="26"/>
      <c r="D22" s="26"/>
      <c r="E22" s="26"/>
      <c r="F22" s="26">
        <f t="shared" ref="F22:G22" si="179">F9/F7</f>
        <v>0.67860600193610843</v>
      </c>
      <c r="G22" s="26">
        <f t="shared" si="179"/>
        <v>0.77496757457846954</v>
      </c>
      <c r="H22" s="26">
        <f t="shared" ref="H22:J22" si="180">H9/H7</f>
        <v>0.78859069348351907</v>
      </c>
      <c r="I22" s="26">
        <f t="shared" si="180"/>
        <v>0.72015820697088462</v>
      </c>
      <c r="J22" s="26">
        <f t="shared" si="180"/>
        <v>0.77426260748488618</v>
      </c>
      <c r="K22" s="26">
        <f>K9/K7</f>
        <v>0.80126002290950749</v>
      </c>
      <c r="L22" s="26">
        <f t="shared" ref="L22:N22" si="181">L9/L7</f>
        <v>0.80126002290950749</v>
      </c>
      <c r="M22" s="26">
        <f t="shared" si="181"/>
        <v>0.85</v>
      </c>
      <c r="N22" s="26">
        <f t="shared" si="181"/>
        <v>0.85</v>
      </c>
      <c r="O22" s="5"/>
      <c r="P22" s="5"/>
      <c r="Q22" s="5"/>
      <c r="R22" s="5"/>
      <c r="S22" s="5"/>
      <c r="T22" s="5"/>
      <c r="U22" s="5"/>
      <c r="V22" s="5"/>
      <c r="AF22" s="26">
        <f t="shared" ref="AF22:AT22" si="182">AF9/AF7</f>
        <v>0.67860600193610843</v>
      </c>
      <c r="AG22" s="26">
        <f t="shared" si="182"/>
        <v>0.76481522903182009</v>
      </c>
      <c r="AH22" s="26">
        <f t="shared" si="182"/>
        <v>0.73971935853379145</v>
      </c>
      <c r="AI22" s="26">
        <f t="shared" si="182"/>
        <v>0.82</v>
      </c>
      <c r="AJ22" s="26">
        <f t="shared" si="182"/>
        <v>0.83</v>
      </c>
      <c r="AK22" s="26">
        <f t="shared" si="182"/>
        <v>0.84</v>
      </c>
      <c r="AL22" s="26">
        <f t="shared" si="182"/>
        <v>0.85000000000000009</v>
      </c>
      <c r="AM22" s="26">
        <f t="shared" si="182"/>
        <v>0.85</v>
      </c>
      <c r="AN22" s="26">
        <f t="shared" si="182"/>
        <v>0.85</v>
      </c>
      <c r="AO22" s="26">
        <f t="shared" si="182"/>
        <v>0.85</v>
      </c>
      <c r="AP22" s="26">
        <f t="shared" si="182"/>
        <v>0.85</v>
      </c>
      <c r="AQ22" s="26">
        <f t="shared" si="182"/>
        <v>0.85</v>
      </c>
      <c r="AR22" s="26">
        <f t="shared" si="182"/>
        <v>0.85</v>
      </c>
      <c r="AS22" s="26">
        <f t="shared" si="182"/>
        <v>0.84999999999999987</v>
      </c>
      <c r="AT22" s="26">
        <f t="shared" si="182"/>
        <v>0.85</v>
      </c>
      <c r="AU22" s="26">
        <f t="shared" ref="AU22:AW22" si="183">AU9/AU7</f>
        <v>0.85</v>
      </c>
      <c r="AV22" s="26">
        <f t="shared" si="183"/>
        <v>0.85</v>
      </c>
      <c r="AW22" s="26">
        <f t="shared" si="183"/>
        <v>0.85000000000000009</v>
      </c>
      <c r="AX22" s="26">
        <f t="shared" ref="AX22" si="184">AX9/AX7</f>
        <v>0.85</v>
      </c>
    </row>
    <row r="23" spans="2:52" s="4" customFormat="1" x14ac:dyDescent="0.2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2:52" s="4" customFormat="1" x14ac:dyDescent="0.2">
      <c r="B24" s="4" t="s">
        <v>17</v>
      </c>
      <c r="C24" s="5"/>
      <c r="D24" s="5"/>
      <c r="E24" s="5"/>
      <c r="F24" s="5"/>
      <c r="G24" s="5"/>
      <c r="H24" s="5"/>
      <c r="I24" s="5"/>
      <c r="J24" s="5">
        <v>57494</v>
      </c>
      <c r="K24" s="5">
        <v>57794</v>
      </c>
      <c r="L24" s="5">
        <f>K24+L17</f>
        <v>43822</v>
      </c>
      <c r="M24" s="5">
        <f t="shared" ref="M24:N24" si="185">L24+M17</f>
        <v>33070.199999999997</v>
      </c>
      <c r="N24" s="5">
        <f t="shared" si="185"/>
        <v>24518.399999999998</v>
      </c>
      <c r="O24" s="5"/>
      <c r="P24" s="5"/>
      <c r="Q24" s="5"/>
      <c r="R24" s="5"/>
      <c r="S24" s="5"/>
      <c r="T24" s="5"/>
      <c r="U24" s="5"/>
      <c r="V24" s="5"/>
      <c r="AH24" s="4">
        <f>N24</f>
        <v>24518.399999999998</v>
      </c>
      <c r="AI24" s="4">
        <f>AH24+AI17</f>
        <v>60296.200800000006</v>
      </c>
      <c r="AJ24" s="4">
        <f t="shared" ref="AJ24:AX24" si="186">AI24+AJ17</f>
        <v>147451.03009440002</v>
      </c>
      <c r="AK24" s="4">
        <f t="shared" si="186"/>
        <v>285748.26374569919</v>
      </c>
      <c r="AL24" s="4">
        <f t="shared" si="186"/>
        <v>458202.42237682472</v>
      </c>
      <c r="AM24" s="4">
        <f t="shared" si="186"/>
        <v>644223.84402686532</v>
      </c>
      <c r="AN24" s="4">
        <f t="shared" si="186"/>
        <v>835330.19551066821</v>
      </c>
      <c r="AO24" s="4">
        <f t="shared" si="186"/>
        <v>996790.59076179215</v>
      </c>
      <c r="AP24" s="4">
        <f t="shared" si="186"/>
        <v>1144202.7164016545</v>
      </c>
      <c r="AQ24" s="4">
        <f t="shared" si="186"/>
        <v>1312637.9314533176</v>
      </c>
      <c r="AR24" s="4">
        <f t="shared" si="186"/>
        <v>1482293.4912808684</v>
      </c>
      <c r="AS24" s="4">
        <f t="shared" si="186"/>
        <v>1685291.757569937</v>
      </c>
      <c r="AT24" s="4">
        <f t="shared" si="186"/>
        <v>1949081.216120193</v>
      </c>
      <c r="AU24" s="4">
        <f t="shared" si="186"/>
        <v>2284889.111116867</v>
      </c>
      <c r="AV24" s="4">
        <f t="shared" si="186"/>
        <v>2696025.220786531</v>
      </c>
      <c r="AW24" s="4">
        <f t="shared" si="186"/>
        <v>3115844.8874596506</v>
      </c>
      <c r="AX24" s="4">
        <f t="shared" si="186"/>
        <v>3201693.2689400017</v>
      </c>
    </row>
    <row r="25" spans="2:52" s="4" customFormat="1" x14ac:dyDescent="0.2">
      <c r="B25" s="4" t="s">
        <v>88</v>
      </c>
      <c r="C25" s="5"/>
      <c r="D25" s="5"/>
      <c r="E25" s="5"/>
      <c r="F25" s="5"/>
      <c r="G25" s="5"/>
      <c r="H25" s="5"/>
      <c r="I25" s="5"/>
      <c r="J25" s="5">
        <v>2990</v>
      </c>
      <c r="K25" s="5">
        <v>3287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2:52" s="4" customFormat="1" x14ac:dyDescent="0.2">
      <c r="B26" s="4" t="s">
        <v>89</v>
      </c>
      <c r="C26" s="5"/>
      <c r="D26" s="5"/>
      <c r="E26" s="5"/>
      <c r="F26" s="5"/>
      <c r="G26" s="5"/>
      <c r="H26" s="5"/>
      <c r="I26" s="5"/>
      <c r="J26" s="5">
        <v>792</v>
      </c>
      <c r="K26" s="5">
        <v>874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AY26" s="4" t="s">
        <v>146</v>
      </c>
      <c r="AZ26" s="29">
        <v>0.08</v>
      </c>
    </row>
    <row r="27" spans="2:52" s="4" customFormat="1" x14ac:dyDescent="0.2">
      <c r="B27" s="4" t="s">
        <v>21</v>
      </c>
      <c r="C27" s="5"/>
      <c r="D27" s="5"/>
      <c r="E27" s="5"/>
      <c r="F27" s="5"/>
      <c r="G27" s="5"/>
      <c r="H27" s="5"/>
      <c r="I27" s="5"/>
      <c r="J27" s="5">
        <v>5017</v>
      </c>
      <c r="K27" s="5">
        <v>4614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AY27" s="4" t="s">
        <v>147</v>
      </c>
      <c r="AZ27" s="29">
        <v>0.02</v>
      </c>
    </row>
    <row r="28" spans="2:52" s="4" customFormat="1" x14ac:dyDescent="0.2">
      <c r="B28" s="4" t="s">
        <v>90</v>
      </c>
      <c r="C28" s="5"/>
      <c r="D28" s="5"/>
      <c r="E28" s="5"/>
      <c r="F28" s="5"/>
      <c r="G28" s="5"/>
      <c r="H28" s="5"/>
      <c r="I28" s="5"/>
      <c r="J28" s="5">
        <v>2412</v>
      </c>
      <c r="K28" s="5">
        <v>2342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AY28" s="4" t="s">
        <v>148</v>
      </c>
      <c r="AZ28" s="4">
        <f>(NPV(AZ26,AI17:AX17)+Main!J5-Main!J6)/1000</f>
        <v>1540.884613191158</v>
      </c>
    </row>
    <row r="29" spans="2:52" s="4" customFormat="1" x14ac:dyDescent="0.2">
      <c r="B29" s="4" t="s">
        <v>91</v>
      </c>
      <c r="C29" s="5"/>
      <c r="D29" s="5"/>
      <c r="E29" s="5"/>
      <c r="F29" s="5"/>
      <c r="G29" s="5"/>
      <c r="H29" s="5"/>
      <c r="I29" s="5"/>
      <c r="J29" s="5">
        <v>6282</v>
      </c>
      <c r="K29" s="5">
        <v>6420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AY29" s="4" t="s">
        <v>149</v>
      </c>
      <c r="AZ29" s="24">
        <f>AZ28/Main!J3</f>
        <v>23.947426554396962</v>
      </c>
    </row>
    <row r="30" spans="2:52" s="4" customFormat="1" x14ac:dyDescent="0.2">
      <c r="B30" s="4" t="s">
        <v>92</v>
      </c>
      <c r="C30" s="5"/>
      <c r="D30" s="5"/>
      <c r="E30" s="5"/>
      <c r="F30" s="5"/>
      <c r="G30" s="5"/>
      <c r="H30" s="5"/>
      <c r="I30" s="5"/>
      <c r="J30" s="5">
        <v>10138</v>
      </c>
      <c r="K30" s="5">
        <v>9759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2:52" s="4" customFormat="1" x14ac:dyDescent="0.2">
      <c r="B31" s="4" t="s">
        <v>93</v>
      </c>
      <c r="C31" s="5"/>
      <c r="D31" s="5"/>
      <c r="E31" s="5"/>
      <c r="F31" s="5"/>
      <c r="G31" s="5"/>
      <c r="H31" s="5"/>
      <c r="I31" s="5"/>
      <c r="J31" s="5">
        <f>4390+3903</f>
        <v>8293</v>
      </c>
      <c r="K31" s="5">
        <f>4225+3903</f>
        <v>8128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2:52" s="4" customFormat="1" x14ac:dyDescent="0.2">
      <c r="B32" s="4" t="s">
        <v>94</v>
      </c>
      <c r="C32" s="5"/>
      <c r="D32" s="5"/>
      <c r="E32" s="5"/>
      <c r="F32" s="5"/>
      <c r="G32" s="5"/>
      <c r="H32" s="5"/>
      <c r="I32" s="5"/>
      <c r="J32" s="5">
        <v>311</v>
      </c>
      <c r="K32" s="5">
        <v>307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2:22" s="4" customFormat="1" x14ac:dyDescent="0.2">
      <c r="B33" s="4" t="s">
        <v>95</v>
      </c>
      <c r="C33" s="5"/>
      <c r="D33" s="5"/>
      <c r="E33" s="5"/>
      <c r="F33" s="5"/>
      <c r="G33" s="5"/>
      <c r="H33" s="5"/>
      <c r="I33" s="5"/>
      <c r="J33" s="5">
        <f>SUM(J24:J32)</f>
        <v>93729</v>
      </c>
      <c r="K33" s="5">
        <f>SUM(K24:K32)</f>
        <v>93525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2:22" s="4" customFormat="1" x14ac:dyDescent="0.2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2:22" s="4" customFormat="1" x14ac:dyDescent="0.2">
      <c r="B35" s="4" t="s">
        <v>96</v>
      </c>
      <c r="C35" s="5"/>
      <c r="D35" s="5"/>
      <c r="E35" s="5"/>
      <c r="F35" s="5"/>
      <c r="G35" s="5"/>
      <c r="H35" s="5"/>
      <c r="I35" s="5"/>
      <c r="J35" s="5">
        <v>1070</v>
      </c>
      <c r="K35" s="5">
        <v>1666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2:22" s="4" customFormat="1" x14ac:dyDescent="0.2">
      <c r="B36" s="4" t="s">
        <v>97</v>
      </c>
      <c r="C36" s="5"/>
      <c r="D36" s="5"/>
      <c r="E36" s="5"/>
      <c r="F36" s="5"/>
      <c r="G36" s="5"/>
      <c r="H36" s="5"/>
      <c r="I36" s="5"/>
      <c r="J36" s="5">
        <v>3157</v>
      </c>
      <c r="K36" s="5">
        <v>845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2:22" s="4" customFormat="1" x14ac:dyDescent="0.2">
      <c r="B37" s="4" t="s">
        <v>98</v>
      </c>
      <c r="C37" s="5"/>
      <c r="D37" s="5"/>
      <c r="E37" s="5"/>
      <c r="F37" s="5"/>
      <c r="G37" s="5"/>
      <c r="H37" s="5"/>
      <c r="I37" s="5"/>
      <c r="J37" s="5">
        <v>2014</v>
      </c>
      <c r="K37" s="5">
        <v>4327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2:22" s="4" customFormat="1" x14ac:dyDescent="0.2">
      <c r="B38" s="4" t="s">
        <v>99</v>
      </c>
      <c r="C38" s="5"/>
      <c r="D38" s="5"/>
      <c r="E38" s="5"/>
      <c r="F38" s="5"/>
      <c r="G38" s="5"/>
      <c r="H38" s="5"/>
      <c r="I38" s="5"/>
      <c r="J38" s="5">
        <f>775+4232</f>
        <v>5007</v>
      </c>
      <c r="K38" s="5">
        <f>804+4018</f>
        <v>4822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2:22" s="4" customFormat="1" x14ac:dyDescent="0.2">
      <c r="B39" s="4" t="s">
        <v>100</v>
      </c>
      <c r="C39" s="5"/>
      <c r="D39" s="5"/>
      <c r="E39" s="5"/>
      <c r="F39" s="5"/>
      <c r="G39" s="5"/>
      <c r="H39" s="5"/>
      <c r="I39" s="5"/>
      <c r="J39" s="5">
        <f>311+352</f>
        <v>663</v>
      </c>
      <c r="K39" s="5">
        <f>334+247</f>
        <v>581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2:22" s="4" customFormat="1" x14ac:dyDescent="0.2">
      <c r="B40" s="4" t="s">
        <v>101</v>
      </c>
      <c r="C40" s="5"/>
      <c r="D40" s="5"/>
      <c r="E40" s="5"/>
      <c r="F40" s="5"/>
      <c r="G40" s="5"/>
      <c r="H40" s="5"/>
      <c r="I40" s="5"/>
      <c r="J40" s="5">
        <v>6143</v>
      </c>
      <c r="K40" s="5">
        <v>6419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2:22" s="4" customFormat="1" x14ac:dyDescent="0.2">
      <c r="B41" s="4" t="s">
        <v>18</v>
      </c>
      <c r="C41" s="5"/>
      <c r="D41" s="5"/>
      <c r="E41" s="5"/>
      <c r="F41" s="5"/>
      <c r="G41" s="5"/>
      <c r="H41" s="5"/>
      <c r="I41" s="5"/>
      <c r="J41" s="5">
        <v>10410</v>
      </c>
      <c r="K41" s="5">
        <v>19476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2:22" s="4" customFormat="1" x14ac:dyDescent="0.2">
      <c r="B42" s="4" t="s">
        <v>102</v>
      </c>
      <c r="C42" s="5"/>
      <c r="D42" s="5"/>
      <c r="E42" s="5"/>
      <c r="F42" s="5"/>
      <c r="G42" s="5"/>
      <c r="H42" s="5"/>
      <c r="I42" s="5"/>
      <c r="J42" s="5">
        <v>65265</v>
      </c>
      <c r="K42" s="5">
        <v>55389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2:22" s="4" customFormat="1" x14ac:dyDescent="0.2">
      <c r="B43" s="4" t="s">
        <v>103</v>
      </c>
      <c r="C43" s="5"/>
      <c r="D43" s="5"/>
      <c r="E43" s="5"/>
      <c r="F43" s="5"/>
      <c r="G43" s="5"/>
      <c r="H43" s="5"/>
      <c r="I43" s="5"/>
      <c r="J43" s="5">
        <f>SUM(J35:J42)</f>
        <v>93729</v>
      </c>
      <c r="K43" s="5">
        <f>SUM(K35:K42)</f>
        <v>93525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2:22" s="4" customFormat="1" x14ac:dyDescent="0.2">
      <c r="B44" s="4" t="s">
        <v>104</v>
      </c>
      <c r="C44" s="5"/>
      <c r="D44" s="5"/>
      <c r="E44" s="5"/>
      <c r="F44" s="5"/>
      <c r="G44" s="5"/>
      <c r="H44" s="5"/>
      <c r="I44" s="5"/>
      <c r="J44" s="5">
        <v>52</v>
      </c>
      <c r="K44" s="5">
        <v>53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2:22" s="4" customFormat="1" x14ac:dyDescent="0.2">
      <c r="B45" s="4" t="s">
        <v>105</v>
      </c>
      <c r="C45" s="5"/>
      <c r="D45" s="5"/>
      <c r="E45" s="5"/>
      <c r="F45" s="5"/>
      <c r="G45" s="5"/>
      <c r="H45" s="5"/>
      <c r="I45" s="5"/>
      <c r="J45" s="5">
        <v>374794</v>
      </c>
      <c r="K45" s="5">
        <v>380860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2:22" s="4" customFormat="1" x14ac:dyDescent="0.2">
      <c r="B46" s="4" t="s">
        <v>23</v>
      </c>
      <c r="C46" s="5"/>
      <c r="D46" s="5"/>
      <c r="E46" s="5"/>
      <c r="F46" s="5"/>
      <c r="G46" s="5"/>
      <c r="H46" s="5"/>
      <c r="I46" s="5"/>
      <c r="J46" s="5">
        <v>309581</v>
      </c>
      <c r="K46" s="5">
        <v>325524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2:22" s="4" customFormat="1" x14ac:dyDescent="0.2">
      <c r="B47" s="4" t="s">
        <v>106</v>
      </c>
      <c r="C47" s="5"/>
      <c r="D47" s="5"/>
      <c r="E47" s="5"/>
      <c r="F47" s="5"/>
      <c r="G47" s="5"/>
      <c r="H47" s="5"/>
      <c r="I47" s="5"/>
      <c r="J47" s="5">
        <f>J45-J46+J44</f>
        <v>65265</v>
      </c>
      <c r="K47" s="5">
        <f>K45-K46+K44</f>
        <v>55389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9" spans="2:22" s="4" customFormat="1" x14ac:dyDescent="0.2">
      <c r="B49" s="4" t="s">
        <v>107</v>
      </c>
      <c r="C49" s="5"/>
      <c r="D49" s="5"/>
      <c r="E49" s="5"/>
      <c r="F49" s="5"/>
      <c r="G49" s="5"/>
      <c r="H49" s="5"/>
      <c r="I49" s="5"/>
      <c r="J49" s="5"/>
      <c r="K49" s="5">
        <v>-15943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2:22" s="4" customFormat="1" x14ac:dyDescent="0.2">
      <c r="B50" s="4" t="s">
        <v>108</v>
      </c>
      <c r="C50" s="5"/>
      <c r="D50" s="5"/>
      <c r="E50" s="5"/>
      <c r="F50" s="5"/>
      <c r="G50" s="5"/>
      <c r="H50" s="5"/>
      <c r="I50" s="5"/>
      <c r="J50" s="5"/>
      <c r="K50" s="5">
        <v>4185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2:22" s="4" customFormat="1" x14ac:dyDescent="0.2">
      <c r="B51" s="4" t="s">
        <v>109</v>
      </c>
      <c r="C51" s="5"/>
      <c r="D51" s="5"/>
      <c r="E51" s="5"/>
      <c r="F51" s="5"/>
      <c r="G51" s="5"/>
      <c r="H51" s="5"/>
      <c r="I51" s="5"/>
      <c r="J51" s="5"/>
      <c r="K51" s="5">
        <v>947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2:22" s="4" customFormat="1" x14ac:dyDescent="0.2">
      <c r="B52" s="4" t="s">
        <v>90</v>
      </c>
      <c r="C52" s="5"/>
      <c r="D52" s="5"/>
      <c r="E52" s="5"/>
      <c r="F52" s="5"/>
      <c r="G52" s="5"/>
      <c r="H52" s="5"/>
      <c r="I52" s="5"/>
      <c r="J52" s="5"/>
      <c r="K52" s="5">
        <v>70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2:22" s="4" customFormat="1" x14ac:dyDescent="0.2">
      <c r="B53" s="4" t="s">
        <v>110</v>
      </c>
      <c r="C53" s="5"/>
      <c r="D53" s="5"/>
      <c r="E53" s="5"/>
      <c r="F53" s="5"/>
      <c r="G53" s="5"/>
      <c r="H53" s="5"/>
      <c r="I53" s="5"/>
      <c r="J53" s="5"/>
      <c r="K53" s="5">
        <v>997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2:22" s="4" customFormat="1" x14ac:dyDescent="0.2">
      <c r="B54" s="4" t="s">
        <v>111</v>
      </c>
      <c r="C54" s="5"/>
      <c r="D54" s="5"/>
      <c r="E54" s="5"/>
      <c r="F54" s="5"/>
      <c r="G54" s="5"/>
      <c r="H54" s="5"/>
      <c r="I54" s="5"/>
      <c r="J54" s="5"/>
      <c r="K54" s="5">
        <v>-6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2:22" s="4" customFormat="1" x14ac:dyDescent="0.2">
      <c r="B55" s="4" t="s">
        <v>88</v>
      </c>
      <c r="C55" s="5"/>
      <c r="D55" s="5"/>
      <c r="E55" s="5"/>
      <c r="F55" s="5"/>
      <c r="G55" s="5"/>
      <c r="H55" s="5"/>
      <c r="I55" s="5"/>
      <c r="J55" s="5"/>
      <c r="K55" s="5">
        <v>-297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2:22" s="4" customFormat="1" x14ac:dyDescent="0.2">
      <c r="B56" s="4" t="s">
        <v>89</v>
      </c>
      <c r="C56" s="5"/>
      <c r="D56" s="5"/>
      <c r="E56" s="5"/>
      <c r="F56" s="5"/>
      <c r="G56" s="5"/>
      <c r="H56" s="5"/>
      <c r="I56" s="5"/>
      <c r="J56" s="5"/>
      <c r="K56" s="5">
        <v>-82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2:22" s="4" customFormat="1" x14ac:dyDescent="0.2">
      <c r="B57" s="4" t="s">
        <v>112</v>
      </c>
      <c r="C57" s="5"/>
      <c r="D57" s="5"/>
      <c r="E57" s="5"/>
      <c r="F57" s="5"/>
      <c r="G57" s="5"/>
      <c r="H57" s="5"/>
      <c r="I57" s="5"/>
      <c r="J57" s="5"/>
      <c r="K57" s="5">
        <v>4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2:22" s="4" customFormat="1" x14ac:dyDescent="0.2">
      <c r="B58" s="4" t="s">
        <v>96</v>
      </c>
      <c r="C58" s="5"/>
      <c r="D58" s="5"/>
      <c r="E58" s="5"/>
      <c r="F58" s="5"/>
      <c r="G58" s="5"/>
      <c r="H58" s="5"/>
      <c r="I58" s="5"/>
      <c r="J58" s="5"/>
      <c r="K58" s="5">
        <v>458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2:22" s="4" customFormat="1" x14ac:dyDescent="0.2">
      <c r="B59" s="4" t="s">
        <v>97</v>
      </c>
      <c r="C59" s="5"/>
      <c r="D59" s="5"/>
      <c r="E59" s="5"/>
      <c r="F59" s="5"/>
      <c r="G59" s="5"/>
      <c r="H59" s="5"/>
      <c r="I59" s="5"/>
      <c r="J59" s="5"/>
      <c r="K59" s="5">
        <v>-2368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2:22" s="4" customFormat="1" x14ac:dyDescent="0.2">
      <c r="B60" s="4" t="s">
        <v>113</v>
      </c>
      <c r="C60" s="5"/>
      <c r="D60" s="5"/>
      <c r="E60" s="5"/>
      <c r="F60" s="5"/>
      <c r="G60" s="5"/>
      <c r="H60" s="5"/>
      <c r="I60" s="5"/>
      <c r="J60" s="5"/>
      <c r="K60" s="5">
        <v>2438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2:22" s="4" customFormat="1" x14ac:dyDescent="0.2">
      <c r="B61" s="4" t="s">
        <v>114</v>
      </c>
      <c r="C61" s="5"/>
      <c r="D61" s="5"/>
      <c r="E61" s="5"/>
      <c r="F61" s="5"/>
      <c r="G61" s="5"/>
      <c r="H61" s="5"/>
      <c r="I61" s="5"/>
      <c r="J61" s="5"/>
      <c r="K61" s="5">
        <v>-185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2:22" s="4" customFormat="1" x14ac:dyDescent="0.2">
      <c r="B62" s="4" t="s">
        <v>115</v>
      </c>
      <c r="C62" s="5"/>
      <c r="D62" s="5"/>
      <c r="E62" s="5"/>
      <c r="F62" s="5"/>
      <c r="G62" s="5"/>
      <c r="H62" s="5"/>
      <c r="I62" s="5"/>
      <c r="J62" s="5"/>
      <c r="K62" s="5">
        <f>SUM(K49:K61)</f>
        <v>-9782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</sheetData>
  <hyperlinks>
    <hyperlink ref="A1" location="Main!A1" display="Main" xr:uid="{77F08E7E-EE40-44AB-B9E9-C8C5B5397DEC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8F753-A828-4386-99A2-613746CE4CCE}">
  <dimension ref="A1:C29"/>
  <sheetViews>
    <sheetView tabSelected="1" workbookViewId="0">
      <selection activeCell="C12" sqref="C12"/>
    </sheetView>
  </sheetViews>
  <sheetFormatPr defaultRowHeight="12.75" x14ac:dyDescent="0.2"/>
  <cols>
    <col min="1" max="1" width="5" style="11" bestFit="1" customWidth="1"/>
    <col min="2" max="2" width="12" style="11" bestFit="1" customWidth="1"/>
    <col min="3" max="3" width="9.5703125" style="11" bestFit="1" customWidth="1"/>
    <col min="4" max="16384" width="9.140625" style="11"/>
  </cols>
  <sheetData>
    <row r="1" spans="1:3" x14ac:dyDescent="0.2">
      <c r="A1" s="3" t="s">
        <v>63</v>
      </c>
    </row>
    <row r="2" spans="1:3" x14ac:dyDescent="0.2">
      <c r="B2" s="11" t="s">
        <v>0</v>
      </c>
      <c r="C2" s="11" t="s">
        <v>116</v>
      </c>
    </row>
    <row r="3" spans="1:3" x14ac:dyDescent="0.2">
      <c r="B3" s="11" t="s">
        <v>1</v>
      </c>
      <c r="C3" s="11" t="s">
        <v>8</v>
      </c>
    </row>
    <row r="4" spans="1:3" x14ac:dyDescent="0.2">
      <c r="B4" s="11" t="s">
        <v>3</v>
      </c>
      <c r="C4" s="11" t="s">
        <v>117</v>
      </c>
    </row>
    <row r="5" spans="1:3" x14ac:dyDescent="0.2">
      <c r="B5" s="11" t="s">
        <v>118</v>
      </c>
      <c r="C5" s="11" t="s">
        <v>119</v>
      </c>
    </row>
    <row r="6" spans="1:3" x14ac:dyDescent="0.2">
      <c r="B6" s="11" t="s">
        <v>4</v>
      </c>
      <c r="C6" s="11" t="s">
        <v>10</v>
      </c>
    </row>
    <row r="7" spans="1:3" x14ac:dyDescent="0.2">
      <c r="B7" s="11" t="s">
        <v>5</v>
      </c>
      <c r="C7" s="11" t="s">
        <v>120</v>
      </c>
    </row>
    <row r="8" spans="1:3" x14ac:dyDescent="0.2">
      <c r="C8" s="11" t="s">
        <v>121</v>
      </c>
    </row>
    <row r="9" spans="1:3" x14ac:dyDescent="0.2">
      <c r="C9" s="11" t="s">
        <v>122</v>
      </c>
    </row>
    <row r="10" spans="1:3" x14ac:dyDescent="0.2">
      <c r="C10" s="30" t="s">
        <v>152</v>
      </c>
    </row>
    <row r="11" spans="1:3" x14ac:dyDescent="0.2">
      <c r="C11" s="31" t="s">
        <v>153</v>
      </c>
    </row>
    <row r="12" spans="1:3" x14ac:dyDescent="0.2">
      <c r="C12" s="11" t="s">
        <v>123</v>
      </c>
    </row>
    <row r="13" spans="1:3" x14ac:dyDescent="0.2">
      <c r="C13" s="31" t="s">
        <v>151</v>
      </c>
    </row>
    <row r="15" spans="1:3" x14ac:dyDescent="0.2">
      <c r="C15" s="11" t="s">
        <v>124</v>
      </c>
    </row>
    <row r="16" spans="1:3" x14ac:dyDescent="0.2">
      <c r="C16" s="11" t="s">
        <v>125</v>
      </c>
    </row>
    <row r="17" spans="2:3" x14ac:dyDescent="0.2">
      <c r="C17" s="11" t="s">
        <v>126</v>
      </c>
    </row>
    <row r="18" spans="2:3" x14ac:dyDescent="0.2">
      <c r="C18" s="11" t="s">
        <v>127</v>
      </c>
    </row>
    <row r="19" spans="2:3" x14ac:dyDescent="0.2">
      <c r="C19" s="11" t="s">
        <v>128</v>
      </c>
    </row>
    <row r="20" spans="2:3" x14ac:dyDescent="0.2">
      <c r="C20" s="11" t="s">
        <v>129</v>
      </c>
    </row>
    <row r="22" spans="2:3" x14ac:dyDescent="0.2">
      <c r="C22" s="30" t="s">
        <v>150</v>
      </c>
    </row>
    <row r="23" spans="2:3" x14ac:dyDescent="0.2">
      <c r="C23" s="30"/>
    </row>
    <row r="24" spans="2:3" x14ac:dyDescent="0.2">
      <c r="C24" s="21" t="s">
        <v>130</v>
      </c>
    </row>
    <row r="25" spans="2:3" x14ac:dyDescent="0.2">
      <c r="C25" s="11" t="s">
        <v>131</v>
      </c>
    </row>
    <row r="27" spans="2:3" x14ac:dyDescent="0.2">
      <c r="B27" s="11" t="s">
        <v>132</v>
      </c>
    </row>
    <row r="28" spans="2:3" x14ac:dyDescent="0.2">
      <c r="C28" s="21" t="s">
        <v>133</v>
      </c>
    </row>
    <row r="29" spans="2:3" x14ac:dyDescent="0.2">
      <c r="C29" s="11" t="s">
        <v>134</v>
      </c>
    </row>
  </sheetData>
  <hyperlinks>
    <hyperlink ref="A1" location="Main!A1" display="Main" xr:uid="{F7FB5C6B-5E16-4B3B-91E0-D96629ADD19D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4A62E-B743-4154-BA82-EBF377FEE93B}">
  <dimension ref="A1:C6"/>
  <sheetViews>
    <sheetView workbookViewId="0"/>
  </sheetViews>
  <sheetFormatPr defaultRowHeight="12.75" x14ac:dyDescent="0.2"/>
  <cols>
    <col min="1" max="1" width="5" style="22" bestFit="1" customWidth="1"/>
    <col min="2" max="2" width="10.28515625" style="22" bestFit="1" customWidth="1"/>
    <col min="3" max="16384" width="9.140625" style="22"/>
  </cols>
  <sheetData>
    <row r="1" spans="1:3" x14ac:dyDescent="0.2">
      <c r="A1" s="3" t="s">
        <v>63</v>
      </c>
    </row>
    <row r="2" spans="1:3" x14ac:dyDescent="0.2">
      <c r="B2" s="22" t="s">
        <v>0</v>
      </c>
      <c r="C2" s="22" t="s">
        <v>13</v>
      </c>
    </row>
    <row r="3" spans="1:3" x14ac:dyDescent="0.2">
      <c r="B3" s="22" t="s">
        <v>1</v>
      </c>
      <c r="C3" s="22" t="s">
        <v>8</v>
      </c>
    </row>
    <row r="4" spans="1:3" x14ac:dyDescent="0.2">
      <c r="B4" s="22" t="s">
        <v>4</v>
      </c>
      <c r="C4" s="22" t="s">
        <v>135</v>
      </c>
    </row>
    <row r="5" spans="1:3" x14ac:dyDescent="0.2">
      <c r="B5" s="22" t="s">
        <v>3</v>
      </c>
      <c r="C5" s="22" t="s">
        <v>136</v>
      </c>
    </row>
    <row r="6" spans="1:3" x14ac:dyDescent="0.2">
      <c r="B6" s="22" t="s">
        <v>5</v>
      </c>
      <c r="C6" s="22" t="s">
        <v>137</v>
      </c>
    </row>
  </sheetData>
  <hyperlinks>
    <hyperlink ref="A1" location="Main!A1" display="Main" xr:uid="{0BF5735C-763B-4B9B-9A58-43BD602E6621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Yutrepia</vt:lpstr>
      <vt:lpstr>Generic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Chaves</dc:creator>
  <cp:keywords/>
  <dc:description/>
  <cp:lastModifiedBy>Sebastian Chaves</cp:lastModifiedBy>
  <cp:revision/>
  <dcterms:created xsi:type="dcterms:W3CDTF">2022-06-06T14:46:18Z</dcterms:created>
  <dcterms:modified xsi:type="dcterms:W3CDTF">2022-07-19T16:59:30Z</dcterms:modified>
  <cp:category/>
  <cp:contentStatus/>
</cp:coreProperties>
</file>