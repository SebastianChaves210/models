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bastianchaves/Downloads/_Top Models/Healthcare/"/>
    </mc:Choice>
  </mc:AlternateContent>
  <xr:revisionPtr revIDLastSave="0" documentId="13_ncr:1_{EC968596-C0FA-4AE2-81E5-35ED7935D345}" xr6:coauthVersionLast="47" xr6:coauthVersionMax="47" xr10:uidLastSave="{00000000-0000-0000-0000-000000000000}"/>
  <bookViews>
    <workbookView xWindow="16150" yWindow="1920" windowWidth="21870" windowHeight="14480" xr2:uid="{79B0AABE-526A-4476-AFB2-442F9E053778}"/>
  </bookViews>
  <sheets>
    <sheet name="Main" sheetId="1" r:id="rId1"/>
    <sheet name="Model" sheetId="2" r:id="rId2"/>
    <sheet name="Epidiolex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5" i="2" l="1"/>
  <c r="W38" i="2"/>
  <c r="W49" i="2"/>
  <c r="W54" i="2"/>
  <c r="W53" i="2"/>
  <c r="W58" i="2" s="1"/>
  <c r="X23" i="2"/>
  <c r="Y23" i="2" s="1"/>
  <c r="Z23" i="2" s="1"/>
  <c r="Z19" i="2"/>
  <c r="X19" i="2"/>
  <c r="Z12" i="2"/>
  <c r="X12" i="2"/>
  <c r="Z8" i="2"/>
  <c r="X8" i="2"/>
  <c r="AK11" i="2"/>
  <c r="X9" i="2"/>
  <c r="Y9" i="2" s="1"/>
  <c r="Z9" i="2" s="1"/>
  <c r="Z4" i="2"/>
  <c r="X4" i="2"/>
  <c r="X3" i="2"/>
  <c r="Z5" i="2"/>
  <c r="X5" i="2"/>
  <c r="AK10" i="2"/>
  <c r="AK7" i="2"/>
  <c r="Z21" i="2" l="1"/>
  <c r="X21" i="2"/>
  <c r="X28" i="2"/>
  <c r="Y28" i="2" s="1"/>
  <c r="Z28" i="2" s="1"/>
  <c r="Z14" i="2"/>
  <c r="X14" i="2"/>
  <c r="Z13" i="2"/>
  <c r="X13" i="2"/>
  <c r="Z6" i="2"/>
  <c r="X6" i="2"/>
  <c r="Y3" i="2"/>
  <c r="X34" i="2"/>
  <c r="AJ10" i="2"/>
  <c r="AJ9" i="2"/>
  <c r="AJ7" i="2"/>
  <c r="W34" i="2"/>
  <c r="V15" i="2"/>
  <c r="Z15" i="2" s="1"/>
  <c r="W21" i="2"/>
  <c r="W15" i="2"/>
  <c r="W16" i="2" s="1"/>
  <c r="K6" i="1"/>
  <c r="K5" i="1"/>
  <c r="AC30" i="2"/>
  <c r="AF21" i="2"/>
  <c r="AE21" i="2"/>
  <c r="AD21" i="2"/>
  <c r="AF15" i="2"/>
  <c r="AF16" i="2" s="1"/>
  <c r="AF18" i="2" s="1"/>
  <c r="AE15" i="2"/>
  <c r="AE16" i="2" s="1"/>
  <c r="AE18" i="2" s="1"/>
  <c r="AD15" i="2"/>
  <c r="AD16" i="2" s="1"/>
  <c r="AD18" i="2" s="1"/>
  <c r="AI3" i="2"/>
  <c r="U23" i="2"/>
  <c r="AJ23" i="2" s="1"/>
  <c r="U20" i="2"/>
  <c r="AJ20" i="2" s="1"/>
  <c r="U19" i="2"/>
  <c r="Y19" i="2" s="1"/>
  <c r="Y21" i="2" s="1"/>
  <c r="U28" i="2"/>
  <c r="AJ28" i="2" s="1"/>
  <c r="U14" i="2"/>
  <c r="AJ14" i="2" s="1"/>
  <c r="U13" i="2"/>
  <c r="AJ13" i="2" s="1"/>
  <c r="U12" i="2"/>
  <c r="U8" i="2"/>
  <c r="U6" i="2"/>
  <c r="AJ6" i="2" s="1"/>
  <c r="U5" i="2"/>
  <c r="Y5" i="2" s="1"/>
  <c r="AK5" i="2" s="1"/>
  <c r="U3" i="2"/>
  <c r="AJ3" i="2" s="1"/>
  <c r="U4" i="2"/>
  <c r="Y4" i="2" s="1"/>
  <c r="AK4" i="2" s="1"/>
  <c r="AL4" i="2" s="1"/>
  <c r="AM4" i="2" s="1"/>
  <c r="AN4" i="2" s="1"/>
  <c r="AO4" i="2" s="1"/>
  <c r="AP4" i="2" s="1"/>
  <c r="AQ4" i="2" s="1"/>
  <c r="AR4" i="2" s="1"/>
  <c r="Q15" i="2"/>
  <c r="U15" i="2" s="1"/>
  <c r="Y15" i="2" s="1"/>
  <c r="R15" i="2"/>
  <c r="S21" i="2"/>
  <c r="S15" i="2"/>
  <c r="S16" i="2" s="1"/>
  <c r="P15" i="2"/>
  <c r="T34" i="2"/>
  <c r="S34" i="2"/>
  <c r="T15" i="2"/>
  <c r="T21" i="2"/>
  <c r="AG28" i="2"/>
  <c r="AG25" i="2"/>
  <c r="AG23" i="2"/>
  <c r="AG20" i="2"/>
  <c r="AG19" i="2"/>
  <c r="AG17" i="2"/>
  <c r="AG14" i="2"/>
  <c r="AG13" i="2"/>
  <c r="AG12" i="2"/>
  <c r="AG8" i="2"/>
  <c r="AG7" i="2"/>
  <c r="AG6" i="2"/>
  <c r="AG5" i="2"/>
  <c r="AG4" i="2"/>
  <c r="AG3" i="2"/>
  <c r="AH28" i="2"/>
  <c r="AH25" i="2"/>
  <c r="AH23" i="2"/>
  <c r="AH20" i="2"/>
  <c r="AH19" i="2"/>
  <c r="AH21" i="2" s="1"/>
  <c r="AH17" i="2"/>
  <c r="AH14" i="2"/>
  <c r="AH13" i="2"/>
  <c r="AH12" i="2"/>
  <c r="AH8" i="2"/>
  <c r="AH6" i="2"/>
  <c r="AH5" i="2"/>
  <c r="AH4" i="2"/>
  <c r="AH3" i="2"/>
  <c r="N15" i="2"/>
  <c r="M34" i="2"/>
  <c r="L34" i="2"/>
  <c r="K34" i="2"/>
  <c r="J34" i="2"/>
  <c r="O34" i="2"/>
  <c r="N34" i="2"/>
  <c r="O15" i="2"/>
  <c r="N7" i="2"/>
  <c r="F21" i="2"/>
  <c r="F15" i="2"/>
  <c r="F16" i="2" s="1"/>
  <c r="F18" i="2" s="1"/>
  <c r="F32" i="2" s="1"/>
  <c r="J15" i="2"/>
  <c r="J16" i="2" s="1"/>
  <c r="J18" i="2" s="1"/>
  <c r="J32" i="2" s="1"/>
  <c r="AG2" i="2"/>
  <c r="AH2" i="2" s="1"/>
  <c r="AI2" i="2" s="1"/>
  <c r="AJ2" i="2" s="1"/>
  <c r="AK2" i="2" s="1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G21" i="2"/>
  <c r="G15" i="2"/>
  <c r="G16" i="2" s="1"/>
  <c r="G18" i="2" s="1"/>
  <c r="K15" i="2"/>
  <c r="K16" i="2" s="1"/>
  <c r="K18" i="2" s="1"/>
  <c r="K32" i="2" s="1"/>
  <c r="H21" i="2"/>
  <c r="L15" i="2"/>
  <c r="L16" i="2" s="1"/>
  <c r="L18" i="2" s="1"/>
  <c r="L32" i="2" s="1"/>
  <c r="H15" i="2"/>
  <c r="H16" i="2" s="1"/>
  <c r="H18" i="2" s="1"/>
  <c r="H32" i="2" s="1"/>
  <c r="M21" i="2"/>
  <c r="L21" i="2"/>
  <c r="K21" i="2"/>
  <c r="J21" i="2"/>
  <c r="I21" i="2"/>
  <c r="I15" i="2"/>
  <c r="I16" i="2" s="1"/>
  <c r="I18" i="2" s="1"/>
  <c r="I32" i="2" s="1"/>
  <c r="M15" i="2"/>
  <c r="M16" i="2" s="1"/>
  <c r="M18" i="2" s="1"/>
  <c r="M32" i="2" s="1"/>
  <c r="K4" i="1"/>
  <c r="K30" i="2" l="1"/>
  <c r="J30" i="2"/>
  <c r="W37" i="2"/>
  <c r="AJ19" i="2"/>
  <c r="AJ21" i="2" s="1"/>
  <c r="Y8" i="2"/>
  <c r="AK8" i="2" s="1"/>
  <c r="AL8" i="2" s="1"/>
  <c r="AM8" i="2" s="1"/>
  <c r="AN8" i="2" s="1"/>
  <c r="AO8" i="2" s="1"/>
  <c r="AP8" i="2" s="1"/>
  <c r="AQ8" i="2" s="1"/>
  <c r="AR8" i="2" s="1"/>
  <c r="AS8" i="2" s="1"/>
  <c r="AT8" i="2" s="1"/>
  <c r="AU8" i="2" s="1"/>
  <c r="AJ8" i="2"/>
  <c r="AJ12" i="2"/>
  <c r="Y12" i="2"/>
  <c r="AK12" i="2" s="1"/>
  <c r="AL12" i="2" s="1"/>
  <c r="AM12" i="2" s="1"/>
  <c r="AN12" i="2" s="1"/>
  <c r="AO12" i="2" s="1"/>
  <c r="AP12" i="2" s="1"/>
  <c r="AQ12" i="2" s="1"/>
  <c r="AR12" i="2" s="1"/>
  <c r="AS12" i="2" s="1"/>
  <c r="AT12" i="2" s="1"/>
  <c r="AU12" i="2" s="1"/>
  <c r="Z3" i="2"/>
  <c r="Z34" i="2" s="1"/>
  <c r="W30" i="2"/>
  <c r="W18" i="2"/>
  <c r="W22" i="2" s="1"/>
  <c r="W24" i="2" s="1"/>
  <c r="W26" i="2" s="1"/>
  <c r="W27" i="2" s="1"/>
  <c r="Y6" i="2"/>
  <c r="AK6" i="2" s="1"/>
  <c r="Y34" i="2"/>
  <c r="AJ5" i="2"/>
  <c r="Y14" i="2"/>
  <c r="M30" i="2"/>
  <c r="Y13" i="2"/>
  <c r="AK13" i="2" s="1"/>
  <c r="AJ4" i="2"/>
  <c r="AK14" i="2"/>
  <c r="L30" i="2"/>
  <c r="T16" i="2"/>
  <c r="X15" i="2"/>
  <c r="AK15" i="2" s="1"/>
  <c r="AJ15" i="2"/>
  <c r="AK9" i="2"/>
  <c r="AL9" i="2" s="1"/>
  <c r="AM9" i="2" s="1"/>
  <c r="AN9" i="2" s="1"/>
  <c r="AO9" i="2" s="1"/>
  <c r="AP9" i="2" s="1"/>
  <c r="AQ9" i="2" s="1"/>
  <c r="AR9" i="2" s="1"/>
  <c r="AS9" i="2" s="1"/>
  <c r="AT9" i="2" s="1"/>
  <c r="AU9" i="2" s="1"/>
  <c r="X16" i="2"/>
  <c r="AD22" i="2"/>
  <c r="AD24" i="2" s="1"/>
  <c r="AD26" i="2" s="1"/>
  <c r="AD27" i="2" s="1"/>
  <c r="AG21" i="2"/>
  <c r="AD30" i="2"/>
  <c r="AE30" i="2"/>
  <c r="AF30" i="2"/>
  <c r="AF32" i="2"/>
  <c r="AF22" i="2"/>
  <c r="AF24" i="2" s="1"/>
  <c r="AF26" i="2" s="1"/>
  <c r="AF27" i="2" s="1"/>
  <c r="AE22" i="2"/>
  <c r="AE24" i="2" s="1"/>
  <c r="AE26" i="2" s="1"/>
  <c r="AE27" i="2" s="1"/>
  <c r="AE32" i="2"/>
  <c r="V21" i="2"/>
  <c r="U34" i="2"/>
  <c r="G22" i="2"/>
  <c r="G24" i="2" s="1"/>
  <c r="G26" i="2" s="1"/>
  <c r="G27" i="2" s="1"/>
  <c r="G32" i="2"/>
  <c r="S18" i="2"/>
  <c r="S22" i="2" s="1"/>
  <c r="S24" i="2" s="1"/>
  <c r="S26" i="2" s="1"/>
  <c r="S27" i="2" s="1"/>
  <c r="U21" i="2"/>
  <c r="U16" i="2"/>
  <c r="AH34" i="2"/>
  <c r="P34" i="2"/>
  <c r="Q34" i="2"/>
  <c r="AG15" i="2"/>
  <c r="AG16" i="2" s="1"/>
  <c r="AH7" i="2"/>
  <c r="AH15" i="2"/>
  <c r="AI4" i="2"/>
  <c r="K7" i="1"/>
  <c r="R34" i="2"/>
  <c r="AI5" i="2"/>
  <c r="AI12" i="2"/>
  <c r="AI28" i="2"/>
  <c r="AI23" i="2"/>
  <c r="AI7" i="2"/>
  <c r="AL7" i="2" s="1"/>
  <c r="AM7" i="2" s="1"/>
  <c r="AN7" i="2" s="1"/>
  <c r="AO7" i="2" s="1"/>
  <c r="AP7" i="2" s="1"/>
  <c r="AQ7" i="2" s="1"/>
  <c r="AR7" i="2" s="1"/>
  <c r="AS7" i="2" s="1"/>
  <c r="AT7" i="2" s="1"/>
  <c r="AU7" i="2" s="1"/>
  <c r="F22" i="2"/>
  <c r="F24" i="2" s="1"/>
  <c r="F26" i="2" s="1"/>
  <c r="F27" i="2" s="1"/>
  <c r="H22" i="2"/>
  <c r="H24" i="2" s="1"/>
  <c r="H26" i="2" s="1"/>
  <c r="H27" i="2" s="1"/>
  <c r="I22" i="2"/>
  <c r="I24" i="2" s="1"/>
  <c r="I26" i="2" s="1"/>
  <c r="I27" i="2" s="1"/>
  <c r="J22" i="2"/>
  <c r="J24" i="2" s="1"/>
  <c r="J26" i="2" s="1"/>
  <c r="J27" i="2" s="1"/>
  <c r="K22" i="2"/>
  <c r="K24" i="2" s="1"/>
  <c r="K26" i="2" s="1"/>
  <c r="K27" i="2" s="1"/>
  <c r="L22" i="2"/>
  <c r="L24" i="2" s="1"/>
  <c r="L26" i="2" s="1"/>
  <c r="L27" i="2" s="1"/>
  <c r="M22" i="2"/>
  <c r="M24" i="2" s="1"/>
  <c r="M26" i="2" s="1"/>
  <c r="M27" i="2" s="1"/>
  <c r="W32" i="2" l="1"/>
  <c r="Y16" i="2"/>
  <c r="Y30" i="2" s="1"/>
  <c r="Z16" i="2"/>
  <c r="Z18" i="2" s="1"/>
  <c r="Z22" i="2" s="1"/>
  <c r="Z24" i="2" s="1"/>
  <c r="AJ16" i="2"/>
  <c r="AK3" i="2"/>
  <c r="AJ34" i="2"/>
  <c r="T18" i="2"/>
  <c r="X18" i="2"/>
  <c r="X22" i="2" s="1"/>
  <c r="X24" i="2" s="1"/>
  <c r="X30" i="2"/>
  <c r="AS4" i="2"/>
  <c r="AT4" i="2" s="1"/>
  <c r="AU4" i="2" s="1"/>
  <c r="AG18" i="2"/>
  <c r="AG22" i="2" s="1"/>
  <c r="AG24" i="2" s="1"/>
  <c r="AG26" i="2" s="1"/>
  <c r="AG27" i="2" s="1"/>
  <c r="AG30" i="2"/>
  <c r="AL5" i="2"/>
  <c r="AM5" i="2" s="1"/>
  <c r="AN5" i="2" s="1"/>
  <c r="AO5" i="2" s="1"/>
  <c r="AP5" i="2" s="1"/>
  <c r="AQ5" i="2" s="1"/>
  <c r="AR5" i="2" s="1"/>
  <c r="AS5" i="2" s="1"/>
  <c r="AT5" i="2" s="1"/>
  <c r="AU5" i="2" s="1"/>
  <c r="V16" i="2"/>
  <c r="AK28" i="2"/>
  <c r="AL28" i="2" s="1"/>
  <c r="AM28" i="2" s="1"/>
  <c r="AN28" i="2" s="1"/>
  <c r="AO28" i="2" s="1"/>
  <c r="AP28" i="2" s="1"/>
  <c r="V34" i="2"/>
  <c r="S32" i="2"/>
  <c r="U18" i="2"/>
  <c r="U32" i="2" s="1"/>
  <c r="AI6" i="2"/>
  <c r="AL6" i="2" s="1"/>
  <c r="AM6" i="2" s="1"/>
  <c r="AN6" i="2" s="1"/>
  <c r="AO6" i="2" s="1"/>
  <c r="AP6" i="2" s="1"/>
  <c r="AQ6" i="2" s="1"/>
  <c r="AR6" i="2" s="1"/>
  <c r="AS6" i="2" s="1"/>
  <c r="AT6" i="2" s="1"/>
  <c r="AU6" i="2" s="1"/>
  <c r="AH16" i="2"/>
  <c r="AI34" i="2"/>
  <c r="O16" i="2"/>
  <c r="N16" i="2"/>
  <c r="N30" i="2" s="1"/>
  <c r="P16" i="2"/>
  <c r="P30" i="2" s="1"/>
  <c r="AI8" i="2"/>
  <c r="Y18" i="2" l="1"/>
  <c r="Y22" i="2" s="1"/>
  <c r="Y24" i="2" s="1"/>
  <c r="Y25" i="2" s="1"/>
  <c r="Y26" i="2" s="1"/>
  <c r="Y27" i="2" s="1"/>
  <c r="AQ28" i="2"/>
  <c r="AR28" i="2" s="1"/>
  <c r="AS28" i="2" s="1"/>
  <c r="AT28" i="2" s="1"/>
  <c r="AU28" i="2" s="1"/>
  <c r="X25" i="2"/>
  <c r="X26" i="2" s="1"/>
  <c r="Z25" i="2"/>
  <c r="Z26" i="2" s="1"/>
  <c r="Z27" i="2" s="1"/>
  <c r="O18" i="2"/>
  <c r="O32" i="2" s="1"/>
  <c r="O30" i="2"/>
  <c r="S30" i="2"/>
  <c r="V18" i="2"/>
  <c r="V22" i="2" s="1"/>
  <c r="V24" i="2" s="1"/>
  <c r="V26" i="2" s="1"/>
  <c r="V27" i="2" s="1"/>
  <c r="Z30" i="2"/>
  <c r="T30" i="2"/>
  <c r="T32" i="2"/>
  <c r="T22" i="2"/>
  <c r="T24" i="2" s="1"/>
  <c r="T26" i="2" s="1"/>
  <c r="T27" i="2" s="1"/>
  <c r="Z17" i="2"/>
  <c r="Z32" i="2"/>
  <c r="X17" i="2"/>
  <c r="X32" i="2"/>
  <c r="AG32" i="2"/>
  <c r="AK34" i="2"/>
  <c r="AH18" i="2"/>
  <c r="AH32" i="2" s="1"/>
  <c r="AH30" i="2"/>
  <c r="U17" i="2"/>
  <c r="U22" i="2"/>
  <c r="U24" i="2" s="1"/>
  <c r="U25" i="2" s="1"/>
  <c r="AJ25" i="2" s="1"/>
  <c r="AI13" i="2"/>
  <c r="AL13" i="2" s="1"/>
  <c r="AM13" i="2" s="1"/>
  <c r="AN13" i="2" s="1"/>
  <c r="AO13" i="2" s="1"/>
  <c r="AP13" i="2" s="1"/>
  <c r="AQ13" i="2" s="1"/>
  <c r="AR13" i="2" s="1"/>
  <c r="AS13" i="2" s="1"/>
  <c r="AT13" i="2" s="1"/>
  <c r="AU13" i="2" s="1"/>
  <c r="AI14" i="2"/>
  <c r="AL14" i="2" s="1"/>
  <c r="AM14" i="2" s="1"/>
  <c r="AN14" i="2" s="1"/>
  <c r="AO14" i="2" s="1"/>
  <c r="AP14" i="2" s="1"/>
  <c r="AQ14" i="2" s="1"/>
  <c r="AR14" i="2" s="1"/>
  <c r="AS14" i="2" s="1"/>
  <c r="AT14" i="2" s="1"/>
  <c r="AU14" i="2" s="1"/>
  <c r="AL3" i="2"/>
  <c r="AL34" i="2" s="1"/>
  <c r="P21" i="2"/>
  <c r="P18" i="2"/>
  <c r="P32" i="2" s="1"/>
  <c r="N21" i="2"/>
  <c r="N18" i="2"/>
  <c r="N32" i="2" s="1"/>
  <c r="R16" i="2"/>
  <c r="R30" i="2" s="1"/>
  <c r="Y17" i="2" l="1"/>
  <c r="Y32" i="2"/>
  <c r="X27" i="2"/>
  <c r="X37" i="2"/>
  <c r="Y37" i="2" s="1"/>
  <c r="Z37" i="2" s="1"/>
  <c r="AK37" i="2" s="1"/>
  <c r="V32" i="2"/>
  <c r="V30" i="2"/>
  <c r="AJ17" i="2"/>
  <c r="AJ18" i="2" s="1"/>
  <c r="AH22" i="2"/>
  <c r="AH24" i="2" s="1"/>
  <c r="AH26" i="2" s="1"/>
  <c r="AH27" i="2" s="1"/>
  <c r="U26" i="2"/>
  <c r="U27" i="2" s="1"/>
  <c r="N22" i="2"/>
  <c r="N24" i="2" s="1"/>
  <c r="N26" i="2" s="1"/>
  <c r="R21" i="2"/>
  <c r="R18" i="2"/>
  <c r="R32" i="2" s="1"/>
  <c r="AM3" i="2"/>
  <c r="AM34" i="2" s="1"/>
  <c r="AI15" i="2"/>
  <c r="O21" i="2"/>
  <c r="O22" i="2" s="1"/>
  <c r="O24" i="2" s="1"/>
  <c r="P22" i="2"/>
  <c r="P24" i="2" s="1"/>
  <c r="P26" i="2" s="1"/>
  <c r="P27" i="2" s="1"/>
  <c r="Q16" i="2"/>
  <c r="Q30" i="2" l="1"/>
  <c r="U30" i="2"/>
  <c r="AJ32" i="2"/>
  <c r="AJ22" i="2"/>
  <c r="AJ24" i="2" s="1"/>
  <c r="AJ26" i="2" s="1"/>
  <c r="AJ27" i="2" s="1"/>
  <c r="AI16" i="2"/>
  <c r="AJ30" i="2" s="1"/>
  <c r="N27" i="2"/>
  <c r="AL15" i="2"/>
  <c r="AK16" i="2"/>
  <c r="O26" i="2"/>
  <c r="AN3" i="2"/>
  <c r="AN34" i="2" s="1"/>
  <c r="R22" i="2"/>
  <c r="R24" i="2" s="1"/>
  <c r="R26" i="2" s="1"/>
  <c r="R27" i="2" s="1"/>
  <c r="AI30" i="2" l="1"/>
  <c r="AK30" i="2"/>
  <c r="O27" i="2"/>
  <c r="Q18" i="2"/>
  <c r="Q32" i="2" s="1"/>
  <c r="AI17" i="2"/>
  <c r="AI18" i="2" s="1"/>
  <c r="AI32" i="2" s="1"/>
  <c r="AO3" i="2"/>
  <c r="AO34" i="2" s="1"/>
  <c r="Q21" i="2"/>
  <c r="AI19" i="2"/>
  <c r="AI21" i="2" s="1"/>
  <c r="AK17" i="2"/>
  <c r="AK18" i="2" s="1"/>
  <c r="AK32" i="2" s="1"/>
  <c r="AK19" i="2"/>
  <c r="AK21" i="2" s="1"/>
  <c r="AM15" i="2"/>
  <c r="AL16" i="2"/>
  <c r="AL30" i="2" l="1"/>
  <c r="Q22" i="2"/>
  <c r="Q24" i="2" s="1"/>
  <c r="AI25" i="2" s="1"/>
  <c r="AK22" i="2"/>
  <c r="AN15" i="2"/>
  <c r="AM16" i="2"/>
  <c r="AP3" i="2"/>
  <c r="AP34" i="2" s="1"/>
  <c r="AL19" i="2"/>
  <c r="AL21" i="2" s="1"/>
  <c r="AL17" i="2"/>
  <c r="AL18" i="2" s="1"/>
  <c r="AL32" i="2" s="1"/>
  <c r="AI22" i="2"/>
  <c r="AI24" i="2" s="1"/>
  <c r="AM30" i="2" l="1"/>
  <c r="Q26" i="2"/>
  <c r="Q27" i="2" s="1"/>
  <c r="AI26" i="2"/>
  <c r="AI27" i="2" s="1"/>
  <c r="AQ3" i="2"/>
  <c r="AQ34" i="2" s="1"/>
  <c r="AL22" i="2"/>
  <c r="AM17" i="2"/>
  <c r="AM18" i="2" s="1"/>
  <c r="AM32" i="2" s="1"/>
  <c r="AM19" i="2"/>
  <c r="AM21" i="2" s="1"/>
  <c r="AO15" i="2"/>
  <c r="AN16" i="2"/>
  <c r="AN30" i="2" l="1"/>
  <c r="AK23" i="2"/>
  <c r="AK24" i="2" s="1"/>
  <c r="AK25" i="2" s="1"/>
  <c r="AK26" i="2" s="1"/>
  <c r="AK27" i="2" s="1"/>
  <c r="AN19" i="2"/>
  <c r="AN21" i="2" s="1"/>
  <c r="AN17" i="2"/>
  <c r="AN18" i="2" s="1"/>
  <c r="AN32" i="2" s="1"/>
  <c r="AP15" i="2"/>
  <c r="AO16" i="2"/>
  <c r="AM22" i="2"/>
  <c r="AR3" i="2"/>
  <c r="AR34" i="2" s="1"/>
  <c r="AO30" i="2" l="1"/>
  <c r="AS3" i="2"/>
  <c r="AS34" i="2" s="1"/>
  <c r="AO19" i="2"/>
  <c r="AO21" i="2" s="1"/>
  <c r="AO17" i="2"/>
  <c r="AO18" i="2" s="1"/>
  <c r="AO32" i="2" s="1"/>
  <c r="AQ15" i="2"/>
  <c r="AP16" i="2"/>
  <c r="AN22" i="2"/>
  <c r="AP30" i="2" l="1"/>
  <c r="AL23" i="2"/>
  <c r="AL24" i="2" s="1"/>
  <c r="AL25" i="2" s="1"/>
  <c r="AL26" i="2" s="1"/>
  <c r="AP19" i="2"/>
  <c r="AP21" i="2" s="1"/>
  <c r="AP17" i="2"/>
  <c r="AP18" i="2" s="1"/>
  <c r="AP32" i="2" s="1"/>
  <c r="AR15" i="2"/>
  <c r="AQ16" i="2"/>
  <c r="AO22" i="2"/>
  <c r="AT3" i="2"/>
  <c r="AT34" i="2" s="1"/>
  <c r="AL27" i="2" l="1"/>
  <c r="AQ30" i="2"/>
  <c r="AL37" i="2"/>
  <c r="AM23" i="2" s="1"/>
  <c r="AM24" i="2" s="1"/>
  <c r="AM25" i="2" s="1"/>
  <c r="AM26" i="2" s="1"/>
  <c r="AM27" i="2" s="1"/>
  <c r="AU3" i="2"/>
  <c r="AU34" i="2" s="1"/>
  <c r="AQ19" i="2"/>
  <c r="AQ21" i="2" s="1"/>
  <c r="AQ17" i="2"/>
  <c r="AQ18" i="2" s="1"/>
  <c r="AS15" i="2"/>
  <c r="AR16" i="2"/>
  <c r="AP22" i="2"/>
  <c r="AQ32" i="2" l="1"/>
  <c r="AQ22" i="2"/>
  <c r="AR30" i="2"/>
  <c r="AM37" i="2"/>
  <c r="AN23" i="2" s="1"/>
  <c r="AN24" i="2" s="1"/>
  <c r="AN25" i="2" s="1"/>
  <c r="AN26" i="2" s="1"/>
  <c r="AR19" i="2"/>
  <c r="AR21" i="2" s="1"/>
  <c r="AR17" i="2"/>
  <c r="AR18" i="2" s="1"/>
  <c r="AR32" i="2" s="1"/>
  <c r="AT15" i="2"/>
  <c r="AS16" i="2"/>
  <c r="AN27" i="2" l="1"/>
  <c r="AS30" i="2"/>
  <c r="AN37" i="2"/>
  <c r="AS19" i="2"/>
  <c r="AS21" i="2" s="1"/>
  <c r="AS17" i="2"/>
  <c r="AS18" i="2" s="1"/>
  <c r="AS32" i="2" s="1"/>
  <c r="AU15" i="2"/>
  <c r="AU16" i="2" s="1"/>
  <c r="AT16" i="2"/>
  <c r="AR22" i="2"/>
  <c r="AU30" i="2" l="1"/>
  <c r="AT30" i="2"/>
  <c r="AO23" i="2"/>
  <c r="AO24" i="2" s="1"/>
  <c r="AO25" i="2" s="1"/>
  <c r="AO26" i="2" s="1"/>
  <c r="AT17" i="2"/>
  <c r="AT18" i="2" s="1"/>
  <c r="AT32" i="2" s="1"/>
  <c r="AT19" i="2"/>
  <c r="AT21" i="2" s="1"/>
  <c r="AU19" i="2"/>
  <c r="AU21" i="2" s="1"/>
  <c r="AU17" i="2"/>
  <c r="AU18" i="2" s="1"/>
  <c r="AU32" i="2" s="1"/>
  <c r="AS22" i="2"/>
  <c r="AT22" i="2" l="1"/>
  <c r="AO27" i="2"/>
  <c r="AO37" i="2"/>
  <c r="AU22" i="2"/>
  <c r="AP23" i="2" l="1"/>
  <c r="AP24" i="2" s="1"/>
  <c r="AP25" i="2" s="1"/>
  <c r="AP26" i="2" s="1"/>
  <c r="AP27" i="2" l="1"/>
  <c r="AP37" i="2"/>
  <c r="AQ23" i="2" s="1"/>
  <c r="AQ24" i="2" s="1"/>
  <c r="AQ25" i="2" s="1"/>
  <c r="AQ26" i="2" l="1"/>
  <c r="AQ27" i="2" s="1"/>
  <c r="AQ37" i="2" l="1"/>
  <c r="AR23" i="2" l="1"/>
  <c r="AR24" i="2" s="1"/>
  <c r="AR25" i="2" s="1"/>
  <c r="AR26" i="2" s="1"/>
  <c r="AR27" i="2" l="1"/>
  <c r="AR37" i="2"/>
  <c r="AS23" i="2" l="1"/>
  <c r="AS24" i="2" s="1"/>
  <c r="AS25" i="2" s="1"/>
  <c r="AS26" i="2" s="1"/>
  <c r="AS27" i="2" l="1"/>
  <c r="AS37" i="2"/>
  <c r="AT23" i="2" l="1"/>
  <c r="AT24" i="2" s="1"/>
  <c r="AT25" i="2" s="1"/>
  <c r="AT26" i="2" s="1"/>
  <c r="AT27" i="2" s="1"/>
  <c r="AT37" i="2" l="1"/>
  <c r="AU23" i="2" l="1"/>
  <c r="AU24" i="2" s="1"/>
  <c r="AU25" i="2" s="1"/>
  <c r="AU26" i="2" s="1"/>
  <c r="AU27" i="2" l="1"/>
  <c r="AV26" i="2"/>
  <c r="AW26" i="2" s="1"/>
  <c r="AX26" i="2" s="1"/>
  <c r="AY26" i="2" s="1"/>
  <c r="AZ26" i="2" s="1"/>
  <c r="BA26" i="2" s="1"/>
  <c r="BB26" i="2" s="1"/>
  <c r="BC26" i="2" s="1"/>
  <c r="BD26" i="2" s="1"/>
  <c r="BE26" i="2" s="1"/>
  <c r="BF26" i="2" s="1"/>
  <c r="BG26" i="2" s="1"/>
  <c r="BH26" i="2" s="1"/>
  <c r="BI26" i="2" s="1"/>
  <c r="BJ26" i="2" s="1"/>
  <c r="BK26" i="2" s="1"/>
  <c r="BL26" i="2" s="1"/>
  <c r="BM26" i="2" s="1"/>
  <c r="BN26" i="2" s="1"/>
  <c r="BO26" i="2" s="1"/>
  <c r="BP26" i="2" s="1"/>
  <c r="BQ26" i="2" s="1"/>
  <c r="BR26" i="2" s="1"/>
  <c r="BS26" i="2" s="1"/>
  <c r="BT26" i="2" s="1"/>
  <c r="BU26" i="2" s="1"/>
  <c r="BV26" i="2" s="1"/>
  <c r="BW26" i="2" s="1"/>
  <c r="BX26" i="2" s="1"/>
  <c r="BY26" i="2" s="1"/>
  <c r="BZ26" i="2" s="1"/>
  <c r="CA26" i="2" s="1"/>
  <c r="CB26" i="2" s="1"/>
  <c r="CC26" i="2" s="1"/>
  <c r="CD26" i="2" s="1"/>
  <c r="CE26" i="2" s="1"/>
  <c r="CF26" i="2" s="1"/>
  <c r="CG26" i="2" s="1"/>
  <c r="CH26" i="2" s="1"/>
  <c r="CI26" i="2" s="1"/>
  <c r="CJ26" i="2" s="1"/>
  <c r="CK26" i="2" s="1"/>
  <c r="CL26" i="2" s="1"/>
  <c r="CM26" i="2" s="1"/>
  <c r="CN26" i="2" s="1"/>
  <c r="CO26" i="2" s="1"/>
  <c r="CP26" i="2" s="1"/>
  <c r="CQ26" i="2" s="1"/>
  <c r="CR26" i="2" s="1"/>
  <c r="CS26" i="2" s="1"/>
  <c r="CT26" i="2" s="1"/>
  <c r="CU26" i="2" s="1"/>
  <c r="CV26" i="2" s="1"/>
  <c r="CW26" i="2" s="1"/>
  <c r="CX26" i="2" s="1"/>
  <c r="CY26" i="2" s="1"/>
  <c r="CZ26" i="2" s="1"/>
  <c r="DA26" i="2" s="1"/>
  <c r="DB26" i="2" s="1"/>
  <c r="DC26" i="2" s="1"/>
  <c r="DD26" i="2" s="1"/>
  <c r="DE26" i="2" s="1"/>
  <c r="DF26" i="2" s="1"/>
  <c r="AX35" i="2" s="1"/>
  <c r="AX36" i="2" s="1"/>
  <c r="AU37" i="2"/>
</calcChain>
</file>

<file path=xl/sharedStrings.xml><?xml version="1.0" encoding="utf-8"?>
<sst xmlns="http://schemas.openxmlformats.org/spreadsheetml/2006/main" count="155" uniqueCount="143">
  <si>
    <t>Price</t>
  </si>
  <si>
    <t>Shares</t>
  </si>
  <si>
    <t>MC</t>
  </si>
  <si>
    <t>Cash</t>
  </si>
  <si>
    <t>Debt</t>
  </si>
  <si>
    <t>EV</t>
  </si>
  <si>
    <t>Q322</t>
  </si>
  <si>
    <t>Main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</si>
  <si>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</si>
  <si>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</si>
  <si>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</si>
  <si>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</si>
  <si>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</si>
  <si>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</si>
  <si>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</si>
  <si>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</si>
  <si>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</si>
  <si>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</si>
  <si>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Q422</t>
  </si>
  <si>
    <t>Xyrem</t>
  </si>
  <si>
    <t>Revenue</t>
  </si>
  <si>
    <t>Xywav</t>
  </si>
  <si>
    <t>Epidiolex</t>
  </si>
  <si>
    <t>Sativex</t>
  </si>
  <si>
    <t>Sunosi</t>
  </si>
  <si>
    <t>Zepzelca</t>
  </si>
  <si>
    <t>Rylaze</t>
  </si>
  <si>
    <t>Vyxeos</t>
  </si>
  <si>
    <t>Defitelio</t>
  </si>
  <si>
    <t>Other</t>
  </si>
  <si>
    <t>COGS</t>
  </si>
  <si>
    <t>Gross Profit</t>
  </si>
  <si>
    <t>SG&amp;A</t>
  </si>
  <si>
    <t>R&amp;D</t>
  </si>
  <si>
    <t>Operating Expenses</t>
  </si>
  <si>
    <t>Operating Income</t>
  </si>
  <si>
    <t>Interest Income</t>
  </si>
  <si>
    <t>Pretax Income</t>
  </si>
  <si>
    <t>Taxes</t>
  </si>
  <si>
    <t>Net Income</t>
  </si>
  <si>
    <t>EPS</t>
  </si>
  <si>
    <t>Name</t>
  </si>
  <si>
    <t>Indication</t>
  </si>
  <si>
    <t>IH</t>
  </si>
  <si>
    <t>SCLC</t>
  </si>
  <si>
    <t>JZP815</t>
  </si>
  <si>
    <t>pan-RAF</t>
  </si>
  <si>
    <t>Epidyolex</t>
  </si>
  <si>
    <t>suvecaltamide</t>
  </si>
  <si>
    <t>Parkinson's</t>
  </si>
  <si>
    <t>JZP441</t>
  </si>
  <si>
    <t>orexin-2 agonist</t>
  </si>
  <si>
    <t>MOA</t>
  </si>
  <si>
    <t>Zepzelca (lurbinectedin)</t>
  </si>
  <si>
    <t>Rylaze (asparaginase)</t>
  </si>
  <si>
    <t>ALL</t>
  </si>
  <si>
    <t>TSC/Dravet</t>
  </si>
  <si>
    <t>Economics</t>
  </si>
  <si>
    <t>ZYME</t>
  </si>
  <si>
    <t>HER2</t>
  </si>
  <si>
    <t>T-type Ca inhibitor</t>
  </si>
  <si>
    <t>JZP150</t>
  </si>
  <si>
    <t>PTSD</t>
  </si>
  <si>
    <t>FAAH</t>
  </si>
  <si>
    <t>Approved</t>
  </si>
  <si>
    <t>Phase</t>
  </si>
  <si>
    <t>I</t>
  </si>
  <si>
    <t>Q123</t>
  </si>
  <si>
    <t>Q223</t>
  </si>
  <si>
    <t>Q323</t>
  </si>
  <si>
    <t>Q423</t>
  </si>
  <si>
    <t>Gross Margin</t>
  </si>
  <si>
    <t>Xywav (Ca, Mg, K, Na oxybate)</t>
  </si>
  <si>
    <t>Xyrem (Na oxybate)</t>
  </si>
  <si>
    <t>Brand</t>
  </si>
  <si>
    <t>IP</t>
  </si>
  <si>
    <t>9949937 MOU for epilepsy</t>
  </si>
  <si>
    <t>9956183 MOU</t>
  </si>
  <si>
    <t>9956184 MOU</t>
  </si>
  <si>
    <t>9956185 MOU</t>
  </si>
  <si>
    <t>9956186 MOU</t>
  </si>
  <si>
    <t>10092525 MOU for epilepsy</t>
  </si>
  <si>
    <t>10111840 MOU for epilepsy</t>
  </si>
  <si>
    <t>10137095 MOU for epilepsy</t>
  </si>
  <si>
    <t>10195159 plant based</t>
  </si>
  <si>
    <t>Manufacturing</t>
  </si>
  <si>
    <t>Plant-derived</t>
  </si>
  <si>
    <t>10603288 MOU</t>
  </si>
  <si>
    <t>10709671 MOU</t>
  </si>
  <si>
    <t>10709673 MOU</t>
  </si>
  <si>
    <t>10709674 MOU</t>
  </si>
  <si>
    <t>10849860 MOU</t>
  </si>
  <si>
    <t>10918608 MOU</t>
  </si>
  <si>
    <t>10966939 MOU</t>
  </si>
  <si>
    <t>11065209 MOU</t>
  </si>
  <si>
    <t>11096905 MOU</t>
  </si>
  <si>
    <t>11154516 MOU</t>
  </si>
  <si>
    <t>11160795 MOU</t>
  </si>
  <si>
    <t>11207292 formulation</t>
  </si>
  <si>
    <t>11311498 MOU</t>
  </si>
  <si>
    <t>11357741 MOU</t>
  </si>
  <si>
    <t>11400055 MOU</t>
  </si>
  <si>
    <t>11406623 MOU</t>
  </si>
  <si>
    <t>11446258 MOU</t>
  </si>
  <si>
    <t>Discount</t>
  </si>
  <si>
    <t>NPV</t>
  </si>
  <si>
    <t>ROIC</t>
  </si>
  <si>
    <t>Maturity</t>
  </si>
  <si>
    <t>Oxybate</t>
  </si>
  <si>
    <t>Net Cash</t>
  </si>
  <si>
    <t>Q224</t>
  </si>
  <si>
    <t>Q124</t>
  </si>
  <si>
    <t>Q324</t>
  </si>
  <si>
    <t>Q424</t>
  </si>
  <si>
    <t>Erwinase</t>
  </si>
  <si>
    <t>Revenue y/y</t>
  </si>
  <si>
    <t>Narcolepsy</t>
  </si>
  <si>
    <t>Q125</t>
  </si>
  <si>
    <t>Q225</t>
  </si>
  <si>
    <t>Q325</t>
  </si>
  <si>
    <t>Q425</t>
  </si>
  <si>
    <t>Ziihera</t>
  </si>
  <si>
    <t>AR</t>
  </si>
  <si>
    <t>Inventories</t>
  </si>
  <si>
    <t>Assets</t>
  </si>
  <si>
    <t>Goodwill</t>
  </si>
  <si>
    <t>DTA</t>
  </si>
  <si>
    <t>Deferred Financing</t>
  </si>
  <si>
    <t>ONCA</t>
  </si>
  <si>
    <t>Prepaid</t>
  </si>
  <si>
    <t>OCA</t>
  </si>
  <si>
    <t>PPE</t>
  </si>
  <si>
    <t>Lease</t>
  </si>
  <si>
    <t>Ziihera (zanidatamab)</t>
  </si>
  <si>
    <t>dordaviprone</t>
  </si>
  <si>
    <t>Glioma</t>
  </si>
  <si>
    <t>HER2+ BTC</t>
  </si>
  <si>
    <t>AP</t>
  </si>
  <si>
    <t>AL</t>
  </si>
  <si>
    <t>Tax</t>
  </si>
  <si>
    <t>ONCL</t>
  </si>
  <si>
    <t>SE</t>
  </si>
  <si>
    <t>L+SE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</si>
</sst>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.0"/>
    <numFmt numFmtId="165" formatCode="0.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3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/>
    <xf numFmtId="164" fontId="0" fillId="0" borderId="0" xfId="0" applyNumberFormat="1" applyAlignment="1">
      <alignment horizontal="right"/>
    </xf>
    <xf numFmtId="164" fontId="1" fillId="0" borderId="0" xfId="0" applyNumberFormat="1" applyFont="1"/>
    <xf numFmtId="164" fontId="1" fillId="0" borderId="0" xfId="0" applyNumberFormat="1" applyFont="1" applyAlignment="1">
      <alignment horizontal="right"/>
    </xf>
    <xf numFmtId="165" fontId="0" fillId="0" borderId="0" xfId="0" applyNumberFormat="1"/>
    <xf numFmtId="0" fontId="2" fillId="0" borderId="0" xfId="1"/>
    <xf numFmtId="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9" fontId="0" fillId="0" borderId="0" xfId="0" applyNumberFormat="1" applyAlignment="1">
      <alignment horizontal="right"/>
    </xf>
    <xf numFmtId="4" fontId="0" fillId="0" borderId="0" xfId="0" applyNumberFormat="1"/>
    <xf numFmtId="0" fontId="0" fillId="0" borderId="2" xfId="0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9" fontId="0" fillId="0" borderId="0" xfId="0" applyNumberForma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9872AF5D-F0BD-4294-B65A-15CA86B4AD2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41484</xdr:colOff>
      <xdr:row>0</xdr:row>
      <xdr:rowOff>23813</xdr:rowOff>
    </xdr:from>
    <xdr:to>
      <xdr:col>23</xdr:col>
      <xdr:colOff>41484</xdr:colOff>
      <xdr:row>63</xdr:row>
      <xdr:rowOff>68943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FAD753D-0FB2-EF5C-D299-95ABADB404B3}"/>
            </a:ext>
          </a:extLst>
        </xdr:cNvPr>
        <xdr:cNvCxnSpPr/>
      </xdr:nvCxnSpPr>
      <xdr:spPr>
        <a:xfrm>
          <a:off x="14969427" y="23813"/>
          <a:ext cx="0" cy="963181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23389</xdr:colOff>
      <xdr:row>0</xdr:row>
      <xdr:rowOff>0</xdr:rowOff>
    </xdr:from>
    <xdr:to>
      <xdr:col>36</xdr:col>
      <xdr:colOff>23389</xdr:colOff>
      <xdr:row>57</xdr:row>
      <xdr:rowOff>86406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BD652E3C-E721-43B0-AED9-7F673169A911}"/>
            </a:ext>
          </a:extLst>
        </xdr:cNvPr>
        <xdr:cNvCxnSpPr/>
      </xdr:nvCxnSpPr>
      <xdr:spPr>
        <a:xfrm>
          <a:off x="22970475" y="0"/>
          <a:ext cx="0" cy="871514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CF0EA-6190-476D-832E-2260D789DF8A}">
  <dimension ref="B2:L14"/>
  <sheetViews>
    <sheetView tabSelected="1" zoomScale="145" zoomScaleNormal="145" workbookViewId="0">
      <selection activeCell="B2" sqref="B2"/>
    </sheetView>
  </sheetViews>
  <sheetFormatPr defaultColWidth="8.81640625" defaultRowHeight="12.5" x14ac:dyDescent="0.25"/>
  <cols>
    <col min="1" max="1" width="3" customWidth="1"/>
    <col min="2" max="2" width="28.453125" customWidth="1"/>
    <col min="3" max="3" width="11" customWidth="1"/>
    <col min="4" max="4" width="16.453125" customWidth="1"/>
    <col min="5" max="5" width="10.81640625" customWidth="1"/>
    <col min="6" max="6" width="10.453125" customWidth="1"/>
    <col min="7" max="9" width="5.453125" customWidth="1"/>
  </cols>
  <sheetData>
    <row r="2" spans="2:12" x14ac:dyDescent="0.25">
      <c r="B2" s="11" t="s">
        <v>41</v>
      </c>
      <c r="C2" s="21" t="s">
        <v>42</v>
      </c>
      <c r="D2" s="21" t="s">
        <v>52</v>
      </c>
      <c r="E2" s="21" t="s">
        <v>57</v>
      </c>
      <c r="F2" s="21" t="s">
        <v>64</v>
      </c>
      <c r="G2" s="12"/>
      <c r="H2" s="13"/>
      <c r="J2" t="s">
        <v>0</v>
      </c>
      <c r="K2" s="20">
        <v>107.91</v>
      </c>
    </row>
    <row r="3" spans="2:12" x14ac:dyDescent="0.25">
      <c r="B3" s="14" t="s">
        <v>72</v>
      </c>
      <c r="C3" s="23" t="s">
        <v>43</v>
      </c>
      <c r="D3" s="23"/>
      <c r="E3" s="23"/>
      <c r="F3" s="22">
        <v>44033</v>
      </c>
      <c r="H3" s="15"/>
      <c r="J3" t="s">
        <v>1</v>
      </c>
      <c r="K3" s="1">
        <v>61.632840999999999</v>
      </c>
      <c r="L3" s="2" t="s">
        <v>117</v>
      </c>
    </row>
    <row r="4" spans="2:12" x14ac:dyDescent="0.25">
      <c r="B4" s="14" t="s">
        <v>73</v>
      </c>
      <c r="C4" s="23" t="s">
        <v>43</v>
      </c>
      <c r="D4" s="23"/>
      <c r="E4" s="23"/>
      <c r="F4" s="22">
        <v>37454</v>
      </c>
      <c r="H4" s="15"/>
      <c r="J4" t="s">
        <v>2</v>
      </c>
      <c r="K4" s="1">
        <f>+K2*K3</f>
        <v>6650.79987231</v>
      </c>
    </row>
    <row r="5" spans="2:12" x14ac:dyDescent="0.25">
      <c r="B5" s="14" t="s">
        <v>54</v>
      </c>
      <c r="C5" s="23" t="s">
        <v>55</v>
      </c>
      <c r="D5" s="23"/>
      <c r="E5" s="23"/>
      <c r="F5" s="23"/>
      <c r="H5" s="15"/>
      <c r="J5" t="s">
        <v>3</v>
      </c>
      <c r="K5" s="1">
        <f>1861.946+710</f>
        <v>2571.9459999999999</v>
      </c>
      <c r="L5" s="2" t="s">
        <v>117</v>
      </c>
    </row>
    <row r="6" spans="2:12" x14ac:dyDescent="0.25">
      <c r="B6" s="14" t="s">
        <v>53</v>
      </c>
      <c r="C6" s="23" t="s">
        <v>44</v>
      </c>
      <c r="D6" s="23"/>
      <c r="E6" s="23"/>
      <c r="F6" s="23"/>
      <c r="H6" s="15"/>
      <c r="J6" t="s">
        <v>4</v>
      </c>
      <c r="K6" s="1">
        <f>5336.481+31</f>
        <v>5367.4809999999998</v>
      </c>
      <c r="L6" s="2" t="s">
        <v>117</v>
      </c>
    </row>
    <row r="7" spans="2:12" x14ac:dyDescent="0.25">
      <c r="B7" s="14" t="s">
        <v>133</v>
      </c>
      <c r="C7" s="23" t="s">
        <v>136</v>
      </c>
      <c r="D7" s="23" t="s">
        <v>59</v>
      </c>
      <c r="E7" s="23" t="s">
        <v>58</v>
      </c>
      <c r="F7" s="22">
        <v>45625</v>
      </c>
      <c r="H7" s="15"/>
      <c r="J7" t="s">
        <v>5</v>
      </c>
      <c r="K7" s="1">
        <f>+K4-K5+K6</f>
        <v>9446.3348723099989</v>
      </c>
    </row>
    <row r="8" spans="2:12" x14ac:dyDescent="0.25">
      <c r="B8" s="14" t="s">
        <v>47</v>
      </c>
      <c r="C8" s="23" t="s">
        <v>56</v>
      </c>
      <c r="D8" s="23"/>
      <c r="E8" s="23"/>
      <c r="F8" s="22">
        <v>43371</v>
      </c>
      <c r="H8" s="15"/>
      <c r="K8" s="1"/>
    </row>
    <row r="9" spans="2:12" x14ac:dyDescent="0.25">
      <c r="B9" s="11"/>
      <c r="C9" s="21"/>
      <c r="D9" s="21"/>
      <c r="E9" s="21"/>
      <c r="F9" s="21" t="s">
        <v>65</v>
      </c>
      <c r="G9" s="12"/>
      <c r="H9" s="13"/>
    </row>
    <row r="10" spans="2:12" x14ac:dyDescent="0.25">
      <c r="B10" s="14" t="s">
        <v>45</v>
      </c>
      <c r="C10" s="23"/>
      <c r="D10" s="23" t="s">
        <v>46</v>
      </c>
      <c r="E10" s="23"/>
      <c r="F10" s="23" t="s">
        <v>66</v>
      </c>
      <c r="H10" s="15"/>
    </row>
    <row r="11" spans="2:12" x14ac:dyDescent="0.25">
      <c r="B11" s="14" t="s">
        <v>48</v>
      </c>
      <c r="C11" s="23" t="s">
        <v>49</v>
      </c>
      <c r="D11" s="23" t="s">
        <v>60</v>
      </c>
      <c r="E11" s="23"/>
      <c r="F11" s="23"/>
      <c r="H11" s="15"/>
    </row>
    <row r="12" spans="2:12" x14ac:dyDescent="0.25">
      <c r="B12" s="14" t="s">
        <v>50</v>
      </c>
      <c r="C12" s="23" t="s">
        <v>116</v>
      </c>
      <c r="D12" s="23" t="s">
        <v>51</v>
      </c>
      <c r="E12" s="23"/>
      <c r="F12" s="23" t="s">
        <v>66</v>
      </c>
      <c r="H12" s="15"/>
    </row>
    <row r="13" spans="2:12" x14ac:dyDescent="0.25">
      <c r="B13" s="14" t="s">
        <v>61</v>
      </c>
      <c r="C13" s="23" t="s">
        <v>62</v>
      </c>
      <c r="D13" s="23" t="s">
        <v>63</v>
      </c>
      <c r="E13" s="23"/>
      <c r="F13" s="23"/>
      <c r="H13" s="15"/>
    </row>
    <row r="14" spans="2:12" x14ac:dyDescent="0.25">
      <c r="B14" s="16" t="s">
        <v>134</v>
      </c>
      <c r="C14" s="24" t="s">
        <v>135</v>
      </c>
      <c r="D14" s="24"/>
      <c r="E14" s="24"/>
      <c r="F14" s="24"/>
      <c r="G14" s="17"/>
      <c r="H14" s="18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25E3F-0D5A-4F1A-A75A-A8CE578AC72F}">
  <dimension ref="A1:DF58"/>
  <sheetViews>
    <sheetView zoomScale="175" zoomScaleNormal="175" workbookViewId="0">
      <pane xSplit="2" ySplit="2" topLeftCell="S49" activePane="bottomRight" state="frozen"/>
      <selection pane="topRight" activeCell="C1" sqref="C1"/>
      <selection pane="bottomLeft" activeCell="A3" sqref="A3"/>
      <selection pane="bottomRight" activeCell="W53" sqref="W53"/>
    </sheetView>
  </sheetViews>
  <sheetFormatPr defaultColWidth="8.81640625" defaultRowHeight="12.5" x14ac:dyDescent="0.25"/>
  <cols>
    <col min="1" max="1" width="5" bestFit="1" customWidth="1"/>
    <col min="2" max="2" width="18.1796875" bestFit="1" customWidth="1"/>
    <col min="3" max="16" width="9.1796875" style="2"/>
    <col min="50" max="50" width="11.1796875" bestFit="1" customWidth="1"/>
  </cols>
  <sheetData>
    <row r="1" spans="1:47" x14ac:dyDescent="0.25">
      <c r="A1" s="8" t="s">
        <v>7</v>
      </c>
    </row>
    <row r="2" spans="1:47" x14ac:dyDescent="0.25"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2" t="s">
        <v>17</v>
      </c>
      <c r="M2" s="2" t="s">
        <v>6</v>
      </c>
      <c r="N2" s="2" t="s">
        <v>18</v>
      </c>
      <c r="O2" s="2" t="s">
        <v>67</v>
      </c>
      <c r="P2" s="2" t="s">
        <v>68</v>
      </c>
      <c r="Q2" s="2" t="s">
        <v>69</v>
      </c>
      <c r="R2" s="2" t="s">
        <v>70</v>
      </c>
      <c r="S2" s="2" t="s">
        <v>111</v>
      </c>
      <c r="T2" s="2" t="s">
        <v>110</v>
      </c>
      <c r="U2" s="2" t="s">
        <v>112</v>
      </c>
      <c r="V2" s="2" t="s">
        <v>113</v>
      </c>
      <c r="W2" s="2" t="s">
        <v>117</v>
      </c>
      <c r="X2" s="2" t="s">
        <v>118</v>
      </c>
      <c r="Y2" s="2" t="s">
        <v>119</v>
      </c>
      <c r="Z2" s="2" t="s">
        <v>120</v>
      </c>
      <c r="AB2">
        <v>2016</v>
      </c>
      <c r="AC2">
        <v>2017</v>
      </c>
      <c r="AD2">
        <v>2018</v>
      </c>
      <c r="AE2">
        <v>2019</v>
      </c>
      <c r="AF2">
        <v>2020</v>
      </c>
      <c r="AG2">
        <f>+AF2+1</f>
        <v>2021</v>
      </c>
      <c r="AH2">
        <f t="shared" ref="AH2:AU2" si="0">+AG2+1</f>
        <v>2022</v>
      </c>
      <c r="AI2">
        <f t="shared" si="0"/>
        <v>2023</v>
      </c>
      <c r="AJ2">
        <f t="shared" si="0"/>
        <v>2024</v>
      </c>
      <c r="AK2">
        <f t="shared" si="0"/>
        <v>2025</v>
      </c>
      <c r="AL2">
        <f t="shared" si="0"/>
        <v>2026</v>
      </c>
      <c r="AM2">
        <f t="shared" si="0"/>
        <v>2027</v>
      </c>
      <c r="AN2">
        <f t="shared" si="0"/>
        <v>2028</v>
      </c>
      <c r="AO2">
        <f t="shared" si="0"/>
        <v>2029</v>
      </c>
      <c r="AP2">
        <f t="shared" si="0"/>
        <v>2030</v>
      </c>
      <c r="AQ2">
        <f t="shared" si="0"/>
        <v>2031</v>
      </c>
      <c r="AR2">
        <f t="shared" si="0"/>
        <v>2032</v>
      </c>
      <c r="AS2">
        <f t="shared" si="0"/>
        <v>2033</v>
      </c>
      <c r="AT2">
        <f t="shared" si="0"/>
        <v>2034</v>
      </c>
      <c r="AU2">
        <f t="shared" si="0"/>
        <v>2035</v>
      </c>
    </row>
    <row r="3" spans="1:47" s="3" customFormat="1" x14ac:dyDescent="0.25">
      <c r="B3" s="3" t="s">
        <v>19</v>
      </c>
      <c r="C3" s="4"/>
      <c r="D3" s="4"/>
      <c r="E3" s="4"/>
      <c r="F3" s="4">
        <v>439.26600000000002</v>
      </c>
      <c r="G3" s="4">
        <v>335.55</v>
      </c>
      <c r="H3" s="4">
        <v>334.18200000000002</v>
      </c>
      <c r="I3" s="4">
        <v>307.33300000000003</v>
      </c>
      <c r="J3" s="4">
        <v>288.76499999999999</v>
      </c>
      <c r="K3" s="4">
        <v>247.49700000000001</v>
      </c>
      <c r="L3" s="4">
        <v>269.42099999999999</v>
      </c>
      <c r="M3" s="4">
        <v>256.03899999999999</v>
      </c>
      <c r="N3" s="4">
        <v>247.49600000000001</v>
      </c>
      <c r="O3" s="4">
        <v>178.13</v>
      </c>
      <c r="P3" s="4">
        <v>159.76900000000001</v>
      </c>
      <c r="Q3" s="4">
        <v>125.11</v>
      </c>
      <c r="R3" s="4">
        <v>106.721</v>
      </c>
      <c r="S3" s="4">
        <v>64.231999999999999</v>
      </c>
      <c r="T3" s="4">
        <v>62.18</v>
      </c>
      <c r="U3" s="4">
        <f>+T3-1</f>
        <v>61.18</v>
      </c>
      <c r="V3" s="4">
        <v>49.29</v>
      </c>
      <c r="W3" s="4">
        <v>37.241</v>
      </c>
      <c r="X3" s="4">
        <f>+W3-1</f>
        <v>36.241</v>
      </c>
      <c r="Y3" s="4">
        <f>+X3-1</f>
        <v>35.241</v>
      </c>
      <c r="Z3" s="4">
        <f>+Y3-1</f>
        <v>34.241</v>
      </c>
      <c r="AD3" s="3">
        <v>1404.866</v>
      </c>
      <c r="AE3" s="3">
        <v>1642.5250000000001</v>
      </c>
      <c r="AF3" s="3">
        <v>1741.758</v>
      </c>
      <c r="AG3" s="3">
        <f>SUM(G3:J3)</f>
        <v>1265.83</v>
      </c>
      <c r="AH3" s="3">
        <f t="shared" ref="AH3:AH8" si="1">SUM(K3:N3)</f>
        <v>1020.453</v>
      </c>
      <c r="AI3" s="3">
        <f>SUM(O3:R3)</f>
        <v>569.73</v>
      </c>
      <c r="AJ3" s="3">
        <f>SUM(S3:V3)</f>
        <v>236.88200000000001</v>
      </c>
      <c r="AK3" s="3">
        <f>SUM(W3:Z3)</f>
        <v>142.964</v>
      </c>
      <c r="AL3" s="3">
        <f t="shared" ref="AL3:AT3" si="2">+AK3*0.5</f>
        <v>71.481999999999999</v>
      </c>
      <c r="AM3" s="3">
        <f t="shared" si="2"/>
        <v>35.741</v>
      </c>
      <c r="AN3" s="3">
        <f t="shared" si="2"/>
        <v>17.8705</v>
      </c>
      <c r="AO3" s="3">
        <f t="shared" si="2"/>
        <v>8.9352499999999999</v>
      </c>
      <c r="AP3" s="3">
        <f t="shared" si="2"/>
        <v>4.467625</v>
      </c>
      <c r="AQ3" s="3">
        <f t="shared" si="2"/>
        <v>2.2338125</v>
      </c>
      <c r="AR3" s="3">
        <f t="shared" si="2"/>
        <v>1.11690625</v>
      </c>
      <c r="AS3" s="3">
        <f t="shared" si="2"/>
        <v>0.55845312499999999</v>
      </c>
      <c r="AT3" s="3">
        <f t="shared" si="2"/>
        <v>0.2792265625</v>
      </c>
      <c r="AU3" s="3">
        <f t="shared" ref="AU3" si="3">+AT3*0.5</f>
        <v>0.13961328125</v>
      </c>
    </row>
    <row r="4" spans="1:47" s="3" customFormat="1" x14ac:dyDescent="0.25">
      <c r="B4" s="3" t="s">
        <v>21</v>
      </c>
      <c r="C4" s="4"/>
      <c r="D4" s="4"/>
      <c r="E4" s="4"/>
      <c r="F4" s="4">
        <v>15.263999999999999</v>
      </c>
      <c r="G4" s="4">
        <v>75.415999999999997</v>
      </c>
      <c r="H4" s="4">
        <v>124.164</v>
      </c>
      <c r="I4" s="4">
        <v>153.06299999999999</v>
      </c>
      <c r="J4" s="4">
        <v>182.654</v>
      </c>
      <c r="K4" s="4">
        <v>186.08</v>
      </c>
      <c r="L4" s="4">
        <v>235.02500000000001</v>
      </c>
      <c r="M4" s="4">
        <v>255.93600000000001</v>
      </c>
      <c r="N4" s="4">
        <v>281.38400000000001</v>
      </c>
      <c r="O4" s="4">
        <v>277.76100000000002</v>
      </c>
      <c r="P4" s="4">
        <v>326.56400000000002</v>
      </c>
      <c r="Q4" s="4">
        <v>331.63299999999998</v>
      </c>
      <c r="R4" s="4">
        <v>337.01900000000001</v>
      </c>
      <c r="S4" s="4">
        <v>315.3</v>
      </c>
      <c r="T4" s="4">
        <v>368.47199999999998</v>
      </c>
      <c r="U4" s="4">
        <f>+Q4*1.1</f>
        <v>364.79630000000003</v>
      </c>
      <c r="V4" s="4">
        <v>400.964</v>
      </c>
      <c r="W4" s="4">
        <v>344.80399999999997</v>
      </c>
      <c r="X4" s="4">
        <f>+T4*1.07</f>
        <v>394.26504</v>
      </c>
      <c r="Y4" s="4">
        <f>+U4*1.07</f>
        <v>390.33204100000006</v>
      </c>
      <c r="Z4" s="4">
        <f>+V4*1.07</f>
        <v>429.03148000000004</v>
      </c>
      <c r="AD4" s="3">
        <v>0</v>
      </c>
      <c r="AE4" s="3">
        <v>0</v>
      </c>
      <c r="AF4" s="3">
        <v>15.263999999999999</v>
      </c>
      <c r="AG4" s="3">
        <f t="shared" ref="AG4:AG20" si="4">SUM(G4:J4)</f>
        <v>535.29700000000003</v>
      </c>
      <c r="AH4" s="3">
        <f t="shared" si="1"/>
        <v>958.42500000000007</v>
      </c>
      <c r="AI4" s="3">
        <f t="shared" ref="AI4:AI19" si="5">SUM(O4:R4)</f>
        <v>1272.9770000000001</v>
      </c>
      <c r="AJ4" s="3">
        <f>SUM(S4:V4)</f>
        <v>1449.5322999999999</v>
      </c>
      <c r="AK4" s="3">
        <f>SUM(W4:Z4)</f>
        <v>1558.4325610000001</v>
      </c>
      <c r="AL4" s="3">
        <f>+AK4*1.01</f>
        <v>1574.01688661</v>
      </c>
      <c r="AM4" s="3">
        <f>+AL4*1.01</f>
        <v>1589.7570554761</v>
      </c>
      <c r="AN4" s="3">
        <f>+AM4*1.01</f>
        <v>1605.654626030861</v>
      </c>
      <c r="AO4" s="3">
        <f>+AN4*1.01</f>
        <v>1621.7111722911695</v>
      </c>
      <c r="AP4" s="3">
        <f>+AO4*1.01</f>
        <v>1637.9282840140813</v>
      </c>
      <c r="AQ4" s="3">
        <f>+AP4*1.01</f>
        <v>1654.3075668542222</v>
      </c>
      <c r="AR4" s="3">
        <f>+AQ4*1.01</f>
        <v>1670.8506425227645</v>
      </c>
      <c r="AS4" s="3">
        <f>+AR4*0.5</f>
        <v>835.42532126138224</v>
      </c>
      <c r="AT4" s="3">
        <f>+AS4*0.2</f>
        <v>167.08506425227645</v>
      </c>
      <c r="AU4" s="3">
        <f t="shared" ref="AU4" si="6">+AT4*0.2</f>
        <v>33.417012850455293</v>
      </c>
    </row>
    <row r="5" spans="1:47" s="3" customFormat="1" x14ac:dyDescent="0.25">
      <c r="B5" s="3" t="s">
        <v>22</v>
      </c>
      <c r="C5" s="4"/>
      <c r="D5" s="4"/>
      <c r="E5" s="4"/>
      <c r="F5" s="4">
        <v>0</v>
      </c>
      <c r="G5" s="4">
        <v>0</v>
      </c>
      <c r="H5" s="4">
        <v>109.48099999999999</v>
      </c>
      <c r="I5" s="4">
        <v>160.37799999999999</v>
      </c>
      <c r="J5" s="4">
        <v>193.786</v>
      </c>
      <c r="K5" s="4">
        <v>157.893</v>
      </c>
      <c r="L5" s="4">
        <v>175.28899999999999</v>
      </c>
      <c r="M5" s="4">
        <v>196.21799999999999</v>
      </c>
      <c r="N5" s="4">
        <v>206.99799999999999</v>
      </c>
      <c r="O5" s="4">
        <v>188.90899999999999</v>
      </c>
      <c r="P5" s="4">
        <v>202.226</v>
      </c>
      <c r="Q5" s="4">
        <v>213.71100000000001</v>
      </c>
      <c r="R5" s="4">
        <v>240.62200000000001</v>
      </c>
      <c r="S5" s="4">
        <v>198.71600000000001</v>
      </c>
      <c r="T5" s="4">
        <v>247.102</v>
      </c>
      <c r="U5" s="4">
        <f>+Q5*1.1</f>
        <v>235.08210000000003</v>
      </c>
      <c r="V5" s="4">
        <v>275.04700000000003</v>
      </c>
      <c r="W5" s="4">
        <v>217.73699999999999</v>
      </c>
      <c r="X5" s="4">
        <f>+T5*1.07</f>
        <v>264.39914000000005</v>
      </c>
      <c r="Y5" s="4">
        <f>+U5*1.07</f>
        <v>251.53784700000003</v>
      </c>
      <c r="Z5" s="4">
        <f>+V5*1.07</f>
        <v>294.30029000000002</v>
      </c>
      <c r="AG5" s="3">
        <f t="shared" si="4"/>
        <v>463.64499999999998</v>
      </c>
      <c r="AH5" s="3">
        <f t="shared" si="1"/>
        <v>736.39799999999991</v>
      </c>
      <c r="AI5" s="3">
        <f t="shared" si="5"/>
        <v>845.46800000000007</v>
      </c>
      <c r="AJ5" s="3">
        <f>SUM(S5:V5)</f>
        <v>955.94710000000009</v>
      </c>
      <c r="AK5" s="3">
        <f>SUM(W5:Z5)</f>
        <v>1027.9742770000003</v>
      </c>
      <c r="AL5" s="3">
        <f t="shared" ref="AL5" si="7">+AK5*1.1</f>
        <v>1130.7717047000003</v>
      </c>
      <c r="AM5" s="3">
        <f>+AL5*1.03</f>
        <v>1164.6948558410004</v>
      </c>
      <c r="AN5" s="3">
        <f>+AM5*0.7</f>
        <v>815.28639908870025</v>
      </c>
      <c r="AO5" s="3">
        <f>+AN5*0.7</f>
        <v>570.70047936209016</v>
      </c>
      <c r="AP5" s="3">
        <f t="shared" ref="AP5:AU5" si="8">+AO5*0.7</f>
        <v>399.49033555346307</v>
      </c>
      <c r="AQ5" s="3">
        <f t="shared" si="8"/>
        <v>279.64323488742411</v>
      </c>
      <c r="AR5" s="3">
        <f t="shared" si="8"/>
        <v>195.75026442119687</v>
      </c>
      <c r="AS5" s="3">
        <f t="shared" si="8"/>
        <v>137.02518509483781</v>
      </c>
      <c r="AT5" s="3">
        <f t="shared" si="8"/>
        <v>95.917629566386466</v>
      </c>
      <c r="AU5" s="3">
        <f t="shared" si="8"/>
        <v>67.142340696470526</v>
      </c>
    </row>
    <row r="6" spans="1:47" s="3" customFormat="1" x14ac:dyDescent="0.25">
      <c r="B6" s="3" t="s">
        <v>23</v>
      </c>
      <c r="C6" s="4"/>
      <c r="D6" s="4"/>
      <c r="E6" s="4"/>
      <c r="F6" s="4">
        <v>0</v>
      </c>
      <c r="G6" s="4">
        <v>0</v>
      </c>
      <c r="H6" s="4">
        <v>1.9610000000000001</v>
      </c>
      <c r="I6" s="4">
        <v>6.0970000000000004</v>
      </c>
      <c r="J6" s="4">
        <v>4.649</v>
      </c>
      <c r="K6" s="4">
        <v>4.742</v>
      </c>
      <c r="L6" s="4">
        <v>4.1420000000000003</v>
      </c>
      <c r="M6" s="4">
        <v>3.22</v>
      </c>
      <c r="N6" s="4">
        <v>4.7210000000000001</v>
      </c>
      <c r="O6" s="4">
        <v>7.0979999999999999</v>
      </c>
      <c r="P6" s="4">
        <v>2.806</v>
      </c>
      <c r="Q6" s="4">
        <v>4.6269999999999998</v>
      </c>
      <c r="R6" s="4">
        <v>5.1369999999999996</v>
      </c>
      <c r="S6" s="4">
        <v>2.7349999999999999</v>
      </c>
      <c r="T6" s="4">
        <v>6.383</v>
      </c>
      <c r="U6" s="4">
        <f>+T6</f>
        <v>6.383</v>
      </c>
      <c r="V6" s="4">
        <v>5.173</v>
      </c>
      <c r="W6" s="4">
        <v>5.407</v>
      </c>
      <c r="X6" s="4">
        <f>+T6</f>
        <v>6.383</v>
      </c>
      <c r="Y6" s="4">
        <f>+U6</f>
        <v>6.383</v>
      </c>
      <c r="Z6" s="4">
        <f>+V6</f>
        <v>5.173</v>
      </c>
      <c r="AG6" s="3">
        <f t="shared" si="4"/>
        <v>12.707000000000001</v>
      </c>
      <c r="AH6" s="3">
        <f t="shared" si="1"/>
        <v>16.825000000000003</v>
      </c>
      <c r="AI6" s="3">
        <f t="shared" si="5"/>
        <v>19.667999999999999</v>
      </c>
      <c r="AJ6" s="3">
        <f>SUM(S6:V6)</f>
        <v>20.673999999999999</v>
      </c>
      <c r="AK6" s="3">
        <f>SUM(W6:Z6)</f>
        <v>23.345999999999997</v>
      </c>
      <c r="AL6" s="3">
        <f t="shared" ref="AL6:AU6" si="9">+AK6*0.9</f>
        <v>21.011399999999998</v>
      </c>
      <c r="AM6" s="3">
        <f t="shared" si="9"/>
        <v>18.910259999999997</v>
      </c>
      <c r="AN6" s="3">
        <f t="shared" si="9"/>
        <v>17.019233999999997</v>
      </c>
      <c r="AO6" s="3">
        <f t="shared" si="9"/>
        <v>15.317310599999997</v>
      </c>
      <c r="AP6" s="3">
        <f t="shared" si="9"/>
        <v>13.785579539999997</v>
      </c>
      <c r="AQ6" s="3">
        <f t="shared" si="9"/>
        <v>12.407021585999997</v>
      </c>
      <c r="AR6" s="3">
        <f t="shared" si="9"/>
        <v>11.166319427399998</v>
      </c>
      <c r="AS6" s="3">
        <f t="shared" si="9"/>
        <v>10.049687484659998</v>
      </c>
      <c r="AT6" s="3">
        <f t="shared" si="9"/>
        <v>9.0447187361939978</v>
      </c>
      <c r="AU6" s="3">
        <f t="shared" si="9"/>
        <v>8.1402468625745978</v>
      </c>
    </row>
    <row r="7" spans="1:47" s="3" customFormat="1" x14ac:dyDescent="0.25">
      <c r="B7" s="3" t="s">
        <v>24</v>
      </c>
      <c r="C7" s="4"/>
      <c r="D7" s="4"/>
      <c r="E7" s="4"/>
      <c r="F7" s="4">
        <v>8.7149999999999999</v>
      </c>
      <c r="G7" s="4">
        <v>11.606</v>
      </c>
      <c r="H7" s="4">
        <v>12.124000000000001</v>
      </c>
      <c r="I7" s="4">
        <v>19.251000000000001</v>
      </c>
      <c r="J7" s="4">
        <v>14.933</v>
      </c>
      <c r="K7" s="4">
        <v>15.878</v>
      </c>
      <c r="L7" s="4">
        <v>12.965999999999999</v>
      </c>
      <c r="M7" s="4">
        <v>0</v>
      </c>
      <c r="N7" s="4">
        <f t="shared" ref="N7" si="10">+M7*0.9</f>
        <v>0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D7" s="3">
        <v>0</v>
      </c>
      <c r="AE7" s="3">
        <v>3.714</v>
      </c>
      <c r="AF7" s="3">
        <v>28.332999999999998</v>
      </c>
      <c r="AG7" s="3">
        <f t="shared" si="4"/>
        <v>57.914000000000001</v>
      </c>
      <c r="AH7" s="3">
        <f t="shared" si="1"/>
        <v>28.844000000000001</v>
      </c>
      <c r="AI7" s="3">
        <f t="shared" si="5"/>
        <v>0</v>
      </c>
      <c r="AJ7" s="3">
        <f>SUM(S7:V7)</f>
        <v>0</v>
      </c>
      <c r="AK7" s="3">
        <f>SUM(W7:Z7)</f>
        <v>0</v>
      </c>
      <c r="AL7" s="3">
        <f t="shared" ref="AL7:AU7" si="11">+AK7*0.9</f>
        <v>0</v>
      </c>
      <c r="AM7" s="3">
        <f t="shared" si="11"/>
        <v>0</v>
      </c>
      <c r="AN7" s="3">
        <f t="shared" si="11"/>
        <v>0</v>
      </c>
      <c r="AO7" s="3">
        <f t="shared" si="11"/>
        <v>0</v>
      </c>
      <c r="AP7" s="3">
        <f t="shared" si="11"/>
        <v>0</v>
      </c>
      <c r="AQ7" s="3">
        <f t="shared" si="11"/>
        <v>0</v>
      </c>
      <c r="AR7" s="3">
        <f t="shared" si="11"/>
        <v>0</v>
      </c>
      <c r="AS7" s="3">
        <f t="shared" si="11"/>
        <v>0</v>
      </c>
      <c r="AT7" s="3">
        <f t="shared" si="11"/>
        <v>0</v>
      </c>
      <c r="AU7" s="3">
        <f t="shared" si="11"/>
        <v>0</v>
      </c>
    </row>
    <row r="8" spans="1:47" s="3" customFormat="1" x14ac:dyDescent="0.25">
      <c r="B8" s="3" t="s">
        <v>25</v>
      </c>
      <c r="C8" s="4"/>
      <c r="D8" s="4"/>
      <c r="E8" s="4"/>
      <c r="F8" s="4">
        <v>53.439</v>
      </c>
      <c r="G8" s="4">
        <v>54.334000000000003</v>
      </c>
      <c r="H8" s="4">
        <v>55.923999999999999</v>
      </c>
      <c r="I8" s="4">
        <v>71.713999999999999</v>
      </c>
      <c r="J8" s="4">
        <v>64.835999999999999</v>
      </c>
      <c r="K8" s="4">
        <v>59.338000000000001</v>
      </c>
      <c r="L8" s="4">
        <v>68.284999999999997</v>
      </c>
      <c r="M8" s="4">
        <v>70.319999999999993</v>
      </c>
      <c r="N8" s="4">
        <v>71.968999999999994</v>
      </c>
      <c r="O8" s="4">
        <v>67.180999999999997</v>
      </c>
      <c r="P8" s="4">
        <v>70.347999999999999</v>
      </c>
      <c r="Q8" s="4">
        <v>77.994</v>
      </c>
      <c r="R8" s="4">
        <v>74.010000000000005</v>
      </c>
      <c r="S8" s="4">
        <v>75.099999999999994</v>
      </c>
      <c r="T8" s="4">
        <v>81.046999999999997</v>
      </c>
      <c r="U8" s="4">
        <f>+Q8*1.1</f>
        <v>85.793400000000005</v>
      </c>
      <c r="V8" s="4">
        <v>78.328000000000003</v>
      </c>
      <c r="W8" s="4">
        <v>63.033000000000001</v>
      </c>
      <c r="X8" s="4">
        <f>+T8*1.05</f>
        <v>85.099350000000001</v>
      </c>
      <c r="Y8" s="4">
        <f>+U8*1.05</f>
        <v>90.083070000000006</v>
      </c>
      <c r="Z8" s="4">
        <f>+V8*1.05</f>
        <v>82.244400000000013</v>
      </c>
      <c r="AD8" s="3">
        <v>0</v>
      </c>
      <c r="AE8" s="3">
        <v>0</v>
      </c>
      <c r="AF8" s="3">
        <v>90.38</v>
      </c>
      <c r="AG8" s="3">
        <f t="shared" si="4"/>
        <v>246.80799999999999</v>
      </c>
      <c r="AH8" s="3">
        <f t="shared" si="1"/>
        <v>269.91199999999998</v>
      </c>
      <c r="AI8" s="3">
        <f t="shared" si="5"/>
        <v>289.53300000000002</v>
      </c>
      <c r="AJ8" s="3">
        <f>SUM(S8:V8)</f>
        <v>320.26840000000004</v>
      </c>
      <c r="AK8" s="3">
        <f>SUM(W8:Z8)</f>
        <v>320.45982000000004</v>
      </c>
      <c r="AL8" s="3">
        <f t="shared" ref="AL8:AU8" si="12">+AK8*1.01</f>
        <v>323.66441820000006</v>
      </c>
      <c r="AM8" s="3">
        <f t="shared" si="12"/>
        <v>326.90106238200008</v>
      </c>
      <c r="AN8" s="3">
        <f t="shared" si="12"/>
        <v>330.17007300582009</v>
      </c>
      <c r="AO8" s="3">
        <f t="shared" si="12"/>
        <v>333.47177373587829</v>
      </c>
      <c r="AP8" s="3">
        <f t="shared" si="12"/>
        <v>336.80649147323709</v>
      </c>
      <c r="AQ8" s="3">
        <f t="shared" si="12"/>
        <v>340.17455638796946</v>
      </c>
      <c r="AR8" s="3">
        <f t="shared" si="12"/>
        <v>343.57630195184913</v>
      </c>
      <c r="AS8" s="3">
        <f t="shared" si="12"/>
        <v>347.01206497136764</v>
      </c>
      <c r="AT8" s="3">
        <f t="shared" si="12"/>
        <v>350.48218562108133</v>
      </c>
      <c r="AU8" s="3">
        <f t="shared" si="12"/>
        <v>353.98700747729214</v>
      </c>
    </row>
    <row r="9" spans="1:47" s="3" customFormat="1" x14ac:dyDescent="0.25">
      <c r="B9" s="3" t="s">
        <v>121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>
        <v>1.0509999999999999</v>
      </c>
      <c r="W9" s="4">
        <v>1.9750000000000001</v>
      </c>
      <c r="X9" s="4">
        <f>+W9+2</f>
        <v>3.9750000000000001</v>
      </c>
      <c r="Y9" s="4">
        <f>+X9+2</f>
        <v>5.9749999999999996</v>
      </c>
      <c r="Z9" s="4">
        <f>+Y9+2</f>
        <v>7.9749999999999996</v>
      </c>
      <c r="AJ9" s="3">
        <f>SUM(S9:V9)</f>
        <v>1.0509999999999999</v>
      </c>
      <c r="AK9" s="3">
        <f>SUM(W9:Z9)</f>
        <v>19.899999999999999</v>
      </c>
      <c r="AL9" s="3">
        <f>+AK9*1.1</f>
        <v>21.89</v>
      </c>
      <c r="AM9" s="3">
        <f>+AL9*1.1</f>
        <v>24.079000000000004</v>
      </c>
      <c r="AN9" s="3">
        <f>+AM9*1.1</f>
        <v>26.486900000000006</v>
      </c>
      <c r="AO9" s="3">
        <f>+AN9*1.1</f>
        <v>29.135590000000008</v>
      </c>
      <c r="AP9" s="3">
        <f>+AO9*1.1</f>
        <v>32.049149000000014</v>
      </c>
      <c r="AQ9" s="3">
        <f>+AP9*1.1</f>
        <v>35.25406390000002</v>
      </c>
      <c r="AR9" s="3">
        <f>+AQ9*1.1</f>
        <v>38.779470290000027</v>
      </c>
      <c r="AS9" s="3">
        <f>+AR9*1.1</f>
        <v>42.657417319000032</v>
      </c>
      <c r="AT9" s="3">
        <f>+AS9*1.1</f>
        <v>46.92315905090004</v>
      </c>
      <c r="AU9" s="3">
        <f>+AT9*1.1</f>
        <v>51.615474955990045</v>
      </c>
    </row>
    <row r="10" spans="1:47" s="3" customFormat="1" x14ac:dyDescent="0.25">
      <c r="B10" s="3" t="s">
        <v>114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D10" s="3">
        <v>174.739</v>
      </c>
      <c r="AE10" s="3">
        <v>177.465</v>
      </c>
      <c r="AF10" s="3">
        <v>147.136</v>
      </c>
      <c r="AJ10" s="3">
        <f>SUM(S10:V10)</f>
        <v>0</v>
      </c>
      <c r="AK10" s="3">
        <f>SUM(W10:Z10)</f>
        <v>0</v>
      </c>
    </row>
    <row r="11" spans="1:47" s="3" customFormat="1" x14ac:dyDescent="0.25">
      <c r="B11" s="3" t="s">
        <v>134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>
        <v>3</v>
      </c>
      <c r="AK11" s="3">
        <f>SUM(W11:Z11)</f>
        <v>3</v>
      </c>
      <c r="AL11" s="3">
        <v>25</v>
      </c>
      <c r="AM11" s="3">
        <v>50</v>
      </c>
      <c r="AN11" s="3">
        <v>100</v>
      </c>
      <c r="AO11" s="3">
        <v>125</v>
      </c>
      <c r="AP11" s="3">
        <v>150</v>
      </c>
      <c r="AQ11" s="3">
        <v>175</v>
      </c>
      <c r="AR11" s="3">
        <v>0</v>
      </c>
      <c r="AS11" s="3">
        <v>0</v>
      </c>
      <c r="AT11" s="3">
        <v>0</v>
      </c>
      <c r="AU11" s="3">
        <v>0</v>
      </c>
    </row>
    <row r="12" spans="1:47" s="3" customFormat="1" x14ac:dyDescent="0.25">
      <c r="B12" s="3" t="s">
        <v>26</v>
      </c>
      <c r="C12" s="4"/>
      <c r="D12" s="4"/>
      <c r="E12" s="4"/>
      <c r="F12" s="4">
        <v>0</v>
      </c>
      <c r="G12" s="4">
        <v>0</v>
      </c>
      <c r="H12" s="4">
        <v>0</v>
      </c>
      <c r="I12" s="4">
        <v>20.673999999999999</v>
      </c>
      <c r="J12" s="4">
        <v>64.954999999999998</v>
      </c>
      <c r="K12" s="4">
        <v>54.22</v>
      </c>
      <c r="L12" s="4">
        <v>72.953999999999994</v>
      </c>
      <c r="M12" s="4">
        <v>73.513000000000005</v>
      </c>
      <c r="N12" s="4">
        <v>80.971999999999994</v>
      </c>
      <c r="O12" s="4">
        <v>85.927000000000007</v>
      </c>
      <c r="P12" s="4">
        <v>101.693</v>
      </c>
      <c r="Q12" s="4">
        <v>104.85899999999999</v>
      </c>
      <c r="R12" s="4">
        <v>101.747</v>
      </c>
      <c r="S12" s="4">
        <v>102.75</v>
      </c>
      <c r="T12" s="4">
        <v>107.82899999999999</v>
      </c>
      <c r="U12" s="4">
        <f t="shared" ref="U12:U15" si="13">+Q12*1.1</f>
        <v>115.34490000000001</v>
      </c>
      <c r="V12" s="4">
        <v>101.48699999999999</v>
      </c>
      <c r="W12" s="4">
        <v>94.233000000000004</v>
      </c>
      <c r="X12" s="4">
        <f>+T12*1.05</f>
        <v>113.22045</v>
      </c>
      <c r="Y12" s="4">
        <f>+U12*1.05</f>
        <v>121.11214500000001</v>
      </c>
      <c r="Z12" s="4">
        <f>+V12*1.05</f>
        <v>106.56135</v>
      </c>
      <c r="AA12" s="4"/>
      <c r="AG12" s="3">
        <f t="shared" si="4"/>
        <v>85.628999999999991</v>
      </c>
      <c r="AH12" s="3">
        <f t="shared" ref="AH12:AH20" si="14">SUM(K12:N12)</f>
        <v>281.65899999999999</v>
      </c>
      <c r="AI12" s="3">
        <f t="shared" si="5"/>
        <v>394.226</v>
      </c>
      <c r="AJ12" s="3">
        <f>SUM(S12:V12)</f>
        <v>427.41089999999997</v>
      </c>
      <c r="AK12" s="3">
        <f>SUM(W12:Z12)</f>
        <v>435.12694500000003</v>
      </c>
      <c r="AL12" s="3">
        <f t="shared" ref="AL12:AU12" si="15">+AK12*1.01</f>
        <v>439.47821445000005</v>
      </c>
      <c r="AM12" s="3">
        <f t="shared" si="15"/>
        <v>443.87299659450008</v>
      </c>
      <c r="AN12" s="3">
        <f t="shared" si="15"/>
        <v>448.31172656044509</v>
      </c>
      <c r="AO12" s="3">
        <f t="shared" si="15"/>
        <v>452.79484382604954</v>
      </c>
      <c r="AP12" s="3">
        <f t="shared" si="15"/>
        <v>457.32279226431007</v>
      </c>
      <c r="AQ12" s="3">
        <f t="shared" si="15"/>
        <v>461.89602018695319</v>
      </c>
      <c r="AR12" s="3">
        <f t="shared" si="15"/>
        <v>466.51498038882272</v>
      </c>
      <c r="AS12" s="3">
        <f t="shared" si="15"/>
        <v>471.18013019271098</v>
      </c>
      <c r="AT12" s="3">
        <f t="shared" si="15"/>
        <v>475.89193149463807</v>
      </c>
      <c r="AU12" s="3">
        <f t="shared" si="15"/>
        <v>480.65085080958448</v>
      </c>
    </row>
    <row r="13" spans="1:47" s="3" customFormat="1" x14ac:dyDescent="0.25">
      <c r="B13" s="3" t="s">
        <v>27</v>
      </c>
      <c r="C13" s="4"/>
      <c r="D13" s="4"/>
      <c r="E13" s="4"/>
      <c r="F13" s="4">
        <v>30.992000000000001</v>
      </c>
      <c r="G13" s="4">
        <v>33.155000000000001</v>
      </c>
      <c r="H13" s="4">
        <v>31.452999999999999</v>
      </c>
      <c r="I13" s="4">
        <v>34.688000000000002</v>
      </c>
      <c r="J13" s="4">
        <v>34.764000000000003</v>
      </c>
      <c r="K13" s="4">
        <v>33.756999999999998</v>
      </c>
      <c r="L13" s="4">
        <v>33.89</v>
      </c>
      <c r="M13" s="4">
        <v>30.067</v>
      </c>
      <c r="N13" s="4">
        <v>30.265999999999998</v>
      </c>
      <c r="O13" s="4">
        <v>36.700000000000003</v>
      </c>
      <c r="P13" s="4">
        <v>34.055999999999997</v>
      </c>
      <c r="Q13" s="4">
        <v>29.827000000000002</v>
      </c>
      <c r="R13" s="4">
        <v>46.911999999999999</v>
      </c>
      <c r="S13" s="4">
        <v>32.023000000000003</v>
      </c>
      <c r="T13" s="4">
        <v>43.012</v>
      </c>
      <c r="U13" s="4">
        <f t="shared" si="13"/>
        <v>32.809700000000007</v>
      </c>
      <c r="V13" s="4">
        <v>53.247</v>
      </c>
      <c r="W13" s="4">
        <v>29.544</v>
      </c>
      <c r="X13" s="4">
        <f>+T13</f>
        <v>43.012</v>
      </c>
      <c r="Y13" s="4">
        <f>+U13</f>
        <v>32.809700000000007</v>
      </c>
      <c r="Z13" s="4">
        <f>+V13</f>
        <v>53.247</v>
      </c>
      <c r="AD13" s="3">
        <v>100.83499999999999</v>
      </c>
      <c r="AE13" s="3">
        <v>121.407</v>
      </c>
      <c r="AF13" s="3">
        <v>121.105</v>
      </c>
      <c r="AG13" s="3">
        <f t="shared" si="4"/>
        <v>134.06</v>
      </c>
      <c r="AH13" s="3">
        <f t="shared" si="14"/>
        <v>127.97999999999999</v>
      </c>
      <c r="AI13" s="3">
        <f t="shared" si="5"/>
        <v>147.495</v>
      </c>
      <c r="AJ13" s="3">
        <f>SUM(S13:V13)</f>
        <v>161.0917</v>
      </c>
      <c r="AK13" s="3">
        <f>SUM(W13:Z13)</f>
        <v>158.61270000000002</v>
      </c>
      <c r="AL13" s="3">
        <f t="shared" ref="AL13:AU13" si="16">+AK13*0.99</f>
        <v>157.02657300000001</v>
      </c>
      <c r="AM13" s="3">
        <f t="shared" si="16"/>
        <v>155.45630727000002</v>
      </c>
      <c r="AN13" s="3">
        <f t="shared" si="16"/>
        <v>153.90174419730002</v>
      </c>
      <c r="AO13" s="3">
        <f t="shared" si="16"/>
        <v>152.36272675532703</v>
      </c>
      <c r="AP13" s="3">
        <f t="shared" si="16"/>
        <v>150.83909948777375</v>
      </c>
      <c r="AQ13" s="3">
        <f t="shared" si="16"/>
        <v>149.33070849289601</v>
      </c>
      <c r="AR13" s="3">
        <f t="shared" si="16"/>
        <v>147.83740140796704</v>
      </c>
      <c r="AS13" s="3">
        <f t="shared" si="16"/>
        <v>146.35902739388737</v>
      </c>
      <c r="AT13" s="3">
        <f t="shared" si="16"/>
        <v>144.8954371199485</v>
      </c>
      <c r="AU13" s="3">
        <f t="shared" si="16"/>
        <v>143.44648274874902</v>
      </c>
    </row>
    <row r="14" spans="1:47" s="3" customFormat="1" x14ac:dyDescent="0.25">
      <c r="B14" s="3" t="s">
        <v>28</v>
      </c>
      <c r="C14" s="4"/>
      <c r="D14" s="4"/>
      <c r="E14" s="4"/>
      <c r="F14" s="4">
        <v>55.454999999999998</v>
      </c>
      <c r="G14" s="4">
        <v>49.619</v>
      </c>
      <c r="H14" s="4">
        <v>48.095999999999997</v>
      </c>
      <c r="I14" s="4">
        <v>57.704999999999998</v>
      </c>
      <c r="J14" s="4">
        <v>42.511000000000003</v>
      </c>
      <c r="K14" s="4">
        <v>49.488999999999997</v>
      </c>
      <c r="L14" s="4">
        <v>54.695999999999998</v>
      </c>
      <c r="M14" s="4">
        <v>49.451999999999998</v>
      </c>
      <c r="N14" s="4">
        <v>40.652999999999999</v>
      </c>
      <c r="O14" s="4">
        <v>39.079000000000001</v>
      </c>
      <c r="P14" s="4">
        <v>46.107999999999997</v>
      </c>
      <c r="Q14" s="4">
        <v>47.73</v>
      </c>
      <c r="R14" s="4">
        <v>51.082999999999998</v>
      </c>
      <c r="S14" s="4">
        <v>47.676000000000002</v>
      </c>
      <c r="T14" s="4">
        <v>45.420999999999999</v>
      </c>
      <c r="U14" s="4">
        <f t="shared" si="13"/>
        <v>52.503</v>
      </c>
      <c r="V14" s="4">
        <v>57.65</v>
      </c>
      <c r="W14" s="4">
        <v>40.661999999999999</v>
      </c>
      <c r="X14" s="4">
        <f>+T14</f>
        <v>45.420999999999999</v>
      </c>
      <c r="Y14" s="4">
        <f>+U14</f>
        <v>52.503</v>
      </c>
      <c r="Z14" s="4">
        <f>+V14</f>
        <v>57.65</v>
      </c>
      <c r="AD14" s="3">
        <v>149.44800000000001</v>
      </c>
      <c r="AE14" s="3">
        <v>172.93799999999999</v>
      </c>
      <c r="AF14" s="3">
        <v>195.84200000000001</v>
      </c>
      <c r="AG14" s="3">
        <f t="shared" si="4"/>
        <v>197.93100000000001</v>
      </c>
      <c r="AH14" s="3">
        <f t="shared" si="14"/>
        <v>194.29</v>
      </c>
      <c r="AI14" s="3">
        <f t="shared" si="5"/>
        <v>184</v>
      </c>
      <c r="AJ14" s="3">
        <f>SUM(S14:V14)</f>
        <v>203.25000000000003</v>
      </c>
      <c r="AK14" s="3">
        <f>SUM(W14:Z14)</f>
        <v>196.23600000000002</v>
      </c>
      <c r="AL14" s="3">
        <f t="shared" ref="AL14:AU14" si="17">+AK14*0.99</f>
        <v>194.27364000000003</v>
      </c>
      <c r="AM14" s="3">
        <f t="shared" si="17"/>
        <v>192.33090360000003</v>
      </c>
      <c r="AN14" s="3">
        <f t="shared" si="17"/>
        <v>190.40759456400002</v>
      </c>
      <c r="AO14" s="3">
        <f t="shared" si="17"/>
        <v>188.50351861836003</v>
      </c>
      <c r="AP14" s="3">
        <f t="shared" si="17"/>
        <v>186.61848343217642</v>
      </c>
      <c r="AQ14" s="3">
        <f t="shared" si="17"/>
        <v>184.75229859785466</v>
      </c>
      <c r="AR14" s="3">
        <f t="shared" si="17"/>
        <v>182.90477561187612</v>
      </c>
      <c r="AS14" s="3">
        <f t="shared" si="17"/>
        <v>181.07572785575735</v>
      </c>
      <c r="AT14" s="3">
        <f t="shared" si="17"/>
        <v>179.26497057719976</v>
      </c>
      <c r="AU14" s="3">
        <f t="shared" si="17"/>
        <v>177.47232087142777</v>
      </c>
    </row>
    <row r="15" spans="1:47" s="3" customFormat="1" x14ac:dyDescent="0.25">
      <c r="B15" s="3" t="s">
        <v>29</v>
      </c>
      <c r="C15" s="4"/>
      <c r="D15" s="4"/>
      <c r="E15" s="4"/>
      <c r="F15" s="4">
        <f>4.214+1.596+56.576</f>
        <v>62.386000000000003</v>
      </c>
      <c r="G15" s="4">
        <f>41.068+4.05+2.783</f>
        <v>47.900999999999996</v>
      </c>
      <c r="H15" s="4">
        <f>28.314+2.641+3.471</f>
        <v>34.426000000000002</v>
      </c>
      <c r="I15" s="4">
        <f>3.344+3.868</f>
        <v>7.2119999999999997</v>
      </c>
      <c r="J15" s="4">
        <f>3.848+1.03</f>
        <v>4.8780000000000001</v>
      </c>
      <c r="K15" s="4">
        <f>0+0.943+3.884</f>
        <v>4.827</v>
      </c>
      <c r="L15" s="4">
        <f>4.578+1.632</f>
        <v>6.21</v>
      </c>
      <c r="M15" s="4">
        <f>1.001+4.886</f>
        <v>5.8870000000000005</v>
      </c>
      <c r="N15" s="4">
        <f>3.067+4.597</f>
        <v>7.6640000000000006</v>
      </c>
      <c r="O15" s="4">
        <f>2.096+6.497+3.434</f>
        <v>12.027000000000001</v>
      </c>
      <c r="P15" s="4">
        <f>3.417+10.33</f>
        <v>13.747</v>
      </c>
      <c r="Q15" s="4">
        <f>2.907+28.921+4.821</f>
        <v>36.649000000000001</v>
      </c>
      <c r="R15" s="4">
        <f>4.088+5.209+39.387</f>
        <v>48.683999999999997</v>
      </c>
      <c r="S15" s="4">
        <f>3.57+49.947+9.934</f>
        <v>63.451000000000001</v>
      </c>
      <c r="T15" s="4">
        <f>2.698+59.681</f>
        <v>62.378999999999998</v>
      </c>
      <c r="U15" s="4">
        <f t="shared" si="13"/>
        <v>40.313900000000004</v>
      </c>
      <c r="V15" s="4">
        <f>55.307+2.974+7.655</f>
        <v>65.936000000000007</v>
      </c>
      <c r="W15" s="4">
        <f>9.477+48.946+4.782</f>
        <v>63.204999999999998</v>
      </c>
      <c r="X15" s="4">
        <f>+T15*1.03</f>
        <v>64.250370000000004</v>
      </c>
      <c r="Y15" s="4">
        <f>+U15*1.03</f>
        <v>41.523317000000006</v>
      </c>
      <c r="Z15" s="4">
        <f>+V15*1.03</f>
        <v>67.914080000000013</v>
      </c>
      <c r="AD15" s="3">
        <f>21.449+39.585</f>
        <v>61.034000000000006</v>
      </c>
      <c r="AE15" s="3">
        <f>26.16+17.552</f>
        <v>43.712000000000003</v>
      </c>
      <c r="AF15" s="3">
        <f>6.842+16.907</f>
        <v>23.748999999999999</v>
      </c>
      <c r="AG15" s="3">
        <f t="shared" si="4"/>
        <v>94.417000000000002</v>
      </c>
      <c r="AH15" s="3">
        <f t="shared" si="14"/>
        <v>24.588000000000001</v>
      </c>
      <c r="AI15" s="3">
        <f t="shared" si="5"/>
        <v>111.107</v>
      </c>
      <c r="AJ15" s="3">
        <f>SUM(S15:V15)</f>
        <v>232.07990000000001</v>
      </c>
      <c r="AK15" s="3">
        <f>SUM(W15:Z15)</f>
        <v>236.89276700000002</v>
      </c>
      <c r="AL15" s="3">
        <f t="shared" ref="AL15:AU15" si="18">+AK15*0.99</f>
        <v>234.52383933000002</v>
      </c>
      <c r="AM15" s="3">
        <f t="shared" si="18"/>
        <v>232.17860093670001</v>
      </c>
      <c r="AN15" s="3">
        <f t="shared" si="18"/>
        <v>229.85681492733301</v>
      </c>
      <c r="AO15" s="3">
        <f t="shared" si="18"/>
        <v>227.55824677805967</v>
      </c>
      <c r="AP15" s="3">
        <f t="shared" si="18"/>
        <v>225.28266431027907</v>
      </c>
      <c r="AQ15" s="3">
        <f t="shared" si="18"/>
        <v>223.02983766717628</v>
      </c>
      <c r="AR15" s="3">
        <f t="shared" si="18"/>
        <v>220.79953929050453</v>
      </c>
      <c r="AS15" s="3">
        <f t="shared" si="18"/>
        <v>218.59154389759948</v>
      </c>
      <c r="AT15" s="3">
        <f t="shared" si="18"/>
        <v>216.40562845862348</v>
      </c>
      <c r="AU15" s="3">
        <f t="shared" si="18"/>
        <v>214.24157217403726</v>
      </c>
    </row>
    <row r="16" spans="1:47" s="5" customFormat="1" ht="13" x14ac:dyDescent="0.3">
      <c r="B16" s="5" t="s">
        <v>20</v>
      </c>
      <c r="C16" s="6"/>
      <c r="D16" s="6"/>
      <c r="E16" s="6"/>
      <c r="F16" s="6">
        <f>SUM(F3:F15)</f>
        <v>665.51699999999994</v>
      </c>
      <c r="G16" s="6">
        <f>SUM(G3:G15)</f>
        <v>607.58100000000002</v>
      </c>
      <c r="H16" s="6">
        <f>SUM(H3:H15)</f>
        <v>751.81100000000004</v>
      </c>
      <c r="I16" s="6">
        <f>SUM(I3:I15)</f>
        <v>838.11500000000001</v>
      </c>
      <c r="J16" s="6">
        <f>SUM(J3:J15)</f>
        <v>896.73099999999999</v>
      </c>
      <c r="K16" s="6">
        <f>SUM(K3:K15)</f>
        <v>813.721</v>
      </c>
      <c r="L16" s="6">
        <f>SUM(L3:L15)</f>
        <v>932.87800000000004</v>
      </c>
      <c r="M16" s="6">
        <f>SUM(M3:M15)</f>
        <v>940.65200000000004</v>
      </c>
      <c r="N16" s="6">
        <f>SUM(N3:N15)</f>
        <v>972.12299999999993</v>
      </c>
      <c r="O16" s="6">
        <f>SUM(O3:O15)</f>
        <v>892.81200000000001</v>
      </c>
      <c r="P16" s="6">
        <f>SUM(P3:P15)</f>
        <v>957.31699999999989</v>
      </c>
      <c r="Q16" s="6">
        <f>SUM(Q3:Q15)</f>
        <v>972.14</v>
      </c>
      <c r="R16" s="6">
        <f>SUM(R3:R15)</f>
        <v>1011.9349999999999</v>
      </c>
      <c r="S16" s="6">
        <f>SUM(S3:S15)</f>
        <v>901.98300000000017</v>
      </c>
      <c r="T16" s="6">
        <f>SUM(T3:T15)</f>
        <v>1023.8250000000002</v>
      </c>
      <c r="U16" s="6">
        <f>SUM(U3:U15)</f>
        <v>994.20630000000028</v>
      </c>
      <c r="V16" s="6">
        <f>SUM(V3:V15)</f>
        <v>1088.173</v>
      </c>
      <c r="W16" s="6">
        <f>SUM(W3:W15)</f>
        <v>897.84100000000012</v>
      </c>
      <c r="X16" s="6">
        <f>SUM(X3:X15)</f>
        <v>1056.2663500000001</v>
      </c>
      <c r="Y16" s="6">
        <f>SUM(Y3:Y15)</f>
        <v>1027.5001200000002</v>
      </c>
      <c r="Z16" s="6">
        <f>SUM(Z3:Z15)</f>
        <v>1141.3376000000001</v>
      </c>
      <c r="AB16" s="6">
        <v>1477.261</v>
      </c>
      <c r="AC16" s="6">
        <v>1601.3989999999999</v>
      </c>
      <c r="AD16" s="6">
        <f>SUM(AD3:AD15)</f>
        <v>1890.9220000000003</v>
      </c>
      <c r="AE16" s="6">
        <f>SUM(AE3:AE15)</f>
        <v>2161.761</v>
      </c>
      <c r="AF16" s="6">
        <f>SUM(AF3:AF15)</f>
        <v>2363.567</v>
      </c>
      <c r="AG16" s="6">
        <f>SUM(AG3:AG15)</f>
        <v>3094.2379999999998</v>
      </c>
      <c r="AH16" s="6">
        <f>SUM(AH3:AH15)</f>
        <v>3659.3739999999998</v>
      </c>
      <c r="AI16" s="6">
        <f>SUM(AI3:AI15)</f>
        <v>3834.2040000000002</v>
      </c>
      <c r="AJ16" s="6">
        <f>SUM(AJ3:AJ15)</f>
        <v>4008.1872999999996</v>
      </c>
      <c r="AK16" s="6">
        <f>SUM(AK3:AK15)</f>
        <v>4122.9450700000007</v>
      </c>
      <c r="AL16" s="6">
        <f>SUM(AL3:AL15)</f>
        <v>4193.1386762900001</v>
      </c>
      <c r="AM16" s="6">
        <f>SUM(AM3:AM15)</f>
        <v>4233.9220421003001</v>
      </c>
      <c r="AN16" s="6">
        <f>SUM(AN3:AN15)</f>
        <v>3934.9656123744594</v>
      </c>
      <c r="AO16" s="6">
        <f>SUM(AO3:AO15)</f>
        <v>3725.4909119669342</v>
      </c>
      <c r="AP16" s="6">
        <f>SUM(AP3:AP15)</f>
        <v>3594.590504075321</v>
      </c>
      <c r="AQ16" s="6">
        <f>SUM(AQ3:AQ15)</f>
        <v>3518.029121060496</v>
      </c>
      <c r="AR16" s="6">
        <f>SUM(AR3:AR15)</f>
        <v>3279.2966015623811</v>
      </c>
      <c r="AS16" s="6">
        <f>SUM(AS3:AS15)</f>
        <v>2389.9345585962028</v>
      </c>
      <c r="AT16" s="6">
        <f>SUM(AT3:AT15)</f>
        <v>1686.1899514397483</v>
      </c>
      <c r="AU16" s="6">
        <f>SUM(AU3:AU15)</f>
        <v>1530.252922727831</v>
      </c>
    </row>
    <row r="17" spans="2:110" s="3" customFormat="1" x14ac:dyDescent="0.25">
      <c r="B17" s="3" t="s">
        <v>30</v>
      </c>
      <c r="C17" s="4"/>
      <c r="D17" s="4"/>
      <c r="E17" s="4"/>
      <c r="F17" s="4">
        <v>48.298000000000002</v>
      </c>
      <c r="G17" s="4">
        <v>38.192999999999998</v>
      </c>
      <c r="H17" s="4">
        <v>50.225999999999999</v>
      </c>
      <c r="I17" s="4">
        <v>58.872</v>
      </c>
      <c r="J17" s="4">
        <v>58.11</v>
      </c>
      <c r="K17" s="4">
        <v>48.206000000000003</v>
      </c>
      <c r="L17" s="4">
        <v>53.244999999999997</v>
      </c>
      <c r="M17" s="4">
        <v>57.103000000000002</v>
      </c>
      <c r="N17" s="3">
        <v>93.385999999999996</v>
      </c>
      <c r="O17" s="3">
        <v>64.727999999999994</v>
      </c>
      <c r="P17" s="3">
        <v>97.537000000000006</v>
      </c>
      <c r="Q17" s="3">
        <v>102.15300000000001</v>
      </c>
      <c r="R17" s="3">
        <v>71.238</v>
      </c>
      <c r="S17" s="3">
        <v>64.147999999999996</v>
      </c>
      <c r="T17" s="3">
        <v>72.412999999999997</v>
      </c>
      <c r="U17" s="3">
        <f>+U16-U18</f>
        <v>69.594440999999961</v>
      </c>
      <c r="V17" s="3">
        <v>86.492000000000004</v>
      </c>
      <c r="W17" s="3">
        <v>69.691000000000003</v>
      </c>
      <c r="X17" s="3">
        <f>+X16-X18</f>
        <v>105.62663499999996</v>
      </c>
      <c r="Y17" s="3">
        <f>+Y16-Y18</f>
        <v>102.75001199999997</v>
      </c>
      <c r="Z17" s="3">
        <f>+Z16-Z18</f>
        <v>114.13375999999994</v>
      </c>
      <c r="AD17" s="3">
        <v>121.544</v>
      </c>
      <c r="AE17" s="3">
        <v>127.93</v>
      </c>
      <c r="AF17" s="3">
        <v>148.917</v>
      </c>
      <c r="AG17" s="3">
        <f t="shared" si="4"/>
        <v>205.40100000000001</v>
      </c>
      <c r="AH17" s="3">
        <f t="shared" si="14"/>
        <v>251.94</v>
      </c>
      <c r="AI17" s="3">
        <f t="shared" si="5"/>
        <v>335.65600000000001</v>
      </c>
      <c r="AJ17" s="3">
        <f>SUM(S17:V17)</f>
        <v>292.64744099999996</v>
      </c>
      <c r="AK17" s="3">
        <f t="shared" ref="AK17:AU17" si="19">+AK16*0.06</f>
        <v>247.37670420000003</v>
      </c>
      <c r="AL17" s="3">
        <f t="shared" si="19"/>
        <v>251.5883205774</v>
      </c>
      <c r="AM17" s="3">
        <f t="shared" si="19"/>
        <v>254.03532252601801</v>
      </c>
      <c r="AN17" s="3">
        <f t="shared" si="19"/>
        <v>236.09793674246757</v>
      </c>
      <c r="AO17" s="3">
        <f t="shared" si="19"/>
        <v>223.52945471801604</v>
      </c>
      <c r="AP17" s="3">
        <f t="shared" si="19"/>
        <v>215.67543024451925</v>
      </c>
      <c r="AQ17" s="3">
        <f t="shared" si="19"/>
        <v>211.08174726362975</v>
      </c>
      <c r="AR17" s="3">
        <f t="shared" si="19"/>
        <v>196.75779609374285</v>
      </c>
      <c r="AS17" s="3">
        <f t="shared" si="19"/>
        <v>143.39607351577217</v>
      </c>
      <c r="AT17" s="3">
        <f t="shared" si="19"/>
        <v>101.17139708638489</v>
      </c>
      <c r="AU17" s="3">
        <f t="shared" si="19"/>
        <v>91.815175363669852</v>
      </c>
    </row>
    <row r="18" spans="2:110" s="3" customFormat="1" x14ac:dyDescent="0.25">
      <c r="B18" s="3" t="s">
        <v>31</v>
      </c>
      <c r="C18" s="4"/>
      <c r="D18" s="4"/>
      <c r="E18" s="4"/>
      <c r="F18" s="4">
        <f t="shared" ref="F18:M18" si="20">+F16-F17</f>
        <v>617.21899999999994</v>
      </c>
      <c r="G18" s="4">
        <f t="shared" si="20"/>
        <v>569.38800000000003</v>
      </c>
      <c r="H18" s="4">
        <f t="shared" si="20"/>
        <v>701.58500000000004</v>
      </c>
      <c r="I18" s="4">
        <f t="shared" si="20"/>
        <v>779.24300000000005</v>
      </c>
      <c r="J18" s="4">
        <f t="shared" si="20"/>
        <v>838.62099999999998</v>
      </c>
      <c r="K18" s="4">
        <f t="shared" si="20"/>
        <v>765.51499999999999</v>
      </c>
      <c r="L18" s="4">
        <f t="shared" si="20"/>
        <v>879.63300000000004</v>
      </c>
      <c r="M18" s="4">
        <f t="shared" si="20"/>
        <v>883.54900000000009</v>
      </c>
      <c r="N18" s="4">
        <f t="shared" ref="N18:R18" si="21">+N16-N17</f>
        <v>878.73699999999997</v>
      </c>
      <c r="O18" s="4">
        <f>+O16-O17</f>
        <v>828.08400000000006</v>
      </c>
      <c r="P18" s="4">
        <f t="shared" si="21"/>
        <v>859.77999999999986</v>
      </c>
      <c r="Q18" s="4">
        <f t="shared" si="21"/>
        <v>869.98699999999997</v>
      </c>
      <c r="R18" s="4">
        <f t="shared" si="21"/>
        <v>940.69699999999989</v>
      </c>
      <c r="S18" s="4">
        <f>+S16-S17</f>
        <v>837.83500000000015</v>
      </c>
      <c r="T18" s="4">
        <f>+T16-T17</f>
        <v>951.41200000000015</v>
      </c>
      <c r="U18" s="4">
        <f>+U16*0.93</f>
        <v>924.61185900000032</v>
      </c>
      <c r="V18" s="4">
        <f>+V16-V17</f>
        <v>1001.681</v>
      </c>
      <c r="W18" s="4">
        <f>+W16-W17</f>
        <v>828.15000000000009</v>
      </c>
      <c r="X18" s="4">
        <f>+X16*0.9</f>
        <v>950.63971500000014</v>
      </c>
      <c r="Y18" s="4">
        <f>+Y16*0.9</f>
        <v>924.75010800000018</v>
      </c>
      <c r="Z18" s="4">
        <f>+Z16*0.9</f>
        <v>1027.2038400000001</v>
      </c>
      <c r="AD18" s="3">
        <f t="shared" ref="AD18:AJ18" si="22">+AD16-AD17</f>
        <v>1769.3780000000002</v>
      </c>
      <c r="AE18" s="3">
        <f t="shared" si="22"/>
        <v>2033.8309999999999</v>
      </c>
      <c r="AF18" s="3">
        <f t="shared" si="22"/>
        <v>2214.65</v>
      </c>
      <c r="AG18" s="3">
        <f t="shared" si="22"/>
        <v>2888.837</v>
      </c>
      <c r="AH18" s="3">
        <f t="shared" si="22"/>
        <v>3407.4339999999997</v>
      </c>
      <c r="AI18" s="3">
        <f t="shared" si="22"/>
        <v>3498.5480000000002</v>
      </c>
      <c r="AJ18" s="3">
        <f>+AJ16-AJ17</f>
        <v>3715.5398589999995</v>
      </c>
      <c r="AK18" s="3">
        <f t="shared" ref="AK18:AU18" si="23">+AK16-AK17</f>
        <v>3875.5683658000007</v>
      </c>
      <c r="AL18" s="3">
        <f t="shared" si="23"/>
        <v>3941.5503557126003</v>
      </c>
      <c r="AM18" s="3">
        <f t="shared" si="23"/>
        <v>3979.8867195742823</v>
      </c>
      <c r="AN18" s="3">
        <f t="shared" si="23"/>
        <v>3698.8676756319919</v>
      </c>
      <c r="AO18" s="3">
        <f t="shared" si="23"/>
        <v>3501.9614572489181</v>
      </c>
      <c r="AP18" s="3">
        <f t="shared" si="23"/>
        <v>3378.9150738308017</v>
      </c>
      <c r="AQ18" s="3">
        <f t="shared" si="23"/>
        <v>3306.947373796866</v>
      </c>
      <c r="AR18" s="3">
        <f t="shared" si="23"/>
        <v>3082.5388054686382</v>
      </c>
      <c r="AS18" s="3">
        <f t="shared" si="23"/>
        <v>2246.5384850804307</v>
      </c>
      <c r="AT18" s="3">
        <f t="shared" si="23"/>
        <v>1585.0185543533635</v>
      </c>
      <c r="AU18" s="3">
        <f t="shared" si="23"/>
        <v>1438.4377473641612</v>
      </c>
    </row>
    <row r="19" spans="2:110" s="3" customFormat="1" x14ac:dyDescent="0.25">
      <c r="B19" s="3" t="s">
        <v>32</v>
      </c>
      <c r="C19" s="4"/>
      <c r="D19" s="4"/>
      <c r="E19" s="4"/>
      <c r="F19" s="4">
        <v>225.37799999999999</v>
      </c>
      <c r="G19" s="4">
        <v>228.4</v>
      </c>
      <c r="H19" s="4">
        <v>269.44</v>
      </c>
      <c r="I19" s="4">
        <v>278.55200000000002</v>
      </c>
      <c r="J19" s="4">
        <v>328.65600000000001</v>
      </c>
      <c r="K19" s="4">
        <v>258.70100000000002</v>
      </c>
      <c r="L19" s="4">
        <v>281.49299999999999</v>
      </c>
      <c r="M19" s="4">
        <v>274.74700000000001</v>
      </c>
      <c r="N19" s="4">
        <v>319.76299999999998</v>
      </c>
      <c r="O19" s="4">
        <v>260.51499999999999</v>
      </c>
      <c r="P19" s="4">
        <v>276.87099999999998</v>
      </c>
      <c r="Q19" s="4">
        <v>308.3</v>
      </c>
      <c r="R19" s="4">
        <v>300.52</v>
      </c>
      <c r="S19" s="4">
        <v>311.49900000000002</v>
      </c>
      <c r="T19" s="4">
        <v>303.38600000000002</v>
      </c>
      <c r="U19" s="4">
        <f>+Q19</f>
        <v>308.3</v>
      </c>
      <c r="V19" s="4">
        <v>323.16699999999997</v>
      </c>
      <c r="W19" s="4">
        <v>472.339</v>
      </c>
      <c r="X19" s="4">
        <f>+T19</f>
        <v>303.38600000000002</v>
      </c>
      <c r="Y19" s="4">
        <f>+U19</f>
        <v>308.3</v>
      </c>
      <c r="Z19" s="4">
        <f>+V19</f>
        <v>323.16699999999997</v>
      </c>
      <c r="AD19" s="3">
        <v>683.53</v>
      </c>
      <c r="AE19" s="3">
        <v>736.94200000000001</v>
      </c>
      <c r="AF19" s="3">
        <v>854.23299999999995</v>
      </c>
      <c r="AG19" s="3">
        <f t="shared" si="4"/>
        <v>1105.048</v>
      </c>
      <c r="AH19" s="3">
        <f t="shared" si="14"/>
        <v>1134.704</v>
      </c>
      <c r="AI19" s="3">
        <f t="shared" si="5"/>
        <v>1146.2059999999999</v>
      </c>
      <c r="AJ19" s="3">
        <f>SUM(S19:V19)</f>
        <v>1246.3519999999999</v>
      </c>
      <c r="AK19" s="3">
        <f t="shared" ref="AK19:AU19" si="24">+AK16*0.25</f>
        <v>1030.7362675000002</v>
      </c>
      <c r="AL19" s="3">
        <f t="shared" si="24"/>
        <v>1048.2846690725</v>
      </c>
      <c r="AM19" s="3">
        <f t="shared" si="24"/>
        <v>1058.480510525075</v>
      </c>
      <c r="AN19" s="3">
        <f t="shared" si="24"/>
        <v>983.74140309361485</v>
      </c>
      <c r="AO19" s="3">
        <f t="shared" si="24"/>
        <v>931.37272799173354</v>
      </c>
      <c r="AP19" s="3">
        <f t="shared" si="24"/>
        <v>898.64762601883024</v>
      </c>
      <c r="AQ19" s="3">
        <f t="shared" si="24"/>
        <v>879.507280265124</v>
      </c>
      <c r="AR19" s="3">
        <f t="shared" si="24"/>
        <v>819.82415039059526</v>
      </c>
      <c r="AS19" s="3">
        <f t="shared" si="24"/>
        <v>597.4836396490507</v>
      </c>
      <c r="AT19" s="3">
        <f t="shared" si="24"/>
        <v>421.54748785993706</v>
      </c>
      <c r="AU19" s="3">
        <f t="shared" si="24"/>
        <v>382.56323068195775</v>
      </c>
    </row>
    <row r="20" spans="2:110" s="3" customFormat="1" x14ac:dyDescent="0.25">
      <c r="B20" s="3" t="s">
        <v>33</v>
      </c>
      <c r="C20" s="4"/>
      <c r="D20" s="4"/>
      <c r="E20" s="4"/>
      <c r="F20" s="4">
        <v>83.968000000000004</v>
      </c>
      <c r="G20" s="4">
        <v>67.930000000000007</v>
      </c>
      <c r="H20" s="4">
        <v>118.52500000000001</v>
      </c>
      <c r="I20" s="4">
        <v>124.47</v>
      </c>
      <c r="J20" s="4">
        <v>140.101</v>
      </c>
      <c r="K20" s="4">
        <v>116.459</v>
      </c>
      <c r="L20" s="4">
        <v>123.71899999999999</v>
      </c>
      <c r="M20" s="4">
        <v>120.80200000000001</v>
      </c>
      <c r="N20" s="4">
        <v>160.10499999999999</v>
      </c>
      <c r="O20" s="4">
        <v>173.91800000000001</v>
      </c>
      <c r="P20" s="4">
        <v>192.01900000000001</v>
      </c>
      <c r="Q20" s="3">
        <v>234.40199999999999</v>
      </c>
      <c r="R20" s="3">
        <v>201.107</v>
      </c>
      <c r="S20" s="3">
        <v>204.01499999999999</v>
      </c>
      <c r="T20" s="3">
        <v>203.46299999999999</v>
      </c>
      <c r="U20" s="3">
        <f>+Q20</f>
        <v>234.40199999999999</v>
      </c>
      <c r="V20" s="3">
        <v>220.857</v>
      </c>
      <c r="W20" s="3">
        <v>159.72200000000001</v>
      </c>
      <c r="AD20" s="3">
        <v>226.61600000000001</v>
      </c>
      <c r="AE20" s="3">
        <v>299.726</v>
      </c>
      <c r="AF20" s="3">
        <v>333.375</v>
      </c>
      <c r="AG20" s="3">
        <f t="shared" si="4"/>
        <v>451.02600000000001</v>
      </c>
      <c r="AH20" s="3">
        <f t="shared" si="14"/>
        <v>521.08500000000004</v>
      </c>
      <c r="AJ20" s="3">
        <f>SUM(S20:V20)</f>
        <v>862.73699999999985</v>
      </c>
    </row>
    <row r="21" spans="2:110" s="3" customFormat="1" x14ac:dyDescent="0.25">
      <c r="B21" s="3" t="s">
        <v>34</v>
      </c>
      <c r="C21" s="4"/>
      <c r="D21" s="4"/>
      <c r="E21" s="4"/>
      <c r="F21" s="4">
        <f>+F19+F20</f>
        <v>309.346</v>
      </c>
      <c r="G21" s="4">
        <f>+G19+G20</f>
        <v>296.33000000000004</v>
      </c>
      <c r="H21" s="4">
        <f>+H19+H20</f>
        <v>387.96500000000003</v>
      </c>
      <c r="I21" s="4">
        <f>+I19+I20</f>
        <v>403.02200000000005</v>
      </c>
      <c r="J21" s="4">
        <f t="shared" ref="J21:M21" si="25">+J19+J20</f>
        <v>468.75700000000001</v>
      </c>
      <c r="K21" s="4">
        <f t="shared" si="25"/>
        <v>375.16</v>
      </c>
      <c r="L21" s="4">
        <f t="shared" si="25"/>
        <v>405.21199999999999</v>
      </c>
      <c r="M21" s="4">
        <f t="shared" si="25"/>
        <v>395.54900000000004</v>
      </c>
      <c r="N21" s="4">
        <f t="shared" ref="N21" si="26">+N19+N20</f>
        <v>479.86799999999994</v>
      </c>
      <c r="O21" s="4">
        <f t="shared" ref="O21" si="27">+O19+O20</f>
        <v>434.43299999999999</v>
      </c>
      <c r="P21" s="4">
        <f t="shared" ref="P21" si="28">+P19+P20</f>
        <v>468.89</v>
      </c>
      <c r="Q21" s="4">
        <f t="shared" ref="Q21" si="29">+Q19+Q20</f>
        <v>542.702</v>
      </c>
      <c r="R21" s="4">
        <f t="shared" ref="R21:S21" si="30">+R19+R20</f>
        <v>501.62699999999995</v>
      </c>
      <c r="S21" s="4">
        <f t="shared" si="30"/>
        <v>515.51400000000001</v>
      </c>
      <c r="T21" s="4">
        <f>+T19+T20</f>
        <v>506.84900000000005</v>
      </c>
      <c r="U21" s="4">
        <f t="shared" ref="U21:Z21" si="31">+U19+U20</f>
        <v>542.702</v>
      </c>
      <c r="V21" s="4">
        <f t="shared" si="31"/>
        <v>544.024</v>
      </c>
      <c r="W21" s="4">
        <f t="shared" si="31"/>
        <v>632.06100000000004</v>
      </c>
      <c r="X21" s="4">
        <f t="shared" si="31"/>
        <v>303.38600000000002</v>
      </c>
      <c r="Y21" s="4">
        <f t="shared" si="31"/>
        <v>308.3</v>
      </c>
      <c r="Z21" s="4">
        <f t="shared" si="31"/>
        <v>323.16699999999997</v>
      </c>
      <c r="AD21" s="3">
        <f>+AD20+AD19</f>
        <v>910.14599999999996</v>
      </c>
      <c r="AE21" s="3">
        <f t="shared" ref="AE21:AG21" si="32">+AE20+AE19</f>
        <v>1036.6680000000001</v>
      </c>
      <c r="AF21" s="3">
        <f t="shared" si="32"/>
        <v>1187.6079999999999</v>
      </c>
      <c r="AG21" s="3">
        <f t="shared" si="32"/>
        <v>1556.0740000000001</v>
      </c>
      <c r="AH21" s="4">
        <f t="shared" ref="AH21:AI21" si="33">+AH19+AH20</f>
        <v>1655.789</v>
      </c>
      <c r="AI21" s="4">
        <f t="shared" si="33"/>
        <v>1146.2059999999999</v>
      </c>
      <c r="AJ21" s="4">
        <f>+AJ19+AJ20</f>
        <v>2109.0889999999999</v>
      </c>
      <c r="AK21" s="4">
        <f t="shared" ref="AK21" si="34">+AK19+AK20</f>
        <v>1030.7362675000002</v>
      </c>
      <c r="AL21" s="4">
        <f t="shared" ref="AL21" si="35">+AL19+AL20</f>
        <v>1048.2846690725</v>
      </c>
      <c r="AM21" s="4">
        <f t="shared" ref="AM21" si="36">+AM19+AM20</f>
        <v>1058.480510525075</v>
      </c>
      <c r="AN21" s="4">
        <f t="shared" ref="AN21" si="37">+AN19+AN20</f>
        <v>983.74140309361485</v>
      </c>
      <c r="AO21" s="4">
        <f t="shared" ref="AO21" si="38">+AO19+AO20</f>
        <v>931.37272799173354</v>
      </c>
      <c r="AP21" s="4">
        <f t="shared" ref="AP21" si="39">+AP19+AP20</f>
        <v>898.64762601883024</v>
      </c>
      <c r="AQ21" s="4">
        <f>+AQ19+AQ20</f>
        <v>879.507280265124</v>
      </c>
      <c r="AR21" s="4">
        <f t="shared" ref="AR21" si="40">+AR19+AR20</f>
        <v>819.82415039059526</v>
      </c>
      <c r="AS21" s="4">
        <f t="shared" ref="AS21" si="41">+AS19+AS20</f>
        <v>597.4836396490507</v>
      </c>
      <c r="AT21" s="4">
        <f t="shared" ref="AT21" si="42">+AT19+AT20</f>
        <v>421.54748785993706</v>
      </c>
      <c r="AU21" s="4">
        <f t="shared" ref="AU21" si="43">+AU19+AU20</f>
        <v>382.56323068195775</v>
      </c>
    </row>
    <row r="22" spans="2:110" s="3" customFormat="1" x14ac:dyDescent="0.25">
      <c r="B22" s="3" t="s">
        <v>35</v>
      </c>
      <c r="C22" s="4"/>
      <c r="D22" s="4"/>
      <c r="E22" s="4"/>
      <c r="F22" s="4">
        <f>+F18-F21</f>
        <v>307.87299999999993</v>
      </c>
      <c r="G22" s="4">
        <f>+G18-G21</f>
        <v>273.05799999999999</v>
      </c>
      <c r="H22" s="4">
        <f>+H18-H21</f>
        <v>313.62</v>
      </c>
      <c r="I22" s="4">
        <f>+I18-I21</f>
        <v>376.221</v>
      </c>
      <c r="J22" s="4">
        <f t="shared" ref="J22:M22" si="44">+J18-J21</f>
        <v>369.86399999999998</v>
      </c>
      <c r="K22" s="4">
        <f t="shared" si="44"/>
        <v>390.35499999999996</v>
      </c>
      <c r="L22" s="4">
        <f t="shared" si="44"/>
        <v>474.42100000000005</v>
      </c>
      <c r="M22" s="4">
        <f t="shared" si="44"/>
        <v>488.00000000000006</v>
      </c>
      <c r="N22" s="4">
        <f t="shared" ref="N22" si="45">+N18-N21</f>
        <v>398.86900000000003</v>
      </c>
      <c r="O22" s="4">
        <f t="shared" ref="O22" si="46">+O18-O21</f>
        <v>393.65100000000007</v>
      </c>
      <c r="P22" s="4">
        <f t="shared" ref="P22" si="47">+P18-P21</f>
        <v>390.88999999999987</v>
      </c>
      <c r="Q22" s="4">
        <f t="shared" ref="Q22" si="48">+Q18-Q21</f>
        <v>327.28499999999997</v>
      </c>
      <c r="R22" s="4">
        <f t="shared" ref="R22:S22" si="49">+R18-R21</f>
        <v>439.06999999999994</v>
      </c>
      <c r="S22" s="4">
        <f t="shared" si="49"/>
        <v>322.32100000000014</v>
      </c>
      <c r="T22" s="4">
        <f>+T18-T21</f>
        <v>444.5630000000001</v>
      </c>
      <c r="U22" s="4">
        <f t="shared" ref="U22:Z22" si="50">+U18-U21</f>
        <v>381.90985900000032</v>
      </c>
      <c r="V22" s="4">
        <f t="shared" si="50"/>
        <v>457.65700000000004</v>
      </c>
      <c r="W22" s="4">
        <f t="shared" si="50"/>
        <v>196.08900000000006</v>
      </c>
      <c r="X22" s="4">
        <f t="shared" si="50"/>
        <v>647.25371500000006</v>
      </c>
      <c r="Y22" s="4">
        <f t="shared" si="50"/>
        <v>616.45010800000023</v>
      </c>
      <c r="Z22" s="4">
        <f t="shared" si="50"/>
        <v>704.03684000000021</v>
      </c>
      <c r="AD22" s="4">
        <f t="shared" ref="AD22:AF22" si="51">+AD18-AD21</f>
        <v>859.2320000000002</v>
      </c>
      <c r="AE22" s="4">
        <f t="shared" si="51"/>
        <v>997.16299999999978</v>
      </c>
      <c r="AF22" s="4">
        <f t="shared" si="51"/>
        <v>1027.0420000000001</v>
      </c>
      <c r="AG22" s="4">
        <f t="shared" ref="AG22" si="52">+AG18-AG21</f>
        <v>1332.7629999999999</v>
      </c>
      <c r="AH22" s="4">
        <f t="shared" ref="AH22:AI22" si="53">+AH18-AH21</f>
        <v>1751.6449999999998</v>
      </c>
      <c r="AI22" s="4">
        <f t="shared" si="53"/>
        <v>2352.3420000000006</v>
      </c>
      <c r="AJ22" s="4">
        <f>+AJ18-AJ21</f>
        <v>1606.4508589999996</v>
      </c>
      <c r="AK22" s="4">
        <f t="shared" ref="AK22" si="54">+AK18-AK21</f>
        <v>2844.8320983000003</v>
      </c>
      <c r="AL22" s="4">
        <f t="shared" ref="AL22" si="55">+AL18-AL21</f>
        <v>2893.2656866401003</v>
      </c>
      <c r="AM22" s="4">
        <f t="shared" ref="AM22" si="56">+AM18-AM21</f>
        <v>2921.4062090492071</v>
      </c>
      <c r="AN22" s="4">
        <f t="shared" ref="AN22" si="57">+AN18-AN21</f>
        <v>2715.1262725383772</v>
      </c>
      <c r="AO22" s="4">
        <f t="shared" ref="AO22" si="58">+AO18-AO21</f>
        <v>2570.5887292571847</v>
      </c>
      <c r="AP22" s="4">
        <f t="shared" ref="AP22" si="59">+AP18-AP21</f>
        <v>2480.2674478119716</v>
      </c>
      <c r="AQ22" s="4">
        <f>+AQ18-AQ21</f>
        <v>2427.4400935317421</v>
      </c>
      <c r="AR22" s="4">
        <f t="shared" ref="AR22" si="60">+AR18-AR21</f>
        <v>2262.7146550780431</v>
      </c>
      <c r="AS22" s="4">
        <f t="shared" ref="AS22" si="61">+AS18-AS21</f>
        <v>1649.05484543138</v>
      </c>
      <c r="AT22" s="4">
        <f t="shared" ref="AT22" si="62">+AT18-AT21</f>
        <v>1163.4710664934264</v>
      </c>
      <c r="AU22" s="4">
        <f t="shared" ref="AU22" si="63">+AU18-AU21</f>
        <v>1055.8745166822034</v>
      </c>
    </row>
    <row r="23" spans="2:110" s="3" customFormat="1" x14ac:dyDescent="0.25">
      <c r="B23" s="3" t="s">
        <v>36</v>
      </c>
      <c r="C23" s="4"/>
      <c r="D23" s="4"/>
      <c r="E23" s="4"/>
      <c r="F23" s="4">
        <v>-11.526999999999999</v>
      </c>
      <c r="G23" s="4">
        <v>-11.688000000000001</v>
      </c>
      <c r="H23" s="4">
        <v>-47.097999999999999</v>
      </c>
      <c r="I23" s="4">
        <v>-65.326999999999998</v>
      </c>
      <c r="J23" s="4">
        <v>-61.997999999999998</v>
      </c>
      <c r="K23" s="4">
        <v>-58.515999999999998</v>
      </c>
      <c r="L23" s="4">
        <v>-57.616999999999997</v>
      </c>
      <c r="M23" s="4">
        <v>-65.981999999999999</v>
      </c>
      <c r="N23" s="4">
        <v>-74.125</v>
      </c>
      <c r="O23" s="4">
        <v>-74.147000000000006</v>
      </c>
      <c r="P23" s="4">
        <v>-73.47</v>
      </c>
      <c r="Q23" s="3">
        <v>-71.497</v>
      </c>
      <c r="R23" s="3">
        <v>-70.323999999999998</v>
      </c>
      <c r="S23" s="3">
        <v>-66.116</v>
      </c>
      <c r="T23" s="3">
        <v>-62.023000000000003</v>
      </c>
      <c r="U23" s="3">
        <f>+T23+2</f>
        <v>-60.023000000000003</v>
      </c>
      <c r="V23" s="3">
        <v>-51.256</v>
      </c>
      <c r="W23" s="3">
        <v>-53.706000000000003</v>
      </c>
      <c r="X23" s="3">
        <f>+W23</f>
        <v>-53.706000000000003</v>
      </c>
      <c r="Y23" s="3">
        <f>+X23</f>
        <v>-53.706000000000003</v>
      </c>
      <c r="Z23" s="3">
        <f>+Y23</f>
        <v>-53.706000000000003</v>
      </c>
      <c r="AD23" s="3">
        <v>-78.5</v>
      </c>
      <c r="AE23" s="3">
        <v>-72.260999999999996</v>
      </c>
      <c r="AF23" s="3">
        <v>-99.706999999999994</v>
      </c>
      <c r="AG23" s="3">
        <f t="shared" ref="AG23:AG25" si="64">SUM(G23:J23)</f>
        <v>-186.11099999999999</v>
      </c>
      <c r="AH23" s="3">
        <f t="shared" ref="AH23:AH25" si="65">SUM(K23:N23)</f>
        <v>-256.24</v>
      </c>
      <c r="AI23" s="3">
        <f t="shared" ref="AI23:AI25" si="66">SUM(O23:R23)</f>
        <v>-289.43800000000005</v>
      </c>
      <c r="AJ23" s="3">
        <f>SUM(S23:V23)</f>
        <v>-239.41800000000001</v>
      </c>
      <c r="AK23" s="3">
        <f>+AJ37*0.05</f>
        <v>0</v>
      </c>
      <c r="AL23" s="3">
        <f t="shared" ref="AL23:AU23" si="67">+AK37*$AX$33</f>
        <v>-23.391492065999987</v>
      </c>
      <c r="AM23" s="3">
        <f t="shared" si="67"/>
        <v>28.26624343633382</v>
      </c>
      <c r="AN23" s="3">
        <f t="shared" si="67"/>
        <v>81.360347581073555</v>
      </c>
      <c r="AO23" s="3">
        <f t="shared" si="67"/>
        <v>131.69710674322366</v>
      </c>
      <c r="AP23" s="3">
        <f t="shared" si="67"/>
        <v>180.33825179123102</v>
      </c>
      <c r="AQ23" s="3">
        <f>+AP37*$AX$33</f>
        <v>228.22915438408864</v>
      </c>
      <c r="AR23" s="3">
        <f t="shared" si="67"/>
        <v>276.03120084657365</v>
      </c>
      <c r="AS23" s="3">
        <f t="shared" si="67"/>
        <v>321.7286262532167</v>
      </c>
      <c r="AT23" s="3">
        <f t="shared" si="67"/>
        <v>357.20272874353947</v>
      </c>
      <c r="AU23" s="3">
        <f t="shared" si="67"/>
        <v>384.57485705780482</v>
      </c>
    </row>
    <row r="24" spans="2:110" s="3" customFormat="1" x14ac:dyDescent="0.25">
      <c r="B24" s="3" t="s">
        <v>37</v>
      </c>
      <c r="C24" s="4"/>
      <c r="D24" s="4"/>
      <c r="E24" s="4"/>
      <c r="F24" s="4">
        <f t="shared" ref="F24:L24" si="68">+F22+F23</f>
        <v>296.34599999999995</v>
      </c>
      <c r="G24" s="4">
        <f t="shared" si="68"/>
        <v>261.37</v>
      </c>
      <c r="H24" s="4">
        <f t="shared" si="68"/>
        <v>266.52199999999999</v>
      </c>
      <c r="I24" s="4">
        <f t="shared" si="68"/>
        <v>310.89400000000001</v>
      </c>
      <c r="J24" s="4">
        <f t="shared" si="68"/>
        <v>307.86599999999999</v>
      </c>
      <c r="K24" s="4">
        <f t="shared" si="68"/>
        <v>331.83899999999994</v>
      </c>
      <c r="L24" s="4">
        <f t="shared" si="68"/>
        <v>416.80400000000003</v>
      </c>
      <c r="M24" s="4">
        <f>+M22+M23</f>
        <v>422.01800000000003</v>
      </c>
      <c r="N24" s="4">
        <f t="shared" ref="N24:Z24" si="69">+N22+N23</f>
        <v>324.74400000000003</v>
      </c>
      <c r="O24" s="4">
        <f t="shared" si="69"/>
        <v>319.50400000000008</v>
      </c>
      <c r="P24" s="4">
        <f t="shared" si="69"/>
        <v>317.41999999999985</v>
      </c>
      <c r="Q24" s="4">
        <f t="shared" si="69"/>
        <v>255.78799999999995</v>
      </c>
      <c r="R24" s="4">
        <f t="shared" si="69"/>
        <v>368.74599999999992</v>
      </c>
      <c r="S24" s="4">
        <f t="shared" si="69"/>
        <v>256.20500000000015</v>
      </c>
      <c r="T24" s="4">
        <f t="shared" si="69"/>
        <v>382.54000000000008</v>
      </c>
      <c r="U24" s="4">
        <f t="shared" si="69"/>
        <v>321.8868590000003</v>
      </c>
      <c r="V24" s="4">
        <f t="shared" si="69"/>
        <v>406.40100000000007</v>
      </c>
      <c r="W24" s="4">
        <f t="shared" si="69"/>
        <v>142.38300000000004</v>
      </c>
      <c r="X24" s="4">
        <f t="shared" si="69"/>
        <v>593.54771500000004</v>
      </c>
      <c r="Y24" s="4">
        <f t="shared" si="69"/>
        <v>562.74410800000021</v>
      </c>
      <c r="Z24" s="4">
        <f t="shared" si="69"/>
        <v>650.33084000000019</v>
      </c>
      <c r="AD24" s="4">
        <f t="shared" ref="AD24:AF24" si="70">+AD22+AD23</f>
        <v>780.7320000000002</v>
      </c>
      <c r="AE24" s="4">
        <f t="shared" si="70"/>
        <v>924.90199999999982</v>
      </c>
      <c r="AF24" s="4">
        <f t="shared" si="70"/>
        <v>927.33500000000015</v>
      </c>
      <c r="AG24" s="4">
        <f t="shared" ref="AG24:AI24" si="71">+AG22+AG23</f>
        <v>1146.652</v>
      </c>
      <c r="AH24" s="4">
        <f t="shared" si="71"/>
        <v>1495.4049999999997</v>
      </c>
      <c r="AI24" s="4">
        <f t="shared" si="71"/>
        <v>2062.9040000000005</v>
      </c>
      <c r="AJ24" s="4">
        <f>+AJ22+AJ23</f>
        <v>1367.0328589999995</v>
      </c>
      <c r="AK24" s="4">
        <f t="shared" ref="AK24" si="72">+AK22+AK23</f>
        <v>2844.8320983000003</v>
      </c>
      <c r="AL24" s="4">
        <f t="shared" ref="AL24" si="73">+AL22+AL23</f>
        <v>2869.8741945741003</v>
      </c>
      <c r="AM24" s="4">
        <f t="shared" ref="AM24" si="74">+AM22+AM23</f>
        <v>2949.6724524855408</v>
      </c>
      <c r="AN24" s="4">
        <f t="shared" ref="AN24" si="75">+AN22+AN23</f>
        <v>2796.4866201194509</v>
      </c>
      <c r="AO24" s="4">
        <f t="shared" ref="AO24" si="76">+AO22+AO23</f>
        <v>2702.2858360004084</v>
      </c>
      <c r="AP24" s="4">
        <f t="shared" ref="AP24" si="77">+AP22+AP23</f>
        <v>2660.6056996032025</v>
      </c>
      <c r="AQ24" s="4">
        <f>+AQ22+AQ23</f>
        <v>2655.669247915831</v>
      </c>
      <c r="AR24" s="4">
        <f t="shared" ref="AR24" si="78">+AR22+AR23</f>
        <v>2538.7458559246165</v>
      </c>
      <c r="AS24" s="4">
        <f t="shared" ref="AS24" si="79">+AS22+AS23</f>
        <v>1970.7834716845969</v>
      </c>
      <c r="AT24" s="4">
        <f t="shared" ref="AT24" si="80">+AT22+AT23</f>
        <v>1520.6737952369658</v>
      </c>
      <c r="AU24" s="4">
        <f t="shared" ref="AU24" si="81">+AU22+AU23</f>
        <v>1440.4493737400082</v>
      </c>
    </row>
    <row r="25" spans="2:110" s="3" customFormat="1" x14ac:dyDescent="0.25">
      <c r="B25" s="3" t="s">
        <v>38</v>
      </c>
      <c r="C25" s="4"/>
      <c r="D25" s="4"/>
      <c r="E25" s="4"/>
      <c r="F25" s="4">
        <v>29.968</v>
      </c>
      <c r="G25" s="4">
        <v>37.658999999999999</v>
      </c>
      <c r="H25" s="4">
        <v>30.262</v>
      </c>
      <c r="I25" s="4">
        <v>43.588999999999999</v>
      </c>
      <c r="J25" s="4">
        <v>37.253999999999998</v>
      </c>
      <c r="K25" s="4">
        <v>55.222999999999999</v>
      </c>
      <c r="L25" s="4">
        <v>38.387</v>
      </c>
      <c r="M25" s="4">
        <v>44.386000000000003</v>
      </c>
      <c r="N25" s="4">
        <v>0</v>
      </c>
      <c r="O25" s="4">
        <v>40.197000000000003</v>
      </c>
      <c r="P25" s="4">
        <v>24.323</v>
      </c>
      <c r="Q25" s="4">
        <v>47.176000000000002</v>
      </c>
      <c r="R25" s="4">
        <v>33.088999999999999</v>
      </c>
      <c r="S25" s="4">
        <v>64.734999999999999</v>
      </c>
      <c r="T25" s="4">
        <v>23.52</v>
      </c>
      <c r="U25" s="4">
        <f>+U24*0.1</f>
        <v>32.188685900000031</v>
      </c>
      <c r="V25" s="4">
        <v>0</v>
      </c>
      <c r="W25" s="4">
        <v>36.393999999999998</v>
      </c>
      <c r="X25" s="4">
        <f>+X24*0.1</f>
        <v>59.354771500000005</v>
      </c>
      <c r="Y25" s="4">
        <f>+Y24*0.1</f>
        <v>56.274410800000027</v>
      </c>
      <c r="Z25" s="4">
        <f>+Z24*0.1</f>
        <v>65.033084000000017</v>
      </c>
      <c r="AD25" s="3">
        <v>80.162000000000006</v>
      </c>
      <c r="AE25" s="3">
        <v>-73.153999999999996</v>
      </c>
      <c r="AF25" s="3">
        <v>33.517000000000003</v>
      </c>
      <c r="AG25" s="3">
        <f t="shared" si="64"/>
        <v>148.76399999999998</v>
      </c>
      <c r="AH25" s="3">
        <f t="shared" si="65"/>
        <v>137.99600000000001</v>
      </c>
      <c r="AI25" s="3">
        <f t="shared" si="66"/>
        <v>144.78500000000003</v>
      </c>
      <c r="AJ25" s="3">
        <f>SUM(S25:V25)</f>
        <v>120.44368590000002</v>
      </c>
      <c r="AK25" s="3">
        <f t="shared" ref="AK25:AU25" si="82">+AK24*0.1</f>
        <v>284.48320983000002</v>
      </c>
      <c r="AL25" s="3">
        <f t="shared" si="82"/>
        <v>286.98741945741006</v>
      </c>
      <c r="AM25" s="3">
        <f t="shared" si="82"/>
        <v>294.96724524855409</v>
      </c>
      <c r="AN25" s="3">
        <f t="shared" si="82"/>
        <v>279.64866201194508</v>
      </c>
      <c r="AO25" s="3">
        <f t="shared" si="82"/>
        <v>270.22858360004085</v>
      </c>
      <c r="AP25" s="3">
        <f t="shared" si="82"/>
        <v>266.06056996032027</v>
      </c>
      <c r="AQ25" s="3">
        <f>+AQ24*0.1</f>
        <v>265.56692479158312</v>
      </c>
      <c r="AR25" s="3">
        <f t="shared" si="82"/>
        <v>253.87458559246167</v>
      </c>
      <c r="AS25" s="3">
        <f t="shared" si="82"/>
        <v>197.07834716845969</v>
      </c>
      <c r="AT25" s="3">
        <f t="shared" si="82"/>
        <v>152.06737952369659</v>
      </c>
      <c r="AU25" s="3">
        <f t="shared" si="82"/>
        <v>144.04493737400082</v>
      </c>
    </row>
    <row r="26" spans="2:110" s="3" customFormat="1" x14ac:dyDescent="0.25">
      <c r="B26" s="3" t="s">
        <v>39</v>
      </c>
      <c r="C26" s="4"/>
      <c r="D26" s="4"/>
      <c r="E26" s="4"/>
      <c r="F26" s="4">
        <f t="shared" ref="F26:L26" si="83">+F24-F25</f>
        <v>266.37799999999993</v>
      </c>
      <c r="G26" s="4">
        <f t="shared" si="83"/>
        <v>223.71100000000001</v>
      </c>
      <c r="H26" s="4">
        <f t="shared" si="83"/>
        <v>236.26</v>
      </c>
      <c r="I26" s="4">
        <f t="shared" si="83"/>
        <v>267.30500000000001</v>
      </c>
      <c r="J26" s="4">
        <f t="shared" si="83"/>
        <v>270.61199999999997</v>
      </c>
      <c r="K26" s="4">
        <f t="shared" si="83"/>
        <v>276.61599999999993</v>
      </c>
      <c r="L26" s="4">
        <f t="shared" si="83"/>
        <v>378.41700000000003</v>
      </c>
      <c r="M26" s="4">
        <f>+M24-M25</f>
        <v>377.63200000000001</v>
      </c>
      <c r="N26" s="4">
        <f>+N24-N25</f>
        <v>324.74400000000003</v>
      </c>
      <c r="O26" s="4">
        <f t="shared" ref="O26:Z26" si="84">+O24-O25</f>
        <v>279.30700000000007</v>
      </c>
      <c r="P26" s="4">
        <f t="shared" si="84"/>
        <v>293.09699999999987</v>
      </c>
      <c r="Q26" s="4">
        <f t="shared" si="84"/>
        <v>208.61199999999997</v>
      </c>
      <c r="R26" s="4">
        <f t="shared" si="84"/>
        <v>335.65699999999993</v>
      </c>
      <c r="S26" s="4">
        <f t="shared" si="84"/>
        <v>191.47000000000014</v>
      </c>
      <c r="T26" s="4">
        <f t="shared" si="84"/>
        <v>359.0200000000001</v>
      </c>
      <c r="U26" s="4">
        <f t="shared" si="84"/>
        <v>289.69817310000025</v>
      </c>
      <c r="V26" s="4">
        <f t="shared" si="84"/>
        <v>406.40100000000007</v>
      </c>
      <c r="W26" s="4">
        <f t="shared" si="84"/>
        <v>105.98900000000003</v>
      </c>
      <c r="X26" s="4">
        <f t="shared" si="84"/>
        <v>534.19294350000007</v>
      </c>
      <c r="Y26" s="4">
        <f t="shared" si="84"/>
        <v>506.46969720000016</v>
      </c>
      <c r="Z26" s="4">
        <f t="shared" si="84"/>
        <v>585.29775600000016</v>
      </c>
      <c r="AD26" s="4">
        <f t="shared" ref="AD26:AF26" si="85">+AD24-AD25</f>
        <v>700.57000000000016</v>
      </c>
      <c r="AE26" s="4">
        <f t="shared" si="85"/>
        <v>998.05599999999981</v>
      </c>
      <c r="AF26" s="4">
        <f t="shared" si="85"/>
        <v>893.8180000000001</v>
      </c>
      <c r="AG26" s="4">
        <f t="shared" ref="AG26:AJ26" si="86">+AG24-AG25</f>
        <v>997.88800000000003</v>
      </c>
      <c r="AH26" s="4">
        <f t="shared" si="86"/>
        <v>1357.4089999999997</v>
      </c>
      <c r="AI26" s="4">
        <f t="shared" si="86"/>
        <v>1918.1190000000004</v>
      </c>
      <c r="AJ26" s="4">
        <f>+AJ24-AJ25</f>
        <v>1246.5891730999995</v>
      </c>
      <c r="AK26" s="4">
        <f t="shared" ref="AK26" si="87">+AK24-AK25</f>
        <v>2560.3488884700005</v>
      </c>
      <c r="AL26" s="4">
        <f t="shared" ref="AL26" si="88">+AL24-AL25</f>
        <v>2582.8867751166904</v>
      </c>
      <c r="AM26" s="4">
        <f t="shared" ref="AM26" si="89">+AM24-AM25</f>
        <v>2654.7052072369866</v>
      </c>
      <c r="AN26" s="4">
        <f t="shared" ref="AN26" si="90">+AN24-AN25</f>
        <v>2516.837958107506</v>
      </c>
      <c r="AO26" s="4">
        <f t="shared" ref="AO26" si="91">+AO24-AO25</f>
        <v>2432.0572524003674</v>
      </c>
      <c r="AP26" s="4">
        <f t="shared" ref="AP26" si="92">+AP24-AP25</f>
        <v>2394.5451296428823</v>
      </c>
      <c r="AQ26" s="4">
        <f t="shared" ref="AQ26" si="93">+AQ24-AQ25</f>
        <v>2390.102323124248</v>
      </c>
      <c r="AR26" s="4">
        <f t="shared" ref="AR26" si="94">+AR24-AR25</f>
        <v>2284.8712703321548</v>
      </c>
      <c r="AS26" s="4">
        <f t="shared" ref="AS26" si="95">+AS24-AS25</f>
        <v>1773.7051245161372</v>
      </c>
      <c r="AT26" s="4">
        <f t="shared" ref="AT26" si="96">+AT24-AT25</f>
        <v>1368.6064157132691</v>
      </c>
      <c r="AU26" s="4">
        <f t="shared" ref="AU26" si="97">+AU24-AU25</f>
        <v>1296.4044363660073</v>
      </c>
      <c r="AV26" s="3">
        <f t="shared" ref="AV26:CA26" si="98">+AU26*(1+$AX$32)</f>
        <v>1231.5842145477068</v>
      </c>
      <c r="AW26" s="3">
        <f t="shared" si="98"/>
        <v>1170.0050038203215</v>
      </c>
      <c r="AX26" s="3">
        <f t="shared" si="98"/>
        <v>1111.5047536293052</v>
      </c>
      <c r="AY26" s="3">
        <f t="shared" si="98"/>
        <v>1055.9295159478399</v>
      </c>
      <c r="AZ26" s="3">
        <f t="shared" si="98"/>
        <v>1003.1330401504479</v>
      </c>
      <c r="BA26" s="3">
        <f t="shared" si="98"/>
        <v>952.97638814292543</v>
      </c>
      <c r="BB26" s="3">
        <f t="shared" si="98"/>
        <v>905.3275687357791</v>
      </c>
      <c r="BC26" s="3">
        <f t="shared" si="98"/>
        <v>860.06119029899014</v>
      </c>
      <c r="BD26" s="3">
        <f t="shared" si="98"/>
        <v>817.0581307840406</v>
      </c>
      <c r="BE26" s="3">
        <f t="shared" si="98"/>
        <v>776.20522424483852</v>
      </c>
      <c r="BF26" s="3">
        <f t="shared" si="98"/>
        <v>737.39496303259659</v>
      </c>
      <c r="BG26" s="3">
        <f t="shared" si="98"/>
        <v>700.5252148809667</v>
      </c>
      <c r="BH26" s="3">
        <f t="shared" si="98"/>
        <v>665.49895413691831</v>
      </c>
      <c r="BI26" s="3">
        <f t="shared" si="98"/>
        <v>632.22400643007234</v>
      </c>
      <c r="BJ26" s="3">
        <f t="shared" si="98"/>
        <v>600.61280610856875</v>
      </c>
      <c r="BK26" s="3">
        <f t="shared" si="98"/>
        <v>570.58216580314024</v>
      </c>
      <c r="BL26" s="3">
        <f t="shared" si="98"/>
        <v>542.05305751298317</v>
      </c>
      <c r="BM26" s="3">
        <f t="shared" si="98"/>
        <v>514.95040463733403</v>
      </c>
      <c r="BN26" s="3">
        <f t="shared" si="98"/>
        <v>489.20288440546733</v>
      </c>
      <c r="BO26" s="3">
        <f t="shared" si="98"/>
        <v>464.74274018519395</v>
      </c>
      <c r="BP26" s="3">
        <f t="shared" si="98"/>
        <v>441.50560317593425</v>
      </c>
      <c r="BQ26" s="3">
        <f t="shared" si="98"/>
        <v>419.43032301713754</v>
      </c>
      <c r="BR26" s="3">
        <f t="shared" si="98"/>
        <v>398.45880686628067</v>
      </c>
      <c r="BS26" s="3">
        <f t="shared" si="98"/>
        <v>378.53586652296661</v>
      </c>
      <c r="BT26" s="3">
        <f t="shared" si="98"/>
        <v>359.60907319681826</v>
      </c>
      <c r="BU26" s="3">
        <f t="shared" si="98"/>
        <v>341.62861953697734</v>
      </c>
      <c r="BV26" s="3">
        <f t="shared" si="98"/>
        <v>324.54718856012846</v>
      </c>
      <c r="BW26" s="3">
        <f t="shared" si="98"/>
        <v>308.31982913212204</v>
      </c>
      <c r="BX26" s="3">
        <f t="shared" si="98"/>
        <v>292.90383767551594</v>
      </c>
      <c r="BY26" s="3">
        <f t="shared" si="98"/>
        <v>278.25864579174015</v>
      </c>
      <c r="BZ26" s="3">
        <f t="shared" si="98"/>
        <v>264.3457135021531</v>
      </c>
      <c r="CA26" s="3">
        <f t="shared" si="98"/>
        <v>251.12842782704544</v>
      </c>
      <c r="CB26" s="3">
        <f t="shared" ref="CB26:DF26" si="99">+CA26*(1+$AX$32)</f>
        <v>238.57200643569317</v>
      </c>
      <c r="CC26" s="3">
        <f t="shared" si="99"/>
        <v>226.6434061139085</v>
      </c>
      <c r="CD26" s="3">
        <f t="shared" si="99"/>
        <v>215.31123580821307</v>
      </c>
      <c r="CE26" s="3">
        <f t="shared" si="99"/>
        <v>204.54567401780241</v>
      </c>
      <c r="CF26" s="3">
        <f t="shared" si="99"/>
        <v>194.31839031691229</v>
      </c>
      <c r="CG26" s="3">
        <f t="shared" si="99"/>
        <v>184.60247080106666</v>
      </c>
      <c r="CH26" s="3">
        <f t="shared" si="99"/>
        <v>175.37234726101332</v>
      </c>
      <c r="CI26" s="3">
        <f t="shared" si="99"/>
        <v>166.60372989796264</v>
      </c>
      <c r="CJ26" s="3">
        <f t="shared" si="99"/>
        <v>158.27354340306451</v>
      </c>
      <c r="CK26" s="3">
        <f t="shared" si="99"/>
        <v>150.35986623291129</v>
      </c>
      <c r="CL26" s="3">
        <f t="shared" si="99"/>
        <v>142.84187292126572</v>
      </c>
      <c r="CM26" s="3">
        <f t="shared" si="99"/>
        <v>135.69977927520242</v>
      </c>
      <c r="CN26" s="3">
        <f t="shared" si="99"/>
        <v>128.91479031144229</v>
      </c>
      <c r="CO26" s="3">
        <f t="shared" si="99"/>
        <v>122.46905079587017</v>
      </c>
      <c r="CP26" s="3">
        <f t="shared" si="99"/>
        <v>116.34559825607666</v>
      </c>
      <c r="CQ26" s="3">
        <f t="shared" si="99"/>
        <v>110.52831834327282</v>
      </c>
      <c r="CR26" s="3">
        <f t="shared" si="99"/>
        <v>105.00190242610917</v>
      </c>
      <c r="CS26" s="3">
        <f t="shared" si="99"/>
        <v>99.751807304803705</v>
      </c>
      <c r="CT26" s="3">
        <f t="shared" si="99"/>
        <v>94.764216939563511</v>
      </c>
      <c r="CU26" s="3">
        <f t="shared" si="99"/>
        <v>90.026006092585334</v>
      </c>
      <c r="CV26" s="3">
        <f t="shared" si="99"/>
        <v>85.524705787956066</v>
      </c>
      <c r="CW26" s="3">
        <f t="shared" si="99"/>
        <v>81.248470498558262</v>
      </c>
      <c r="CX26" s="3">
        <f t="shared" si="99"/>
        <v>77.18604697363034</v>
      </c>
      <c r="CY26" s="3">
        <f t="shared" si="99"/>
        <v>73.326744624948816</v>
      </c>
      <c r="CZ26" s="3">
        <f t="shared" si="99"/>
        <v>69.660407393701377</v>
      </c>
      <c r="DA26" s="3">
        <f t="shared" si="99"/>
        <v>66.177387024016298</v>
      </c>
      <c r="DB26" s="3">
        <f t="shared" si="99"/>
        <v>62.868517672815479</v>
      </c>
      <c r="DC26" s="3">
        <f t="shared" si="99"/>
        <v>59.725091789174705</v>
      </c>
      <c r="DD26" s="3">
        <f t="shared" si="99"/>
        <v>56.738837199715967</v>
      </c>
      <c r="DE26" s="3">
        <f t="shared" si="99"/>
        <v>53.901895339730167</v>
      </c>
      <c r="DF26" s="3">
        <f t="shared" si="99"/>
        <v>51.20680057274366</v>
      </c>
    </row>
    <row r="27" spans="2:110" x14ac:dyDescent="0.25">
      <c r="B27" s="7" t="s">
        <v>40</v>
      </c>
      <c r="F27" s="9">
        <f t="shared" ref="F27:M27" si="100">+F26/F28</f>
        <v>4.6590758036869895</v>
      </c>
      <c r="G27" s="9">
        <f t="shared" si="100"/>
        <v>3.8311270186494957</v>
      </c>
      <c r="H27" s="9">
        <f t="shared" si="100"/>
        <v>3.9742295787915487</v>
      </c>
      <c r="I27" s="9">
        <f t="shared" si="100"/>
        <v>4.3617420533907714</v>
      </c>
      <c r="J27" s="9">
        <f t="shared" si="100"/>
        <v>4.3999804887566452</v>
      </c>
      <c r="K27" s="9">
        <f t="shared" si="100"/>
        <v>4.3972212949274319</v>
      </c>
      <c r="L27" s="9">
        <f t="shared" si="100"/>
        <v>5.9658053633081627</v>
      </c>
      <c r="M27" s="9">
        <f t="shared" si="100"/>
        <v>6.0146850362347699</v>
      </c>
      <c r="N27" s="9">
        <f t="shared" ref="N27:Z27" si="101">+N26/N28</f>
        <v>5.1504155300386989</v>
      </c>
      <c r="O27" s="9">
        <f t="shared" si="101"/>
        <v>4.3989510819920001</v>
      </c>
      <c r="P27" s="9">
        <f t="shared" si="101"/>
        <v>3.9855452814794647</v>
      </c>
      <c r="Q27" s="9">
        <f t="shared" si="101"/>
        <v>2.926121779136801</v>
      </c>
      <c r="R27" s="9">
        <f t="shared" si="101"/>
        <v>4.8176050981011285</v>
      </c>
      <c r="S27" s="9">
        <f t="shared" si="101"/>
        <v>3.0617074691782489</v>
      </c>
      <c r="T27" s="9">
        <f t="shared" si="101"/>
        <v>5.1564811490125688</v>
      </c>
      <c r="U27" s="9">
        <f t="shared" si="101"/>
        <v>4.1608355202872565</v>
      </c>
      <c r="V27" s="9">
        <f t="shared" si="101"/>
        <v>6.6078240085849478</v>
      </c>
      <c r="W27" s="9">
        <f t="shared" si="101"/>
        <v>1.7381229603634043</v>
      </c>
      <c r="X27" s="9">
        <f t="shared" si="101"/>
        <v>8.7602772019875701</v>
      </c>
      <c r="Y27" s="9">
        <f t="shared" si="101"/>
        <v>8.3056412404270343</v>
      </c>
      <c r="Z27" s="9">
        <f t="shared" si="101"/>
        <v>9.598349530166125</v>
      </c>
      <c r="AD27" s="20">
        <f t="shared" ref="AD27:AF27" si="102">+AD26/AD28</f>
        <v>11.443295601182603</v>
      </c>
      <c r="AE27" s="20">
        <f t="shared" si="102"/>
        <v>17.342415291051257</v>
      </c>
      <c r="AF27" s="20">
        <f t="shared" si="102"/>
        <v>15.815029106286605</v>
      </c>
      <c r="AG27" s="20">
        <f>+AG26/AG28</f>
        <v>16.588061239755973</v>
      </c>
      <c r="AH27" s="20">
        <f>+AH26/AH28</f>
        <v>21.531222365420835</v>
      </c>
      <c r="AI27" s="20">
        <f>+AI26/AI28</f>
        <v>27.598834532374106</v>
      </c>
      <c r="AJ27" s="20">
        <f>+AJ26/AJ28</f>
        <v>18.938648229708676</v>
      </c>
      <c r="AK27" s="20">
        <f t="shared" ref="AK27:AU27" si="103">+AK26/AK28</f>
        <v>38.897776420980669</v>
      </c>
      <c r="AL27" s="20">
        <f t="shared" si="103"/>
        <v>39.240180411207263</v>
      </c>
      <c r="AM27" s="20">
        <f t="shared" si="103"/>
        <v>40.331272851030974</v>
      </c>
      <c r="AN27" s="20">
        <f t="shared" si="103"/>
        <v>38.236742118690508</v>
      </c>
      <c r="AO27" s="20">
        <f t="shared" si="103"/>
        <v>36.948721978052596</v>
      </c>
      <c r="AP27" s="20">
        <f t="shared" si="103"/>
        <v>36.378823801023692</v>
      </c>
      <c r="AQ27" s="20">
        <f>+AQ26/AQ28</f>
        <v>36.311327025321852</v>
      </c>
      <c r="AR27" s="20">
        <f t="shared" si="103"/>
        <v>34.712617575026087</v>
      </c>
      <c r="AS27" s="20">
        <f t="shared" si="103"/>
        <v>26.946790603762196</v>
      </c>
      <c r="AT27" s="20">
        <f t="shared" si="103"/>
        <v>20.792379744210095</v>
      </c>
      <c r="AU27" s="20">
        <f t="shared" si="103"/>
        <v>19.695460311686844</v>
      </c>
    </row>
    <row r="28" spans="2:110" s="3" customFormat="1" x14ac:dyDescent="0.25">
      <c r="B28" s="3" t="s">
        <v>1</v>
      </c>
      <c r="C28" s="4"/>
      <c r="D28" s="4"/>
      <c r="E28" s="4"/>
      <c r="F28" s="4">
        <v>57.173999999999999</v>
      </c>
      <c r="G28" s="4">
        <v>58.393000000000001</v>
      </c>
      <c r="H28" s="4">
        <v>59.448</v>
      </c>
      <c r="I28" s="4">
        <v>61.283999999999999</v>
      </c>
      <c r="J28" s="4">
        <v>61.503</v>
      </c>
      <c r="K28" s="4">
        <v>62.906999999999996</v>
      </c>
      <c r="L28" s="4">
        <v>63.430999999999997</v>
      </c>
      <c r="M28" s="4">
        <v>62.784999999999997</v>
      </c>
      <c r="N28" s="4">
        <v>63.052</v>
      </c>
      <c r="O28" s="4">
        <v>63.494</v>
      </c>
      <c r="P28" s="4">
        <v>73.540000000000006</v>
      </c>
      <c r="Q28" s="4">
        <v>71.293000000000006</v>
      </c>
      <c r="R28" s="4">
        <v>69.673000000000002</v>
      </c>
      <c r="S28" s="4">
        <v>62.536999999999999</v>
      </c>
      <c r="T28" s="4">
        <v>69.625</v>
      </c>
      <c r="U28" s="4">
        <f>+T28</f>
        <v>69.625</v>
      </c>
      <c r="V28" s="4">
        <v>61.503</v>
      </c>
      <c r="W28" s="4">
        <v>60.978999999999999</v>
      </c>
      <c r="X28" s="4">
        <f>+W28</f>
        <v>60.978999999999999</v>
      </c>
      <c r="Y28" s="4">
        <f>+X28</f>
        <v>60.978999999999999</v>
      </c>
      <c r="Z28" s="4">
        <f>+Y28</f>
        <v>60.978999999999999</v>
      </c>
      <c r="AD28" s="3">
        <v>61.220999999999997</v>
      </c>
      <c r="AE28" s="3">
        <v>57.55</v>
      </c>
      <c r="AF28" s="3">
        <v>56.517000000000003</v>
      </c>
      <c r="AG28" s="3">
        <f>AVERAGE(G28:J28)</f>
        <v>60.156999999999996</v>
      </c>
      <c r="AH28" s="3">
        <f>AVERAGE(K28:N28)</f>
        <v>63.043749999999996</v>
      </c>
      <c r="AI28" s="3">
        <f>AVERAGE(O28:R28)</f>
        <v>69.5</v>
      </c>
      <c r="AJ28" s="3">
        <f>AVERAGE(S28:V28)</f>
        <v>65.822500000000005</v>
      </c>
      <c r="AK28" s="3">
        <f t="shared" ref="AK28:AU28" si="104">+AJ28</f>
        <v>65.822500000000005</v>
      </c>
      <c r="AL28" s="3">
        <f t="shared" si="104"/>
        <v>65.822500000000005</v>
      </c>
      <c r="AM28" s="3">
        <f t="shared" si="104"/>
        <v>65.822500000000005</v>
      </c>
      <c r="AN28" s="3">
        <f t="shared" si="104"/>
        <v>65.822500000000005</v>
      </c>
      <c r="AO28" s="3">
        <f t="shared" si="104"/>
        <v>65.822500000000005</v>
      </c>
      <c r="AP28" s="3">
        <f t="shared" si="104"/>
        <v>65.822500000000005</v>
      </c>
      <c r="AQ28" s="3">
        <f>+AP28</f>
        <v>65.822500000000005</v>
      </c>
      <c r="AR28" s="3">
        <f t="shared" si="104"/>
        <v>65.822500000000005</v>
      </c>
      <c r="AS28" s="3">
        <f t="shared" si="104"/>
        <v>65.822500000000005</v>
      </c>
      <c r="AT28" s="3">
        <f t="shared" si="104"/>
        <v>65.822500000000005</v>
      </c>
      <c r="AU28" s="3">
        <f t="shared" si="104"/>
        <v>65.822500000000005</v>
      </c>
    </row>
    <row r="29" spans="2:110" s="1" customFormat="1" x14ac:dyDescent="0.25"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2:110" s="1" customFormat="1" x14ac:dyDescent="0.25">
      <c r="B30" s="1" t="s">
        <v>115</v>
      </c>
      <c r="C30" s="10"/>
      <c r="D30" s="10"/>
      <c r="E30" s="10"/>
      <c r="F30" s="10"/>
      <c r="G30" s="10"/>
      <c r="H30" s="10"/>
      <c r="I30" s="10"/>
      <c r="J30" s="19">
        <f t="shared" ref="J30" si="105">+J16/F16-1</f>
        <v>0.34742012600729977</v>
      </c>
      <c r="K30" s="19">
        <f t="shared" ref="K30" si="106">+K16/G16-1</f>
        <v>0.33927986556524981</v>
      </c>
      <c r="L30" s="19">
        <f t="shared" ref="L30" si="107">+L16/H16-1</f>
        <v>0.24084111565273725</v>
      </c>
      <c r="M30" s="19">
        <f t="shared" ref="M30" si="108">+M16/I16-1</f>
        <v>0.12234239931274349</v>
      </c>
      <c r="N30" s="19">
        <f t="shared" ref="N30" si="109">+N16/J16-1</f>
        <v>8.4074265303641704E-2</v>
      </c>
      <c r="O30" s="19">
        <f t="shared" ref="O30" si="110">+O16/K16-1</f>
        <v>9.7196705013143259E-2</v>
      </c>
      <c r="P30" s="19">
        <f t="shared" ref="P30" si="111">+P16/L16-1</f>
        <v>2.6197423457300806E-2</v>
      </c>
      <c r="Q30" s="19">
        <f t="shared" ref="Q30" si="112">+Q16/M16-1</f>
        <v>3.3474653750802608E-2</v>
      </c>
      <c r="R30" s="19">
        <f t="shared" ref="R30" si="113">+R16/N16-1</f>
        <v>4.0953665328358646E-2</v>
      </c>
      <c r="S30" s="19">
        <f t="shared" ref="S30:U30" si="114">+S16/O16-1</f>
        <v>1.027203935430987E-2</v>
      </c>
      <c r="T30" s="19">
        <f t="shared" si="114"/>
        <v>6.9473330150828128E-2</v>
      </c>
      <c r="U30" s="19">
        <f t="shared" si="114"/>
        <v>2.2698685374534788E-2</v>
      </c>
      <c r="V30" s="19">
        <f>+V16/R16-1</f>
        <v>7.53388310514016E-2</v>
      </c>
      <c r="W30" s="19">
        <f>+W16/S16-1</f>
        <v>-4.5921042857792749E-3</v>
      </c>
      <c r="X30" s="19">
        <f>+X16/T16-1</f>
        <v>3.1686421019217148E-2</v>
      </c>
      <c r="Y30" s="19">
        <f>+Y16/U16-1</f>
        <v>3.3487838489858479E-2</v>
      </c>
      <c r="Z30" s="19">
        <f>+Z16/V16-1</f>
        <v>4.8856753475780001E-2</v>
      </c>
      <c r="AC30" s="25">
        <f>AC16/AB16-1</f>
        <v>8.4032544012195398E-2</v>
      </c>
      <c r="AD30" s="25">
        <f t="shared" ref="AD30:AU30" si="115">AD16/AC16-1</f>
        <v>0.18079379342687263</v>
      </c>
      <c r="AE30" s="25">
        <f t="shared" si="115"/>
        <v>0.14323118563325177</v>
      </c>
      <c r="AF30" s="25">
        <f t="shared" si="115"/>
        <v>9.3352595407170336E-2</v>
      </c>
      <c r="AG30" s="25">
        <f t="shared" si="115"/>
        <v>0.30913911050543508</v>
      </c>
      <c r="AH30" s="25">
        <f t="shared" si="115"/>
        <v>0.18264141284542434</v>
      </c>
      <c r="AI30" s="25">
        <f t="shared" si="115"/>
        <v>4.7775931074550027E-2</v>
      </c>
      <c r="AJ30" s="25">
        <f>AJ16/AI16-1</f>
        <v>4.5376641409794471E-2</v>
      </c>
      <c r="AK30" s="25">
        <f t="shared" si="115"/>
        <v>2.8630840180547734E-2</v>
      </c>
      <c r="AL30" s="25">
        <f t="shared" si="115"/>
        <v>1.7025113140786807E-2</v>
      </c>
      <c r="AM30" s="25">
        <f t="shared" si="115"/>
        <v>9.7262144085308311E-3</v>
      </c>
      <c r="AN30" s="25">
        <f t="shared" si="115"/>
        <v>-7.0609809711455807E-2</v>
      </c>
      <c r="AO30" s="25">
        <f t="shared" si="115"/>
        <v>-5.3234188311272912E-2</v>
      </c>
      <c r="AP30" s="25">
        <f t="shared" si="115"/>
        <v>-3.513641852437166E-2</v>
      </c>
      <c r="AQ30" s="25">
        <f t="shared" si="115"/>
        <v>-2.129905560258516E-2</v>
      </c>
      <c r="AR30" s="25">
        <f t="shared" si="115"/>
        <v>-6.785973375517429E-2</v>
      </c>
      <c r="AS30" s="25">
        <f t="shared" si="115"/>
        <v>-0.27120512445945044</v>
      </c>
      <c r="AT30" s="25">
        <f t="shared" si="115"/>
        <v>-0.29446187328653017</v>
      </c>
      <c r="AU30" s="25">
        <f t="shared" si="115"/>
        <v>-9.2478921831298355E-2</v>
      </c>
    </row>
    <row r="31" spans="2:110" s="1" customFormat="1" x14ac:dyDescent="0.25"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2:110" x14ac:dyDescent="0.25">
      <c r="B32" t="s">
        <v>71</v>
      </c>
      <c r="F32" s="19">
        <f t="shared" ref="F32:T32" si="116">+F18/F16</f>
        <v>0.92742784932616296</v>
      </c>
      <c r="G32" s="19">
        <f t="shared" si="116"/>
        <v>0.93713924563144668</v>
      </c>
      <c r="H32" s="19">
        <f t="shared" si="116"/>
        <v>0.93319331587327137</v>
      </c>
      <c r="I32" s="19">
        <f t="shared" si="116"/>
        <v>0.92975665630611559</v>
      </c>
      <c r="J32" s="19">
        <f t="shared" si="116"/>
        <v>0.93519795791603055</v>
      </c>
      <c r="K32" s="19">
        <f t="shared" si="116"/>
        <v>0.94075856466774233</v>
      </c>
      <c r="L32" s="19">
        <f t="shared" si="116"/>
        <v>0.94292394075109498</v>
      </c>
      <c r="M32" s="19">
        <f t="shared" si="116"/>
        <v>0.93929423421201474</v>
      </c>
      <c r="N32" s="19">
        <f t="shared" si="116"/>
        <v>0.9039360245565633</v>
      </c>
      <c r="O32" s="19">
        <f t="shared" si="116"/>
        <v>0.92750097444926816</v>
      </c>
      <c r="P32" s="19">
        <f t="shared" si="116"/>
        <v>0.89811420877306047</v>
      </c>
      <c r="Q32" s="19">
        <f t="shared" si="116"/>
        <v>0.89491945604542555</v>
      </c>
      <c r="R32" s="19">
        <f t="shared" si="116"/>
        <v>0.9296021977696195</v>
      </c>
      <c r="S32" s="19">
        <f t="shared" si="116"/>
        <v>0.92888114299271718</v>
      </c>
      <c r="T32" s="19">
        <f t="shared" si="116"/>
        <v>0.92927209239860331</v>
      </c>
      <c r="U32" s="19">
        <f t="shared" ref="U32:Z32" si="117">+U18/U16</f>
        <v>0.93</v>
      </c>
      <c r="V32" s="19">
        <f t="shared" si="117"/>
        <v>0.92051631496094832</v>
      </c>
      <c r="W32" s="19">
        <f t="shared" si="117"/>
        <v>0.92237935224611034</v>
      </c>
      <c r="X32" s="19">
        <f t="shared" si="117"/>
        <v>0.9</v>
      </c>
      <c r="Y32" s="19">
        <f t="shared" si="117"/>
        <v>0.9</v>
      </c>
      <c r="Z32" s="19">
        <f t="shared" si="117"/>
        <v>0.9</v>
      </c>
      <c r="AE32" s="19">
        <f t="shared" ref="AE32:AU32" si="118">+AE18/AE16</f>
        <v>0.9408213951496025</v>
      </c>
      <c r="AF32" s="19">
        <f t="shared" si="118"/>
        <v>0.93699480488600495</v>
      </c>
      <c r="AG32" s="19">
        <f t="shared" si="118"/>
        <v>0.9336182284620641</v>
      </c>
      <c r="AH32" s="19">
        <f t="shared" si="118"/>
        <v>0.93115215881186231</v>
      </c>
      <c r="AI32" s="19">
        <f t="shared" si="118"/>
        <v>0.91245744879510848</v>
      </c>
      <c r="AJ32" s="19">
        <f>+AJ18/AJ16</f>
        <v>0.9269875833896285</v>
      </c>
      <c r="AK32" s="19">
        <f t="shared" si="118"/>
        <v>0.94000000000000006</v>
      </c>
      <c r="AL32" s="19">
        <f t="shared" si="118"/>
        <v>0.94000000000000006</v>
      </c>
      <c r="AM32" s="19">
        <f t="shared" si="118"/>
        <v>0.94000000000000006</v>
      </c>
      <c r="AN32" s="19">
        <f t="shared" si="118"/>
        <v>0.94000000000000006</v>
      </c>
      <c r="AO32" s="19">
        <f t="shared" si="118"/>
        <v>0.94000000000000006</v>
      </c>
      <c r="AP32" s="19">
        <f t="shared" si="118"/>
        <v>0.94000000000000006</v>
      </c>
      <c r="AQ32" s="19">
        <f t="shared" si="118"/>
        <v>0.94</v>
      </c>
      <c r="AR32" s="19">
        <f t="shared" si="118"/>
        <v>0.94000000000000006</v>
      </c>
      <c r="AS32" s="19">
        <f t="shared" si="118"/>
        <v>0.94000000000000006</v>
      </c>
      <c r="AT32" s="19">
        <f t="shared" si="118"/>
        <v>0.94000000000000006</v>
      </c>
      <c r="AU32" s="19">
        <f t="shared" si="118"/>
        <v>0.94000000000000006</v>
      </c>
      <c r="AW32" s="3" t="s">
        <v>107</v>
      </c>
      <c r="AX32" s="25">
        <v>-0.05</v>
      </c>
    </row>
    <row r="33" spans="2:50" x14ac:dyDescent="0.25">
      <c r="AW33" t="s">
        <v>106</v>
      </c>
      <c r="AX33" s="25">
        <v>0.02</v>
      </c>
    </row>
    <row r="34" spans="2:50" x14ac:dyDescent="0.25">
      <c r="B34" t="s">
        <v>108</v>
      </c>
      <c r="H34" s="19"/>
      <c r="I34" s="19"/>
      <c r="J34" s="19">
        <f>SUM(J3:J4)/SUM(F3:F4)-1</f>
        <v>3.7157063340153451E-2</v>
      </c>
      <c r="K34" s="19">
        <f>SUM(K3:K4)/SUM(G3:G4)-1</f>
        <v>5.5019150002676653E-2</v>
      </c>
      <c r="L34" s="19">
        <f>SUM(L3:L4)/SUM(H3:H4)-1</f>
        <v>0.10057903854293482</v>
      </c>
      <c r="M34" s="19">
        <f>SUM(M3:M4)/SUM(I3:I4)-1</f>
        <v>0.11203181608875834</v>
      </c>
      <c r="N34" s="19">
        <f>SUM(N3:N4)/SUM(J3:J4)-1</f>
        <v>0.12188944442205352</v>
      </c>
      <c r="O34" s="19">
        <f>SUM(O3:O4)/SUM(K3:K4)-1</f>
        <v>5.1464907040733365E-2</v>
      </c>
      <c r="P34" s="19">
        <f>SUM(P3:P4)/SUM(L3:L4)-1</f>
        <v>-3.590671746827212E-2</v>
      </c>
      <c r="Q34" s="19">
        <f>SUM(Q3:Q4)/SUM(M3:M4)-1</f>
        <v>-0.10788026759119107</v>
      </c>
      <c r="R34" s="19">
        <f>SUM(R3:R4)/SUM(N3:N4)-1</f>
        <v>-0.160981697171381</v>
      </c>
      <c r="S34" s="19">
        <f>SUM(S3:S4)/SUM(O3:O4)-1</f>
        <v>-0.16749398430765239</v>
      </c>
      <c r="T34" s="19">
        <f>SUM(T3:T4)/SUM(P3:P4)-1</f>
        <v>-0.11449151096059706</v>
      </c>
      <c r="U34" s="19">
        <f>SUM(U3:U4)/SUM(Q3:Q4)-1</f>
        <v>-6.7361076141287279E-2</v>
      </c>
      <c r="V34" s="19">
        <f>SUM(V3:V4)/SUM(R3:R4)-1</f>
        <v>1.4679767431378776E-2</v>
      </c>
      <c r="W34" s="19">
        <f>SUM(W3:W4)/SUM(S3:S4)-1</f>
        <v>6.6213125638943104E-3</v>
      </c>
      <c r="X34" s="19">
        <f>SUM(X3:X4)/SUM(T3:T4)-1</f>
        <v>-3.3892795110668228E-4</v>
      </c>
      <c r="Y34" s="19">
        <f>SUM(Y3:Y4)/SUM(U3:U4)-1</f>
        <v>-9.4667003774617786E-4</v>
      </c>
      <c r="Z34" s="19">
        <f>SUM(Z3:Z4)/SUM(V3:V4)-1</f>
        <v>2.8913635414677064E-2</v>
      </c>
      <c r="AH34" s="25">
        <f>SUM(AH3:AH4)/SUM(AG3:AG4)-1</f>
        <v>9.8688765422982438E-2</v>
      </c>
      <c r="AI34" s="25">
        <f>SUM(AI3:AI4)/SUM(AH3:AH4)-1</f>
        <v>-6.8812225917919134E-2</v>
      </c>
      <c r="AJ34" s="25">
        <f>SUM(AJ3:AJ4)/SUM(AI3:AI4)-1</f>
        <v>-8.4816902524384119E-2</v>
      </c>
      <c r="AK34" s="25">
        <f>SUM(AK3:AK4)/SUM(AJ3:AJ4)-1</f>
        <v>8.884092716718639E-3</v>
      </c>
      <c r="AL34" s="25">
        <f>SUM(AL3:AL4)/SUM(AK3:AK4)-1</f>
        <v>-3.2853995165680883E-2</v>
      </c>
      <c r="AM34" s="25">
        <f>SUM(AM3:AM4)/SUM(AL3:AL4)-1</f>
        <v>-1.2154873696149981E-2</v>
      </c>
      <c r="AN34" s="25">
        <f>SUM(AN3:AN4)/SUM(AM3:AM4)-1</f>
        <v>-1.2137384222592473E-3</v>
      </c>
      <c r="AO34" s="25">
        <f>SUM(AO3:AO4)/SUM(AN3:AN4)-1</f>
        <v>4.3863172464220224E-3</v>
      </c>
      <c r="AP34" s="25">
        <f>SUM(AP3:AP4)/SUM(AO3:AO4)-1</f>
        <v>7.2054165527821734E-3</v>
      </c>
      <c r="AQ34" s="25">
        <f>SUM(AQ3:AQ4)/SUM(AP3:AP4)-1</f>
        <v>8.6127043196499997E-3</v>
      </c>
      <c r="AR34" s="25">
        <f>SUM(AR3:AR4)/SUM(AQ3:AQ4)-1</f>
        <v>9.3122753290690863E-3</v>
      </c>
      <c r="AS34" s="25">
        <f>SUM(AS3:AS4)/SUM(AR3:AR4)-1</f>
        <v>-0.5</v>
      </c>
      <c r="AT34" s="25">
        <f>SUM(AT3:AT4)/SUM(AS3:AS4)-1</f>
        <v>-0.79979959427128478</v>
      </c>
      <c r="AU34" s="25">
        <f>SUM(AU3:AU4)/SUM(AT3:AT4)-1</f>
        <v>-0.79949948720636765</v>
      </c>
      <c r="AW34" s="1" t="s">
        <v>104</v>
      </c>
      <c r="AX34" s="25">
        <v>0.08</v>
      </c>
    </row>
    <row r="35" spans="2:50" x14ac:dyDescent="0.25">
      <c r="AW35" t="s">
        <v>105</v>
      </c>
      <c r="AX35" s="1">
        <f>NPV(AX34,AL26:DI26)+Main!K5-Main!K6+AK26</f>
        <v>19317.213330696683</v>
      </c>
    </row>
    <row r="36" spans="2:50" x14ac:dyDescent="0.25">
      <c r="AX36" s="20">
        <f>+AX35/Main!K3</f>
        <v>313.42402876895909</v>
      </c>
    </row>
    <row r="37" spans="2:50" s="1" customFormat="1" x14ac:dyDescent="0.25">
      <c r="B37" s="1" t="s">
        <v>109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W37" s="1">
        <f>+W38-W53</f>
        <v>-2795.5349999999999</v>
      </c>
      <c r="X37" s="1">
        <f>+W37+X26</f>
        <v>-2261.3420564999997</v>
      </c>
      <c r="Y37" s="1">
        <f>+X37+Y26</f>
        <v>-1754.8723592999995</v>
      </c>
      <c r="Z37" s="1">
        <f>+Y37+Z26</f>
        <v>-1169.5746032999994</v>
      </c>
      <c r="AK37" s="1">
        <f>+Z37</f>
        <v>-1169.5746032999994</v>
      </c>
      <c r="AL37" s="1">
        <f t="shared" ref="AL37:AU37" si="119">+AK37+AL26</f>
        <v>1413.312171816691</v>
      </c>
      <c r="AM37" s="1">
        <f t="shared" si="119"/>
        <v>4068.0173790536774</v>
      </c>
      <c r="AN37" s="1">
        <f t="shared" si="119"/>
        <v>6584.8553371611833</v>
      </c>
      <c r="AO37" s="1">
        <f t="shared" si="119"/>
        <v>9016.9125895615507</v>
      </c>
      <c r="AP37" s="1">
        <f t="shared" si="119"/>
        <v>11411.457719204433</v>
      </c>
      <c r="AQ37" s="1">
        <f t="shared" si="119"/>
        <v>13801.560042328681</v>
      </c>
      <c r="AR37" s="1">
        <f t="shared" si="119"/>
        <v>16086.431312660836</v>
      </c>
      <c r="AS37" s="1">
        <f t="shared" si="119"/>
        <v>17860.136437176974</v>
      </c>
      <c r="AT37" s="1">
        <f t="shared" si="119"/>
        <v>19228.742852890242</v>
      </c>
      <c r="AU37" s="1">
        <f t="shared" si="119"/>
        <v>20525.147289256249</v>
      </c>
    </row>
    <row r="38" spans="2:50" s="1" customFormat="1" x14ac:dyDescent="0.25">
      <c r="B38" s="1" t="s">
        <v>3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W38" s="1">
        <f>1861.946+710</f>
        <v>2571.9459999999999</v>
      </c>
    </row>
    <row r="39" spans="2:50" s="1" customFormat="1" x14ac:dyDescent="0.25">
      <c r="B39" s="1" t="s">
        <v>122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W39" s="1">
        <v>652.99199999999996</v>
      </c>
    </row>
    <row r="40" spans="2:50" s="1" customFormat="1" x14ac:dyDescent="0.25">
      <c r="B40" s="1" t="s">
        <v>123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W40" s="1">
        <v>492.77600000000001</v>
      </c>
    </row>
    <row r="41" spans="2:50" s="1" customFormat="1" x14ac:dyDescent="0.25">
      <c r="B41" s="1" t="s">
        <v>129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W41" s="1">
        <v>150.28</v>
      </c>
    </row>
    <row r="42" spans="2:50" s="1" customFormat="1" x14ac:dyDescent="0.25">
      <c r="B42" s="1" t="s">
        <v>130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W42" s="1">
        <v>259.82299999999998</v>
      </c>
    </row>
    <row r="43" spans="2:50" x14ac:dyDescent="0.25">
      <c r="B43" s="1" t="s">
        <v>131</v>
      </c>
      <c r="W43" s="1">
        <v>178.869</v>
      </c>
    </row>
    <row r="44" spans="2:50" x14ac:dyDescent="0.25">
      <c r="B44" s="1" t="s">
        <v>132</v>
      </c>
      <c r="W44" s="1">
        <v>49.180999999999997</v>
      </c>
    </row>
    <row r="45" spans="2:50" x14ac:dyDescent="0.25">
      <c r="B45" t="s">
        <v>125</v>
      </c>
      <c r="W45" s="1">
        <f>4718.158+1760.045</f>
        <v>6478.2030000000004</v>
      </c>
    </row>
    <row r="46" spans="2:50" x14ac:dyDescent="0.25">
      <c r="B46" t="s">
        <v>126</v>
      </c>
      <c r="W46" s="1">
        <v>575.09699999999998</v>
      </c>
    </row>
    <row r="47" spans="2:50" x14ac:dyDescent="0.25">
      <c r="B47" t="s">
        <v>127</v>
      </c>
      <c r="W47" s="1">
        <v>8.9990000000000006</v>
      </c>
    </row>
    <row r="48" spans="2:50" x14ac:dyDescent="0.25">
      <c r="B48" t="s">
        <v>128</v>
      </c>
      <c r="W48" s="1">
        <v>116.51600000000001</v>
      </c>
    </row>
    <row r="49" spans="2:23" x14ac:dyDescent="0.25">
      <c r="B49" t="s">
        <v>124</v>
      </c>
      <c r="W49" s="1">
        <f>SUM(W38:W48)</f>
        <v>11534.681999999999</v>
      </c>
    </row>
    <row r="51" spans="2:23" x14ac:dyDescent="0.25">
      <c r="B51" t="s">
        <v>137</v>
      </c>
      <c r="W51" s="1">
        <v>95.93</v>
      </c>
    </row>
    <row r="52" spans="2:23" x14ac:dyDescent="0.25">
      <c r="B52" t="s">
        <v>138</v>
      </c>
      <c r="W52" s="1">
        <v>1063.9179999999999</v>
      </c>
    </row>
    <row r="53" spans="2:23" x14ac:dyDescent="0.25">
      <c r="B53" t="s">
        <v>4</v>
      </c>
      <c r="W53" s="1">
        <f>31+5336.481</f>
        <v>5367.4809999999998</v>
      </c>
    </row>
    <row r="54" spans="2:23" x14ac:dyDescent="0.25">
      <c r="B54" t="s">
        <v>139</v>
      </c>
      <c r="W54" s="1">
        <f>31.762+670.801</f>
        <v>702.5630000000001</v>
      </c>
    </row>
    <row r="55" spans="2:23" x14ac:dyDescent="0.25">
      <c r="B55" t="s">
        <v>140</v>
      </c>
      <c r="W55" s="1">
        <v>91.119</v>
      </c>
    </row>
    <row r="56" spans="2:23" x14ac:dyDescent="0.25">
      <c r="B56" t="s">
        <v>132</v>
      </c>
      <c r="W56" s="1">
        <v>38.78</v>
      </c>
    </row>
    <row r="57" spans="2:23" x14ac:dyDescent="0.25">
      <c r="B57" t="s">
        <v>141</v>
      </c>
      <c r="W57" s="1">
        <v>4174.8909999999996</v>
      </c>
    </row>
    <row r="58" spans="2:23" x14ac:dyDescent="0.25">
      <c r="B58" t="s">
        <v>142</v>
      </c>
      <c r="W58" s="1">
        <f>SUM(W51:W57)</f>
        <v>11534.681999999999</v>
      </c>
    </row>
  </sheetData>
  <hyperlinks>
    <hyperlink ref="A1" location="Main!A1" display="Main" xr:uid="{6F2D3B94-EC42-45A9-97E1-D3E623B3FF8A}"/>
  </hyperlink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C9D8C-3D34-4DEF-904D-39A18D13C697}">
  <dimension ref="A1:C29"/>
  <sheetViews>
    <sheetView topLeftCell="A2" zoomScale="190" zoomScaleNormal="190" workbookViewId="0">
      <selection activeCell="C30" sqref="C30"/>
    </sheetView>
  </sheetViews>
  <sheetFormatPr defaultColWidth="8.81640625" defaultRowHeight="12.5" x14ac:dyDescent="0.25"/>
  <cols>
    <col min="1" max="1" width="5" bestFit="1" customWidth="1"/>
    <col min="2" max="2" width="12.81640625" bestFit="1" customWidth="1"/>
  </cols>
  <sheetData>
    <row r="1" spans="1:3" x14ac:dyDescent="0.25">
      <c r="A1" s="8" t="s">
        <v>7</v>
      </c>
    </row>
    <row r="2" spans="1:3" x14ac:dyDescent="0.25">
      <c r="B2" t="s">
        <v>74</v>
      </c>
      <c r="C2" t="s">
        <v>22</v>
      </c>
    </row>
    <row r="3" spans="1:3" x14ac:dyDescent="0.25">
      <c r="B3" t="s">
        <v>85</v>
      </c>
      <c r="C3" t="s">
        <v>86</v>
      </c>
    </row>
    <row r="4" spans="1:3" x14ac:dyDescent="0.25">
      <c r="B4" t="s">
        <v>75</v>
      </c>
      <c r="C4" t="s">
        <v>76</v>
      </c>
    </row>
    <row r="5" spans="1:3" x14ac:dyDescent="0.25">
      <c r="C5" t="s">
        <v>77</v>
      </c>
    </row>
    <row r="6" spans="1:3" x14ac:dyDescent="0.25">
      <c r="C6" t="s">
        <v>78</v>
      </c>
    </row>
    <row r="7" spans="1:3" x14ac:dyDescent="0.25">
      <c r="C7" t="s">
        <v>79</v>
      </c>
    </row>
    <row r="8" spans="1:3" x14ac:dyDescent="0.25">
      <c r="C8" t="s">
        <v>80</v>
      </c>
    </row>
    <row r="9" spans="1:3" x14ac:dyDescent="0.25">
      <c r="C9" t="s">
        <v>81</v>
      </c>
    </row>
    <row r="10" spans="1:3" x14ac:dyDescent="0.25">
      <c r="C10" t="s">
        <v>82</v>
      </c>
    </row>
    <row r="11" spans="1:3" x14ac:dyDescent="0.25">
      <c r="C11" t="s">
        <v>83</v>
      </c>
    </row>
    <row r="12" spans="1:3" x14ac:dyDescent="0.25">
      <c r="C12" t="s">
        <v>84</v>
      </c>
    </row>
    <row r="13" spans="1:3" x14ac:dyDescent="0.25">
      <c r="C13" t="s">
        <v>87</v>
      </c>
    </row>
    <row r="14" spans="1:3" x14ac:dyDescent="0.25">
      <c r="C14" t="s">
        <v>88</v>
      </c>
    </row>
    <row r="15" spans="1:3" x14ac:dyDescent="0.25">
      <c r="C15" t="s">
        <v>89</v>
      </c>
    </row>
    <row r="16" spans="1:3" x14ac:dyDescent="0.25">
      <c r="C16" t="s">
        <v>90</v>
      </c>
    </row>
    <row r="17" spans="3:3" x14ac:dyDescent="0.25">
      <c r="C17" t="s">
        <v>91</v>
      </c>
    </row>
    <row r="18" spans="3:3" x14ac:dyDescent="0.25">
      <c r="C18" t="s">
        <v>92</v>
      </c>
    </row>
    <row r="19" spans="3:3" x14ac:dyDescent="0.25">
      <c r="C19" t="s">
        <v>93</v>
      </c>
    </row>
    <row r="20" spans="3:3" x14ac:dyDescent="0.25">
      <c r="C20" t="s">
        <v>94</v>
      </c>
    </row>
    <row r="21" spans="3:3" x14ac:dyDescent="0.25">
      <c r="C21" t="s">
        <v>95</v>
      </c>
    </row>
    <row r="22" spans="3:3" x14ac:dyDescent="0.25">
      <c r="C22" t="s">
        <v>96</v>
      </c>
    </row>
    <row r="23" spans="3:3" x14ac:dyDescent="0.25">
      <c r="C23" t="s">
        <v>97</v>
      </c>
    </row>
    <row r="24" spans="3:3" x14ac:dyDescent="0.25">
      <c r="C24" t="s">
        <v>98</v>
      </c>
    </row>
    <row r="25" spans="3:3" x14ac:dyDescent="0.25">
      <c r="C25" t="s">
        <v>99</v>
      </c>
    </row>
    <row r="26" spans="3:3" x14ac:dyDescent="0.25">
      <c r="C26" t="s">
        <v>100</v>
      </c>
    </row>
    <row r="27" spans="3:3" x14ac:dyDescent="0.25">
      <c r="C27" t="s">
        <v>101</v>
      </c>
    </row>
    <row r="28" spans="3:3" x14ac:dyDescent="0.25">
      <c r="C28" t="s">
        <v>102</v>
      </c>
    </row>
    <row r="29" spans="3:3" x14ac:dyDescent="0.25">
      <c r="C29" t="s">
        <v>103</v>
      </c>
    </row>
  </sheetData>
  <hyperlinks>
    <hyperlink ref="A1" location="Main!A1" display="Main" xr:uid="{2724D065-F033-4833-A2DC-365820F9E7C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Model</vt:lpstr>
      <vt:lpstr>Epidiolex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2022-12-20T01:13:24Z</dcterms:created>
  <dcterms:modified xsi:type="dcterms:W3CDTF">2025-05-19T16:15:31Z</dcterms:modified>
</cp:coreProperties>
</file>