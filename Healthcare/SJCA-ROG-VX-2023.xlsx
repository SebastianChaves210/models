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BBEF811D-9D37-4B35-9590-C58E20FB2EC8}" xr6:coauthVersionLast="47" xr6:coauthVersionMax="47" xr10:uidLastSave="{00000000-0000-0000-0000-000000000000}"/>
  <bookViews>
    <workbookView xWindow="38980" yWindow="1680" windowWidth="26400" windowHeight="18030" firstSheet="2" activeTab="3" xr2:uid="{00000000-000D-0000-FFFF-FFFF00000000}"/>
  </bookViews>
  <sheets>
    <sheet name="Management and Structure" sheetId="121" r:id="rId1"/>
    <sheet name="Debt" sheetId="129" r:id="rId2"/>
    <sheet name="Master" sheetId="132" r:id="rId3"/>
    <sheet name="Main" sheetId="101" r:id="rId4"/>
    <sheet name="Model" sheetId="99" r:id="rId5"/>
    <sheet name="Vabysmo" sheetId="136" r:id="rId6"/>
    <sheet name="Tecentriq" sheetId="131" r:id="rId7"/>
    <sheet name="Phesgo" sheetId="137" r:id="rId8"/>
    <sheet name="Diagnostics" sheetId="124" r:id="rId9"/>
    <sheet name="Elevidys" sheetId="139" r:id="rId10"/>
    <sheet name="Evrysdi" sheetId="138" r:id="rId11"/>
    <sheet name="MabThera" sheetId="115" r:id="rId12"/>
    <sheet name="Hemlibra" sheetId="134" r:id="rId13"/>
    <sheet name="Avastin" sheetId="113" r:id="rId14"/>
    <sheet name="Avastin Model" sheetId="128" r:id="rId15"/>
    <sheet name="Polivy" sheetId="133" r:id="rId16"/>
    <sheet name="Herceptin" sheetId="118" r:id="rId17"/>
    <sheet name="Pegasys" sheetId="119" r:id="rId18"/>
    <sheet name="Xeloda" sheetId="127" r:id="rId19"/>
    <sheet name="tiragolumab" sheetId="135" r:id="rId20"/>
    <sheet name="Actemra" sheetId="112" r:id="rId21"/>
    <sheet name="Lucentis" sheetId="123" r:id="rId22"/>
    <sheet name="Perjeta" sheetId="117" r:id="rId23"/>
    <sheet name="Ocrevus" sheetId="126" r:id="rId24"/>
    <sheet name="Kadcyla" sheetId="130" r:id="rId25"/>
    <sheet name="Mircera" sheetId="102" r:id="rId26"/>
    <sheet name="Tarceva" sheetId="122" r:id="rId27"/>
    <sheet name="Failures" sheetId="125" r:id="rId28"/>
    <sheet name="dalcetrapib" sheetId="111" r:id="rId29"/>
    <sheet name="aleglitazar" sheetId="120" r:id="rId30"/>
    <sheet name="R1626" sheetId="114" r:id="rId31"/>
    <sheet name="taspoglutide" sheetId="116" r:id="rId32"/>
  </sheets>
  <externalReferences>
    <externalReference r:id="rId33"/>
    <externalReference r:id="rId34"/>
    <externalReference r:id="rId35"/>
    <externalReference r:id="rId36"/>
    <externalReference r:id="rId37"/>
  </externalReferences>
  <definedNames>
    <definedName name="__FDS_HYPERLINK_TOGGLE_STATE__" hidden="1">"ON"</definedName>
    <definedName name="_50__Special_Reserve">#REF!</definedName>
    <definedName name="_SKF107647">[1]Sales!#REF!</definedName>
    <definedName name="Accrued_Expenditure">#REF!</definedName>
    <definedName name="Acellular_pertussis_booster">[1]Sales!$A$90:$AG$90</definedName>
    <definedName name="Acquisitions">#REF!</definedName>
    <definedName name="Amortisation">#REF!</definedName>
    <definedName name="Amortization_of_Acquired_Technology_Rights">#REF!</definedName>
    <definedName name="Amortization_of_Goodwill">#REF!</definedName>
    <definedName name="Amoxil">[1]Sales!$A$27:$AG$27</definedName>
    <definedName name="Androderm">[1]Sales!#REF!</definedName>
    <definedName name="Argentina">#REF!</definedName>
    <definedName name="ASSOC">#REF!</definedName>
    <definedName name="Associates">#REF!</definedName>
    <definedName name="Augmentin">[1]Sales!$A$26:$AG$26</definedName>
    <definedName name="Bactroban">[1]Sales!$A$35:$AG$35</definedName>
    <definedName name="beta_company">#REF!</definedName>
    <definedName name="beta_current">#REF!</definedName>
    <definedName name="beta_rd">#REF!</definedName>
    <definedName name="BLPH3" hidden="1">[2]stats!#REF!</definedName>
    <definedName name="BRL_32872">[1]Sales!#REF!</definedName>
    <definedName name="BRL_49653">[1]Sales!#REF!</definedName>
    <definedName name="BSMinorities">#REF!</definedName>
    <definedName name="Campylobacter">[1]Sales!$A$89:$AG$89</definedName>
    <definedName name="CAPEX">#REF!</definedName>
    <definedName name="CAPEX__Financial">#REF!</definedName>
    <definedName name="CAPEX__Intangibles">#REF!</definedName>
    <definedName name="CAPEX_SALES">#REF!</definedName>
    <definedName name="Case">#REF!</definedName>
    <definedName name="CASH_FLOW_ANALYSIS">#REF!</definedName>
    <definedName name="cash_min">'[3]earnings model'!#REF!</definedName>
    <definedName name="CFPS__DM">#REF!</definedName>
    <definedName name="Change_in_NWC">#REF!</definedName>
    <definedName name="Charts">#REF!</definedName>
    <definedName name="Charts1">#REF!</definedName>
    <definedName name="Charts2">#REF!</definedName>
    <definedName name="Chile1">#REF!</definedName>
    <definedName name="Chile2">#REF!</definedName>
    <definedName name="Classic_flu">[1]Sales!$A$67:$AG$67</definedName>
    <definedName name="Closed_End">#REF!</definedName>
    <definedName name="cogs">#REF!</definedName>
    <definedName name="COGS_1997_EBIT">#REF!</definedName>
    <definedName name="COGS_1998_EBIT">#REF!</definedName>
    <definedName name="COGS_1999_EBIT">#REF!</definedName>
    <definedName name="COGS_2000_EBIT">#REF!</definedName>
    <definedName name="COGS_2001_EBIT">#REF!</definedName>
    <definedName name="COGS_2002_EBIT">#REF!</definedName>
    <definedName name="COGS_2003_EBIT">#REF!</definedName>
    <definedName name="COGS_2004_EBIT">#REF!</definedName>
    <definedName name="COGS_2005_EBIT">#REF!</definedName>
    <definedName name="COGS_2006_EBIT">#REF!</definedName>
    <definedName name="CONSOLIDATED_BALANCE_SHEET">#REF!</definedName>
    <definedName name="ConversionRate">#REF!</definedName>
    <definedName name="Coreg_Kredex">[1]Sales!$A$100:$AG$100</definedName>
    <definedName name="Cost_capital_copy">#REF!</definedName>
    <definedName name="cost_debt">#REF!</definedName>
    <definedName name="Cost_of_capital">#REF!</definedName>
    <definedName name="Cost_of_Sales">#REF!</definedName>
    <definedName name="cost_pref">#REF!</definedName>
    <definedName name="costperhead">#REF!</definedName>
    <definedName name="Creditor_days">#REF!</definedName>
    <definedName name="_xlnm.Criteria">[4]gelxwork!#REF!</definedName>
    <definedName name="current_bus_wacc">#REF!</definedName>
    <definedName name="Date">#REF!</definedName>
    <definedName name="Debtor_days">#REF!</definedName>
    <definedName name="Deferred_Charges">#REF!</definedName>
    <definedName name="Depreciation">#REF!</definedName>
    <definedName name="Depreciation___Amortization">#REF!</definedName>
    <definedName name="Depreciation_of_PP_E">#REF!</definedName>
    <definedName name="Disposals">#REF!</definedName>
    <definedName name="Diversified">[1]Sales!#REF!</definedName>
    <definedName name="DOSESPLIT_1">'[5]Scenario Builder'!$C$5:$L$5</definedName>
    <definedName name="DOSESPLIT_10">'[5]Scenario Builder'!$C$14:$L$14</definedName>
    <definedName name="DOSESPLIT_11">'[5]Scenario Builder'!$C$15:$L$15</definedName>
    <definedName name="DOSESPLIT_2">'[5]Scenario Builder'!$C$6:$L$6</definedName>
    <definedName name="DOSESPLIT_3">'[5]Scenario Builder'!$C$7:$L$7</definedName>
    <definedName name="DOSESPLIT_4">'[5]Scenario Builder'!$C$8:$L$8</definedName>
    <definedName name="DOSESPLIT_5">'[5]Scenario Builder'!$C$9:$L$9</definedName>
    <definedName name="DOSESPLIT_6">'[5]Scenario Builder'!$C$10:$L$10</definedName>
    <definedName name="DOSESPLIT_7">'[5]Scenario Builder'!$C$11:$L$11</definedName>
    <definedName name="DOSESPLIT_8">'[5]Scenario Builder'!$C$12:$L$12</definedName>
    <definedName name="DOSESPLIT_9">'[5]Scenario Builder'!$C$13:$L$13</definedName>
    <definedName name="Doubt_Case">#REF!</definedName>
    <definedName name="dps_">#REF!</definedName>
    <definedName name="DPS__DM__Ord">#REF!</definedName>
    <definedName name="DPS__DM__Pref">#REF!</definedName>
    <definedName name="dps_ratio">#REF!</definedName>
    <definedName name="DVFA___SG_EPS__DM">#REF!</definedName>
    <definedName name="DVFA___SG_Net_Profit">#REF!</definedName>
    <definedName name="Dyazide">[1]Sales!#REF!</definedName>
    <definedName name="EBDIT">#REF!</definedName>
    <definedName name="ebit">#REF!</definedName>
    <definedName name="EBIT_CONT_BUS_NO_RD">#REF!</definedName>
    <definedName name="EBIT_CONT_BUS_RD">#REF!</definedName>
    <definedName name="ebit_margin">#REF!</definedName>
    <definedName name="ebita">#REF!</definedName>
    <definedName name="Engerix_B">[1]Sales!$A$64:$AG$64</definedName>
    <definedName name="Enterotoxogenic_E_coli">[1]Sales!$A$91:$AG$91</definedName>
    <definedName name="ENTERPRISE_VALUE">#REF!</definedName>
    <definedName name="eps">#REF!</definedName>
    <definedName name="EV">#REF!</definedName>
    <definedName name="EV_EBDIT">#REF!</definedName>
    <definedName name="EV_EBIT">#REF!</definedName>
    <definedName name="EV_SALES">#REF!</definedName>
    <definedName name="EXIT">#REF!</definedName>
    <definedName name="EXPLICIT_SWITCH">#REF!</definedName>
    <definedName name="Extraordinary_Expenses">#REF!</definedName>
    <definedName name="Extraordinary_Income">#REF!</definedName>
    <definedName name="Famvir">[1]Sales!#REF!</definedName>
    <definedName name="fixed_assets">#REF!</definedName>
    <definedName name="Form_AEPS">#REF!</definedName>
    <definedName name="Form_QEPS">#REF!</definedName>
    <definedName name="Form_QRev">#REF!</definedName>
    <definedName name="Germany_Sales">#REF!</definedName>
    <definedName name="guidance_new">#REF!</definedName>
    <definedName name="Halfan">[1]Sales!#REF!</definedName>
    <definedName name="Havrix">[1]Sales!$A$65:$AG$65</definedName>
    <definedName name="Headcount">#REF!</definedName>
    <definedName name="Herpes_simplex_Hep_B">[1]Sales!$A$94:$AG$94</definedName>
    <definedName name="Human_Papilloma_virus">[1]Sales!$A$95:$AG$95</definedName>
    <definedName name="Hycamtin">[1]Sales!$A$80:$AG$80</definedName>
    <definedName name="Idoxifene">[1]Sales!$A$81:$AG$81</definedName>
    <definedName name="inc_tax">#REF!</definedName>
    <definedName name="Income_tax">#REF!</definedName>
    <definedName name="Infanrix">[1]Sales!$A$86:$AG$86</definedName>
    <definedName name="InpatAdmiss_Case">#REF!</definedName>
    <definedName name="InpatRev_Case">#REF!</definedName>
    <definedName name="Intangible_Assets">#REF!</definedName>
    <definedName name="Keliximab">[1]Sales!#REF!</definedName>
    <definedName name="Kytril">[1]Sales!$A$46:$AG$46</definedName>
    <definedName name="Latin_Amercia">#REF!</definedName>
    <definedName name="LaunchYear_YYYY">YEAR(LaunchDate)</definedName>
    <definedName name="Lavanex">[1]Sales!$A$108:$AG$108</definedName>
    <definedName name="Lyme_Disease">[1]Sales!$A$87:$AG$87</definedName>
    <definedName name="MARGINS_1997_EBIT">#REF!</definedName>
    <definedName name="MARGINS_1998_EBIT">#REF!</definedName>
    <definedName name="MARGINS_1999_EBIT">#REF!</definedName>
    <definedName name="MARGINS_2000_EBIT">#REF!</definedName>
    <definedName name="MARGINS_2001_EBIT">#REF!</definedName>
    <definedName name="MARGINS_2002_EBIT">#REF!</definedName>
    <definedName name="MARGINS_2003_EBIT">#REF!</definedName>
    <definedName name="MARGINS_2004_EBIT">#REF!</definedName>
    <definedName name="MARGINS_2005_EBIT">#REF!</definedName>
    <definedName name="MARGINS_2006_EBIT">#REF!</definedName>
    <definedName name="market_cap">#REF!</definedName>
    <definedName name="MC">#REF!</definedName>
    <definedName name="Melanoma">[1]Sales!$A$93:$AG$93</definedName>
    <definedName name="Memric">[1]Sales!#REF!</definedName>
    <definedName name="Mexico1">#REF!</definedName>
    <definedName name="Mexico2">#REF!</definedName>
    <definedName name="Minorities">#REF!</definedName>
    <definedName name="Minority_Dividends">#REF!</definedName>
    <definedName name="Misc_Other">[1]Sales!#REF!</definedName>
    <definedName name="MKT_SHARE_1">'[5]Scenario Builder'!$C$19:$L$19</definedName>
    <definedName name="MKT_SHARE_10">'[5]Scenario Builder'!$C$28:$L$28</definedName>
    <definedName name="MKT_SHARE_11">'[5]Scenario Builder'!$C$29:$L$29</definedName>
    <definedName name="MKT_SHARE_2">'[5]Scenario Builder'!$C$20:$L$20</definedName>
    <definedName name="MKT_SHARE_3">'[5]Scenario Builder'!$C$21:$L$21</definedName>
    <definedName name="MKT_SHARE_4">'[5]Scenario Builder'!$C$22:$L$22</definedName>
    <definedName name="MKT_SHARE_5">'[5]Scenario Builder'!$C$23:$L$23</definedName>
    <definedName name="MKT_SHARE_6">'[5]Scenario Builder'!$C$24:$L$24</definedName>
    <definedName name="MKT_SHARE_7">'[5]Scenario Builder'!$C$25:$L$25</definedName>
    <definedName name="MKT_SHARE_8">'[5]Scenario Builder'!$C$26:$L$26</definedName>
    <definedName name="MKT_SHARE_9">'[5]Scenario Builder'!$C$27:$L$27</definedName>
    <definedName name="MMR_Varicella">[1]Sales!$A$96:$AG$96</definedName>
    <definedName name="mrp">#REF!</definedName>
    <definedName name="net">#REF!</definedName>
    <definedName name="net_cash">#REF!</definedName>
    <definedName name="Net_Interest">#REF!</definedName>
    <definedName name="Net_profit">#REF!</definedName>
    <definedName name="Net_Profit_after_Minorities">#REF!</definedName>
    <definedName name="Net_Working_Capital">#REF!</definedName>
    <definedName name="Net_Worth_Share__DM">#REF!</definedName>
    <definedName name="NEUP_MKT_SHARE_1">'[5]Scenario Builder'!$C$33:$L$33</definedName>
    <definedName name="NEUP_MKT_SHARE_10">'[5]Scenario Builder'!$C$42:$L$42</definedName>
    <definedName name="NEUP_MKT_SHARE_11">'[5]Scenario Builder'!$C$43:$L$43</definedName>
    <definedName name="NEUP_MKT_SHARE_2">'[5]Scenario Builder'!$C$34:$L$34</definedName>
    <definedName name="NEUP_MKT_SHARE_3">'[5]Scenario Builder'!$C$35:$L$35</definedName>
    <definedName name="NEUP_MKT_SHARE_4">'[5]Scenario Builder'!$C$36:$L$36</definedName>
    <definedName name="NEUP_MKT_SHARE_5">'[5]Scenario Builder'!$C$37:$L$37</definedName>
    <definedName name="NEUP_MKT_SHARE_6">'[5]Scenario Builder'!$C$38:$L$38</definedName>
    <definedName name="NEUP_MKT_SHARE_7">'[5]Scenario Builder'!$C$39:$L$39</definedName>
    <definedName name="NEUP_MKT_SHARE_8">'[5]Scenario Builder'!$C$40:$L$40</definedName>
    <definedName name="NEUP_MKT_SHARE_9">'[5]Scenario Builder'!$C$41:$L$41</definedName>
    <definedName name="NEW_SALES">[1]Sales!$X$112:$AG$112</definedName>
    <definedName name="New_sales_copy">[1]Sales!$AJ$112</definedName>
    <definedName name="NINT">#REF!</definedName>
    <definedName name="NOPAT_NCI">#REF!</definedName>
    <definedName name="North_America">#REF!</definedName>
    <definedName name="ONEPAGER">#REF!</definedName>
    <definedName name="Operating_profit">#REF!</definedName>
    <definedName name="Other_Cash_Items">#REF!</definedName>
    <definedName name="Other_Creditors">#REF!</definedName>
    <definedName name="Other_Europe_Sales">#REF!</definedName>
    <definedName name="Other_Financial_Assets">#REF!</definedName>
    <definedName name="Other_Provisions">#REF!</definedName>
    <definedName name="Other_Taxes">#REF!</definedName>
    <definedName name="Other1">#REF!</definedName>
    <definedName name="OutpatRev_Case">#REF!</definedName>
    <definedName name="OutpatVisit_Case">#REF!</definedName>
    <definedName name="Page1">#REF!</definedName>
    <definedName name="Page12">#REF!</definedName>
    <definedName name="Page2">#REF!</definedName>
    <definedName name="Parent_Company_Dividend">#REF!</definedName>
    <definedName name="PE">#REF!</definedName>
    <definedName name="Penbritin">[1]Sales!$A$33:$AG$33</definedName>
    <definedName name="Pension_Provisions">#REF!</definedName>
    <definedName name="PERSONNEL_ANALYSIS">#REF!</definedName>
    <definedName name="personnel_cost">#REF!</definedName>
    <definedName name="Personnel_Costs">#REF!</definedName>
    <definedName name="PHA_NI_00">#REF!</definedName>
    <definedName name="PHA_NI_01">#REF!</definedName>
    <definedName name="PHA_NI_02">#REF!</definedName>
    <definedName name="PHA_NI_03">#REF!</definedName>
    <definedName name="PHA_NI_04">#REF!</definedName>
    <definedName name="PHA_NI_98">#REF!</definedName>
    <definedName name="PHA_NI_99">#REF!</definedName>
    <definedName name="PHA_PHR_NI_00">#REF!</definedName>
    <definedName name="PHA_PHR_NI_01">#REF!</definedName>
    <definedName name="PHA_PHR_NI_02">#REF!</definedName>
    <definedName name="PHA_PHR_NI_03">#REF!</definedName>
    <definedName name="PHA_PHR_NI_04">#REF!</definedName>
    <definedName name="PHA_PHR_NI_99">#REF!</definedName>
    <definedName name="PHA_SHRS_00">#REF!</definedName>
    <definedName name="PHA_SHRS_01">#REF!</definedName>
    <definedName name="PHA_SHRS_02">#REF!</definedName>
    <definedName name="PHA_SHRS_03">#REF!</definedName>
    <definedName name="PHA_SHRS_04">#REF!</definedName>
    <definedName name="PHA_SHRS_98">#REF!</definedName>
    <definedName name="PHA_SHRS_99">#REF!</definedName>
    <definedName name="pharma_ebit">#REF!</definedName>
    <definedName name="pharma_sales">#REF!</definedName>
    <definedName name="pharma_staff">#REF!</definedName>
    <definedName name="PL">#REF!</definedName>
    <definedName name="PL_1997_EBIT">#REF!</definedName>
    <definedName name="PL_1998_EBIT">#REF!</definedName>
    <definedName name="PL_1999_EBIT">#REF!</definedName>
    <definedName name="PL_2000_EBIT">#REF!</definedName>
    <definedName name="PL_2001_EBIT">#REF!</definedName>
    <definedName name="PL_2002_EBIT">#REF!</definedName>
    <definedName name="PL_2003_EBIT">#REF!</definedName>
    <definedName name="PL_2004_EBIT">#REF!</definedName>
    <definedName name="PL_2005_EBIT">#REF!</definedName>
    <definedName name="PL_2006_EBIT">#REF!</definedName>
    <definedName name="PL_account">#REF!</definedName>
    <definedName name="PL_ADMIN">#REF!</definedName>
    <definedName name="PL_ADMIN_COPY">#REF!</definedName>
    <definedName name="PL_COGS">#REF!</definedName>
    <definedName name="PL_COGS_COPY">#REF!</definedName>
    <definedName name="PL_OP_EXP">#REF!</definedName>
    <definedName name="PL_OP_EXP_COPY">#REF!</definedName>
    <definedName name="PL_RD">#REF!</definedName>
    <definedName name="PL_RD_COPY">#REF!</definedName>
    <definedName name="PL_SGA">#REF!</definedName>
    <definedName name="PL_SGA_COPY">#REF!</definedName>
    <definedName name="Pre_Tax__Profit">#REF!</definedName>
    <definedName name="Pre_Tax_Profit">#REF!</definedName>
    <definedName name="PRICE_1">'[5]Scenario Builder'!$C$61:$L$61</definedName>
    <definedName name="PRICE_2">'[5]Scenario Builder'!$C$62:$L$62</definedName>
    <definedName name="PRICE_3">'[5]Scenario Builder'!$C$63:$L$63</definedName>
    <definedName name="PRICE_4">'[5]Scenario Builder'!$C$64:$L$64</definedName>
    <definedName name="PRICE_5">'[5]Scenario Builder'!$C$65:$L$65</definedName>
    <definedName name="PRICE_NUMBER">'[5]LRP Scenarios'!$G$98</definedName>
    <definedName name="Print_Area_MI">#REF!</definedName>
    <definedName name="PRINT_BS">#REF!</definedName>
    <definedName name="PRINT_CF">#REF!</definedName>
    <definedName name="PRINT_PL">#REF!</definedName>
    <definedName name="PRINT_RATIOS">#REF!</definedName>
    <definedName name="PRINT_SALES">[1]Sales!$A$1:$AG$230</definedName>
    <definedName name="PRINT_VALUE">#REF!</definedName>
    <definedName name="Proceeds_of_New_Issue">#REF!</definedName>
    <definedName name="ptp">#REF!</definedName>
    <definedName name="Rate_WACC">#REF!</definedName>
    <definedName name="RD">#REF!</definedName>
    <definedName name="rd_pharma">#REF!</definedName>
    <definedName name="Relafen">[1]Sales!#REF!</definedName>
    <definedName name="ReQuip">[1]Sales!#REF!</definedName>
    <definedName name="rfr">#REF!</definedName>
    <definedName name="sales">#REF!</definedName>
    <definedName name="Salmonella_typhi">[1]Sales!$A$92:$AG$92</definedName>
    <definedName name="SB_204269">[1]Sales!#REF!</definedName>
    <definedName name="SB_207266">[1]Sales!#REF!</definedName>
    <definedName name="SB_207499">[1]Sales!#REF!</definedName>
    <definedName name="SB_209509">[1]Sales!#REF!</definedName>
    <definedName name="SB_209670">[1]Sales!$A$105:$AG$105</definedName>
    <definedName name="SB_210396">[1]Sales!#REF!</definedName>
    <definedName name="SB_214857">[1]Sales!$A$103:$AG$103</definedName>
    <definedName name="SB_217242">[1]Sales!$A$104:$AG$104</definedName>
    <definedName name="SB_217969">[1]Sales!#REF!</definedName>
    <definedName name="SB_220453">[1]Sales!#REF!</definedName>
    <definedName name="SCENARIO_NUMBER">'[5]LRP Scenarios'!$D$98</definedName>
    <definedName name="Seroxat">[1]Sales!$A$45:$AG$45</definedName>
    <definedName name="SharePrice">#REF!</definedName>
    <definedName name="SharePriceEuro">#REF!</definedName>
    <definedName name="SHARES">#REF!</definedName>
    <definedName name="Short_Flow_Data">#REF!</definedName>
    <definedName name="Smithkline_beecham_ethical_sales">[1]Sales!$T$114:$AG$114</definedName>
    <definedName name="SPLIT_MULT_1">'[5]Scenario Builder'!$C$48:$L$48</definedName>
    <definedName name="SPLIT_MULT_10">'[5]Scenario Builder'!$C$57:$L$57</definedName>
    <definedName name="SPLIT_MULT_11">'[5]Scenario Builder'!$C$58:$L$58</definedName>
    <definedName name="SPLIT_MULT_2">'[5]Scenario Builder'!$C$49:$L$49</definedName>
    <definedName name="SPLIT_MULT_3">'[5]Scenario Builder'!$C$50:$L$50</definedName>
    <definedName name="SPLIT_MULT_4">'[5]Scenario Builder'!$C$51:$L$51</definedName>
    <definedName name="SPLIT_MULT_5">'[5]Scenario Builder'!$C$52:$L$52</definedName>
    <definedName name="SPLIT_MULT_6">'[5]Scenario Builder'!$C$53:$L$53</definedName>
    <definedName name="SPLIT_MULT_7">'[5]Scenario Builder'!$C$54:$L$54</definedName>
    <definedName name="SPLIT_MULT_8">'[5]Scenario Builder'!$C$55:$L$55</definedName>
    <definedName name="SPLIT_MULT_9">'[5]Scenario Builder'!$C$56:$L$56</definedName>
    <definedName name="staff">#REF!</definedName>
    <definedName name="Staff_costs">#REF!</definedName>
    <definedName name="Stock_days">#REF!</definedName>
    <definedName name="STOCK_PRICE">#REF!</definedName>
    <definedName name="Tagamet">[1]Sales!$A$60:$AG$60</definedName>
    <definedName name="Tangible_Assets">#REF!</definedName>
    <definedName name="Teveten">[1]Sales!$A$102:$AG$102</definedName>
    <definedName name="Timentin">[1]Sales!$A$34:$AG$34</definedName>
    <definedName name="total_ebit">#REF!</definedName>
    <definedName name="TPROF">#REF!</definedName>
    <definedName name="Twinrix">[1]Sales!$A$85:$AG$85</definedName>
    <definedName name="Ultair">[1]Sales!#REF!</definedName>
    <definedName name="va">#REF!</definedName>
    <definedName name="VALUATION_CONT_BUS">#REF!</definedName>
    <definedName name="VALUATION_CONT_BUS_NO_RD">#REF!</definedName>
    <definedName name="valuation_rd">#REF!</definedName>
    <definedName name="VALUATION_SHARE">#REF!</definedName>
    <definedName name="Variation_in_other_provisions">#REF!</definedName>
    <definedName name="Variation_in_Pension_Provisions">#REF!</definedName>
    <definedName name="Variation_Special_reserve">#REF!</definedName>
    <definedName name="Vectovir">[1]Sales!#REF!</definedName>
    <definedName name="WACC">#REF!</definedName>
    <definedName name="WACC_company">#REF!</definedName>
    <definedName name="Working_capital">#REF!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igand._.Model." hidden="1">{#N/A,#N/A,FALSE,"Inc";#N/A,#N/A,FALSE,"QInc";#N/A,#N/A,FALSE,"Pro";#N/A,#N/A,FALSE,"QPro"}</definedName>
    <definedName name="xxxxx" hidden="1">{#N/A,#N/A,FALSE,"Inc";#N/A,#N/A,FALSE,"QInc";#N/A,#N/A,FALSE,"Pro";#N/A,#N/A,FALSE,"QPro"}</definedName>
    <definedName name="xxxxxx" hidden="1">{#N/A,#N/A,FALSE,"Inc";#N/A,#N/A,FALSE,"QInc";#N/A,#N/A,FALSE,"Pro";#N/A,#N/A,FALSE,"QPro"}</definedName>
    <definedName name="Year_End_Net_Cash____Debt">#REF!</definedName>
    <definedName name="Year_End_Number_of_Employees">#REF!</definedName>
    <definedName name="Yie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J103" i="99" l="1"/>
  <c r="FJ6" i="99"/>
  <c r="EC103" i="99"/>
  <c r="EF103" i="99"/>
  <c r="EE103" i="99"/>
  <c r="ED103" i="99"/>
  <c r="EG103" i="99"/>
  <c r="EG6" i="99"/>
  <c r="EF6" i="99"/>
  <c r="EE6" i="99"/>
  <c r="ED6" i="99"/>
  <c r="EG69" i="99"/>
  <c r="EF69" i="99"/>
  <c r="EE69" i="99"/>
  <c r="EG45" i="99"/>
  <c r="EF45" i="99"/>
  <c r="EE45" i="99"/>
  <c r="ED45" i="99"/>
  <c r="EG42" i="99"/>
  <c r="EF42" i="99"/>
  <c r="EE42" i="99"/>
  <c r="EG41" i="99"/>
  <c r="EF41" i="99"/>
  <c r="EE41" i="99"/>
  <c r="EG40" i="99"/>
  <c r="EF40" i="99"/>
  <c r="EE40" i="99"/>
  <c r="EG39" i="99"/>
  <c r="EF39" i="99"/>
  <c r="EE39" i="99"/>
  <c r="EG38" i="99"/>
  <c r="EF38" i="99"/>
  <c r="EE38" i="99"/>
  <c r="EG37" i="99"/>
  <c r="EF37" i="99"/>
  <c r="EE37" i="99"/>
  <c r="EG36" i="99"/>
  <c r="EF36" i="99"/>
  <c r="EE36" i="99"/>
  <c r="EG34" i="99"/>
  <c r="EF34" i="99"/>
  <c r="EE34" i="99"/>
  <c r="EG33" i="99"/>
  <c r="EF33" i="99"/>
  <c r="EE33" i="99"/>
  <c r="EG32" i="99"/>
  <c r="EF32" i="99"/>
  <c r="EE32" i="99"/>
  <c r="EG29" i="99"/>
  <c r="EF29" i="99"/>
  <c r="EE29" i="99"/>
  <c r="EG27" i="99"/>
  <c r="EF27" i="99"/>
  <c r="EE27" i="99"/>
  <c r="EG26" i="99"/>
  <c r="EF26" i="99"/>
  <c r="EE26" i="99"/>
  <c r="EG25" i="99"/>
  <c r="EF25" i="99"/>
  <c r="EE25" i="99"/>
  <c r="EG22" i="99"/>
  <c r="EF22" i="99"/>
  <c r="EE22" i="99"/>
  <c r="EG21" i="99"/>
  <c r="EF21" i="99"/>
  <c r="EE21" i="99"/>
  <c r="EG20" i="99"/>
  <c r="EF20" i="99"/>
  <c r="EE20" i="99"/>
  <c r="EG19" i="99"/>
  <c r="EF19" i="99"/>
  <c r="EE19" i="99"/>
  <c r="EG18" i="99"/>
  <c r="EF18" i="99"/>
  <c r="EE18" i="99"/>
  <c r="EG17" i="99"/>
  <c r="EF17" i="99"/>
  <c r="EE17" i="99"/>
  <c r="EG16" i="99"/>
  <c r="EF16" i="99"/>
  <c r="EE16" i="99"/>
  <c r="EG15" i="99"/>
  <c r="EF15" i="99"/>
  <c r="EE15" i="99"/>
  <c r="EG14" i="99"/>
  <c r="FJ14" i="99" s="1"/>
  <c r="EF14" i="99"/>
  <c r="EE14" i="99"/>
  <c r="EG13" i="99"/>
  <c r="EF13" i="99"/>
  <c r="EE13" i="99"/>
  <c r="EG12" i="99"/>
  <c r="EF12" i="99"/>
  <c r="EE12" i="99"/>
  <c r="EG11" i="99"/>
  <c r="FJ11" i="99" s="1"/>
  <c r="EF11" i="99"/>
  <c r="EE11" i="99"/>
  <c r="EG10" i="99"/>
  <c r="EF10" i="99"/>
  <c r="EE10" i="99"/>
  <c r="EG9" i="99"/>
  <c r="EF9" i="99"/>
  <c r="EE9" i="99"/>
  <c r="FJ70" i="99"/>
  <c r="FJ69" i="99"/>
  <c r="FJ68" i="99"/>
  <c r="FJ67" i="99"/>
  <c r="FJ66" i="99"/>
  <c r="FJ65" i="99"/>
  <c r="FJ64" i="99"/>
  <c r="FJ63" i="99"/>
  <c r="FJ62" i="99"/>
  <c r="FJ61" i="99"/>
  <c r="FJ60" i="99"/>
  <c r="FJ59" i="99"/>
  <c r="FJ58" i="99"/>
  <c r="FJ57" i="99"/>
  <c r="FJ56" i="99"/>
  <c r="FJ55" i="99"/>
  <c r="FJ54" i="99"/>
  <c r="FJ53" i="99"/>
  <c r="FJ52" i="99"/>
  <c r="FJ21" i="99"/>
  <c r="FJ22" i="99"/>
  <c r="FJ23" i="99"/>
  <c r="FJ24" i="99"/>
  <c r="FJ25" i="99"/>
  <c r="FJ26" i="99"/>
  <c r="FJ27" i="99"/>
  <c r="FJ28" i="99"/>
  <c r="FJ29" i="99"/>
  <c r="FJ30" i="99"/>
  <c r="FJ31" i="99"/>
  <c r="FJ32" i="99"/>
  <c r="FJ33" i="99"/>
  <c r="FJ34" i="99"/>
  <c r="FJ35" i="99"/>
  <c r="FJ36" i="99"/>
  <c r="FJ37" i="99"/>
  <c r="FJ38" i="99"/>
  <c r="FJ39" i="99"/>
  <c r="FJ40" i="99"/>
  <c r="FJ41" i="99"/>
  <c r="FJ42" i="99"/>
  <c r="FJ43" i="99"/>
  <c r="FJ44" i="99"/>
  <c r="FJ45" i="99"/>
  <c r="FJ46" i="99"/>
  <c r="FJ47" i="99"/>
  <c r="FJ48" i="99"/>
  <c r="FJ49" i="99"/>
  <c r="FJ50" i="99"/>
  <c r="FJ51" i="99"/>
  <c r="FJ20" i="99"/>
  <c r="FJ19" i="99"/>
  <c r="FJ18" i="99"/>
  <c r="FJ17" i="99"/>
  <c r="FJ16" i="99"/>
  <c r="FJ15" i="99"/>
  <c r="FJ13" i="99"/>
  <c r="FJ12" i="99"/>
  <c r="FJ10" i="99"/>
  <c r="FJ9" i="99"/>
  <c r="EX71" i="99"/>
  <c r="EX74" i="99" s="1"/>
  <c r="EY71" i="99"/>
  <c r="EY74" i="99" s="1"/>
  <c r="EX66" i="99"/>
  <c r="EY66" i="99"/>
  <c r="EY20" i="99"/>
  <c r="FA71" i="99"/>
  <c r="FA66" i="99"/>
  <c r="EZ66" i="99"/>
  <c r="FA20" i="99"/>
  <c r="EZ20" i="99"/>
  <c r="FB79" i="99"/>
  <c r="FC79" i="99"/>
  <c r="FB66" i="99"/>
  <c r="FB20" i="99"/>
  <c r="FD66" i="99"/>
  <c r="FC66" i="99"/>
  <c r="FD20" i="99"/>
  <c r="FC20" i="99"/>
  <c r="FJ71" i="99" l="1"/>
  <c r="EG71" i="99"/>
  <c r="EF71" i="99"/>
  <c r="EE71" i="99"/>
  <c r="ED71" i="99"/>
  <c r="J5" i="101"/>
  <c r="FH191" i="99"/>
  <c r="FH195" i="99" s="1"/>
  <c r="FH197" i="99" s="1"/>
  <c r="FH188" i="99"/>
  <c r="FH186" i="99"/>
  <c r="FH184" i="99"/>
  <c r="FH189" i="99"/>
  <c r="FH182" i="99"/>
  <c r="FH175" i="99"/>
  <c r="FI195" i="99"/>
  <c r="FI191" i="99"/>
  <c r="FI189" i="99"/>
  <c r="FI197" i="99" s="1"/>
  <c r="FI188" i="99"/>
  <c r="FI186" i="99"/>
  <c r="FI187" i="99"/>
  <c r="FI184" i="99"/>
  <c r="FI182" i="99"/>
  <c r="FI175" i="99"/>
  <c r="FI173" i="99"/>
  <c r="FI168" i="99"/>
  <c r="FI169" i="99"/>
  <c r="FI165" i="99"/>
  <c r="FI156" i="99"/>
  <c r="FI161" i="99"/>
  <c r="FI154" i="99"/>
  <c r="FI163" i="99" s="1"/>
  <c r="FI153" i="99"/>
  <c r="FK22" i="99"/>
  <c r="FL22" i="99" s="1"/>
  <c r="FM22" i="99" s="1"/>
  <c r="FN22" i="99" s="1"/>
  <c r="FO22" i="99" s="1"/>
  <c r="FP22" i="99" s="1"/>
  <c r="FQ22" i="99" s="1"/>
  <c r="FR22" i="99" s="1"/>
  <c r="FS22" i="99" s="1"/>
  <c r="FT22" i="99" s="1"/>
  <c r="FK20" i="99"/>
  <c r="FL20" i="99" s="1"/>
  <c r="FM20" i="99" s="1"/>
  <c r="FN20" i="99" s="1"/>
  <c r="FO20" i="99" s="1"/>
  <c r="FP20" i="99" s="1"/>
  <c r="FQ20" i="99" s="1"/>
  <c r="FR20" i="99" s="1"/>
  <c r="FS20" i="99" s="1"/>
  <c r="FT20" i="99" s="1"/>
  <c r="FK18" i="99"/>
  <c r="FL18" i="99" s="1"/>
  <c r="FM18" i="99" s="1"/>
  <c r="FN18" i="99" s="1"/>
  <c r="FO18" i="99" s="1"/>
  <c r="FP18" i="99" s="1"/>
  <c r="FQ18" i="99" s="1"/>
  <c r="FR18" i="99" s="1"/>
  <c r="FS18" i="99" s="1"/>
  <c r="FT18" i="99" s="1"/>
  <c r="FI71" i="99"/>
  <c r="DZ3" i="99"/>
  <c r="EC69" i="99"/>
  <c r="EC64" i="99"/>
  <c r="EC63" i="99"/>
  <c r="EC62" i="99"/>
  <c r="EC61" i="99"/>
  <c r="EC60" i="99"/>
  <c r="EC59" i="99"/>
  <c r="EC58" i="99"/>
  <c r="EC57" i="99"/>
  <c r="EC56" i="99"/>
  <c r="EC55" i="99"/>
  <c r="EC54" i="99"/>
  <c r="EC53" i="99"/>
  <c r="EC52" i="99"/>
  <c r="EC51" i="99"/>
  <c r="EC50" i="99"/>
  <c r="EC49" i="99"/>
  <c r="EC48" i="99"/>
  <c r="EC47" i="99"/>
  <c r="EC46" i="99"/>
  <c r="EC44" i="99"/>
  <c r="EC43" i="99"/>
  <c r="EC42" i="99"/>
  <c r="EC35" i="99"/>
  <c r="EC31" i="99"/>
  <c r="EC30" i="99"/>
  <c r="EC24" i="99"/>
  <c r="DZ71" i="99"/>
  <c r="FI3" i="99"/>
  <c r="EA34" i="99"/>
  <c r="EB34" i="99" s="1"/>
  <c r="EC34" i="99" s="1"/>
  <c r="EA33" i="99"/>
  <c r="EB33" i="99" s="1"/>
  <c r="EC33" i="99" s="1"/>
  <c r="EA45" i="99"/>
  <c r="EB45" i="99" s="1"/>
  <c r="EC45" i="99" s="1"/>
  <c r="EA37" i="99"/>
  <c r="EB37" i="99" s="1"/>
  <c r="EC37" i="99" s="1"/>
  <c r="EA38" i="99"/>
  <c r="EB38" i="99" s="1"/>
  <c r="EC38" i="99" s="1"/>
  <c r="EA40" i="99"/>
  <c r="EB40" i="99" s="1"/>
  <c r="EC40" i="99" s="1"/>
  <c r="EA41" i="99"/>
  <c r="EB41" i="99" s="1"/>
  <c r="EC41" i="99" s="1"/>
  <c r="EA39" i="99"/>
  <c r="EB39" i="99" s="1"/>
  <c r="EC39" i="99" s="1"/>
  <c r="EA36" i="99"/>
  <c r="EC36" i="99" s="1"/>
  <c r="EA32" i="99"/>
  <c r="EB32" i="99" s="1"/>
  <c r="EC32" i="99" s="1"/>
  <c r="EA29" i="99"/>
  <c r="EB29" i="99" s="1"/>
  <c r="EC29" i="99" s="1"/>
  <c r="EA28" i="99"/>
  <c r="EB28" i="99" s="1"/>
  <c r="EC28" i="99" s="1"/>
  <c r="EA27" i="99"/>
  <c r="EB27" i="99" s="1"/>
  <c r="EC27" i="99" s="1"/>
  <c r="EA26" i="99"/>
  <c r="EB26" i="99" s="1"/>
  <c r="EC26" i="99" s="1"/>
  <c r="EA25" i="99"/>
  <c r="EB25" i="99" s="1"/>
  <c r="EC25" i="99" s="1"/>
  <c r="EA22" i="99"/>
  <c r="EB22" i="99" s="1"/>
  <c r="EC22" i="99" s="1"/>
  <c r="EA21" i="99"/>
  <c r="EB21" i="99" s="1"/>
  <c r="EC21" i="99" s="1"/>
  <c r="EA20" i="99"/>
  <c r="EB20" i="99" s="1"/>
  <c r="EC20" i="99" s="1"/>
  <c r="EA19" i="99"/>
  <c r="EB19" i="99" s="1"/>
  <c r="EC19" i="99" s="1"/>
  <c r="EA18" i="99"/>
  <c r="EB18" i="99" s="1"/>
  <c r="EC18" i="99" s="1"/>
  <c r="EA17" i="99"/>
  <c r="EB17" i="99" s="1"/>
  <c r="EC17" i="99" s="1"/>
  <c r="EA16" i="99"/>
  <c r="EB16" i="99" s="1"/>
  <c r="EC16" i="99" s="1"/>
  <c r="EA15" i="99"/>
  <c r="EB15" i="99" s="1"/>
  <c r="EC15" i="99" s="1"/>
  <c r="EA14" i="99"/>
  <c r="EB14" i="99" s="1"/>
  <c r="EC14" i="99" s="1"/>
  <c r="EA13" i="99"/>
  <c r="EB13" i="99" s="1"/>
  <c r="EC13" i="99" s="1"/>
  <c r="EA12" i="99"/>
  <c r="EB12" i="99" s="1"/>
  <c r="EC12" i="99" s="1"/>
  <c r="EA11" i="99"/>
  <c r="EB11" i="99" s="1"/>
  <c r="EC11" i="99" s="1"/>
  <c r="EA10" i="99"/>
  <c r="EB10" i="99" s="1"/>
  <c r="EC10" i="99" s="1"/>
  <c r="EA9" i="99"/>
  <c r="EB9" i="99" s="1"/>
  <c r="EC9" i="99" s="1"/>
  <c r="EB23" i="99"/>
  <c r="EC23" i="99" s="1"/>
  <c r="FH36" i="99"/>
  <c r="FH169" i="99"/>
  <c r="FH168" i="99"/>
  <c r="FH165" i="99"/>
  <c r="FH161" i="99"/>
  <c r="FH156" i="99"/>
  <c r="FH154" i="99"/>
  <c r="FG87" i="99"/>
  <c r="FH81" i="99"/>
  <c r="FH79" i="99"/>
  <c r="FG83" i="99"/>
  <c r="FH62" i="99"/>
  <c r="FH61" i="99"/>
  <c r="FH60" i="99"/>
  <c r="FH59" i="99"/>
  <c r="FH58" i="99"/>
  <c r="FH57" i="99"/>
  <c r="FH56" i="99"/>
  <c r="FH55" i="99"/>
  <c r="FH6" i="99"/>
  <c r="DY24" i="99"/>
  <c r="FH24" i="99" s="1"/>
  <c r="DY20" i="99"/>
  <c r="FH20" i="99" s="1"/>
  <c r="DY27" i="99"/>
  <c r="FH27" i="99" s="1"/>
  <c r="DY23" i="99"/>
  <c r="FH23" i="99" s="1"/>
  <c r="DY26" i="99"/>
  <c r="FH26" i="99" s="1"/>
  <c r="DY29" i="99"/>
  <c r="FH29" i="99" s="1"/>
  <c r="DY17" i="99"/>
  <c r="FH17" i="99" s="1"/>
  <c r="DY25" i="99"/>
  <c r="FH25" i="99" s="1"/>
  <c r="DY19" i="99"/>
  <c r="FH19" i="99" s="1"/>
  <c r="DY21" i="99"/>
  <c r="FH21" i="99" s="1"/>
  <c r="DY22" i="99"/>
  <c r="FH22" i="99" s="1"/>
  <c r="DY18" i="99"/>
  <c r="FH18" i="99" s="1"/>
  <c r="DY16" i="99"/>
  <c r="FH16" i="99" s="1"/>
  <c r="DY15" i="99"/>
  <c r="FH15" i="99" s="1"/>
  <c r="DY14" i="99"/>
  <c r="FH14" i="99" s="1"/>
  <c r="DY13" i="99"/>
  <c r="FH13" i="99" s="1"/>
  <c r="DY12" i="99"/>
  <c r="FH12" i="99" s="1"/>
  <c r="DY11" i="99"/>
  <c r="FH11" i="99" s="1"/>
  <c r="DY10" i="99"/>
  <c r="FH10" i="99" s="1"/>
  <c r="DY9" i="99"/>
  <c r="FH9" i="99" s="1"/>
  <c r="FG28" i="99"/>
  <c r="FG17" i="99"/>
  <c r="FG26" i="99"/>
  <c r="FG19" i="99"/>
  <c r="FG30" i="99"/>
  <c r="FG25" i="99"/>
  <c r="FG24" i="99"/>
  <c r="FG21" i="99"/>
  <c r="FG15" i="99"/>
  <c r="FG23" i="99"/>
  <c r="FG16" i="99"/>
  <c r="FG18" i="99"/>
  <c r="FG20" i="99"/>
  <c r="FG22" i="99"/>
  <c r="FG14" i="99"/>
  <c r="FG12" i="99"/>
  <c r="FG10" i="99"/>
  <c r="FG11" i="99"/>
  <c r="FG9" i="99"/>
  <c r="FG6" i="99"/>
  <c r="FG29" i="99"/>
  <c r="FG27" i="99"/>
  <c r="DX3" i="99"/>
  <c r="DW3" i="99"/>
  <c r="DV3" i="99"/>
  <c r="DQ3" i="99"/>
  <c r="DP3" i="99"/>
  <c r="DO3" i="99"/>
  <c r="DN3" i="99"/>
  <c r="DT3" i="99"/>
  <c r="DS3" i="99"/>
  <c r="FH3" i="99" l="1"/>
  <c r="FG3" i="99"/>
  <c r="FH71" i="99"/>
  <c r="FI103" i="99" s="1"/>
  <c r="EA71" i="99"/>
  <c r="EB71" i="99"/>
  <c r="DY3" i="99"/>
  <c r="DY71" i="99"/>
  <c r="EC71" i="99"/>
  <c r="FH153" i="99"/>
  <c r="FH163" i="99"/>
  <c r="FH173" i="99"/>
  <c r="FG71" i="99"/>
  <c r="DU3" i="99"/>
  <c r="FF109" i="99"/>
  <c r="FE81" i="99"/>
  <c r="FE79" i="99"/>
  <c r="FF81" i="99"/>
  <c r="FF79" i="99"/>
  <c r="FE70" i="99"/>
  <c r="FF70" i="99"/>
  <c r="FF20" i="99"/>
  <c r="FE20" i="99"/>
  <c r="DR3" i="99"/>
  <c r="FH74" i="99" l="1"/>
  <c r="FH80" i="99" s="1"/>
  <c r="FH83" i="99" s="1"/>
  <c r="FH85" i="99" s="1"/>
  <c r="FH87" i="99" s="1"/>
  <c r="FH103" i="99"/>
  <c r="FE3" i="99"/>
  <c r="FF3" i="99"/>
  <c r="FF71" i="99"/>
  <c r="FF94" i="99" s="1"/>
  <c r="FE71" i="99"/>
  <c r="FE74" i="99" s="1"/>
  <c r="FE93" i="99" s="1"/>
  <c r="ES20" i="99"/>
  <c r="ET20" i="99"/>
  <c r="EW20" i="99"/>
  <c r="EX20" i="99"/>
  <c r="FF96" i="99" l="1"/>
  <c r="FG103" i="99"/>
  <c r="FF95" i="99"/>
  <c r="FF74" i="99"/>
  <c r="FF103" i="99"/>
  <c r="FF80" i="99"/>
  <c r="FF93" i="99"/>
  <c r="EW64" i="99"/>
  <c r="EX11" i="99"/>
  <c r="EW11" i="99"/>
  <c r="EX63" i="99"/>
  <c r="EW63" i="99"/>
  <c r="EX62" i="99"/>
  <c r="EW62" i="99"/>
  <c r="EX61" i="99"/>
  <c r="EW61" i="99"/>
  <c r="EX60" i="99"/>
  <c r="EW60" i="99"/>
  <c r="EX59" i="99"/>
  <c r="EW59" i="99"/>
  <c r="EX58" i="99"/>
  <c r="EW58" i="99"/>
  <c r="EX57" i="99"/>
  <c r="EW57" i="99"/>
  <c r="EX56" i="99"/>
  <c r="EW56" i="99"/>
  <c r="EX55" i="99"/>
  <c r="EW55" i="99"/>
  <c r="EX54" i="99"/>
  <c r="EW54" i="99"/>
  <c r="EX53" i="99"/>
  <c r="EW53" i="99"/>
  <c r="EX25" i="99"/>
  <c r="EW25" i="99"/>
  <c r="EX27" i="99"/>
  <c r="EW27" i="99"/>
  <c r="EX51" i="99"/>
  <c r="EW51" i="99"/>
  <c r="EX50" i="99"/>
  <c r="EW50" i="99"/>
  <c r="EX15" i="99"/>
  <c r="EW15" i="99"/>
  <c r="EX28" i="99"/>
  <c r="EW28" i="99"/>
  <c r="EX49" i="99"/>
  <c r="EW49" i="99"/>
  <c r="EX14" i="99"/>
  <c r="EW14" i="99"/>
  <c r="EX47" i="99"/>
  <c r="EW47" i="99"/>
  <c r="EX46" i="99"/>
  <c r="EW46" i="99"/>
  <c r="EX44" i="99"/>
  <c r="EW44" i="99"/>
  <c r="EX43" i="99"/>
  <c r="EW43" i="99"/>
  <c r="EX24" i="99"/>
  <c r="EW24" i="99"/>
  <c r="EX18" i="99"/>
  <c r="EW18" i="99"/>
  <c r="EW22" i="99"/>
  <c r="EV62" i="99"/>
  <c r="EV61" i="99"/>
  <c r="EV60" i="99"/>
  <c r="EV59" i="99"/>
  <c r="EV58" i="99"/>
  <c r="EV57" i="99"/>
  <c r="EV56" i="99"/>
  <c r="EV55" i="99"/>
  <c r="EX22" i="99"/>
  <c r="ET22" i="99"/>
  <c r="ES22" i="99"/>
  <c r="EP22" i="99"/>
  <c r="EO22" i="99"/>
  <c r="FF97" i="99" l="1"/>
  <c r="FF83" i="99"/>
  <c r="EU93" i="99"/>
  <c r="EV81" i="99"/>
  <c r="EV79" i="99"/>
  <c r="EV8" i="99"/>
  <c r="EV7" i="99"/>
  <c r="EV6" i="99"/>
  <c r="EV5" i="99"/>
  <c r="EV4" i="99"/>
  <c r="EV53" i="99"/>
  <c r="EV52" i="99"/>
  <c r="CC70" i="99"/>
  <c r="CC71" i="99" s="1"/>
  <c r="CB70" i="99"/>
  <c r="CB71" i="99" s="1"/>
  <c r="BZ70" i="99"/>
  <c r="V14" i="99"/>
  <c r="V53" i="99"/>
  <c r="V52" i="99"/>
  <c r="BY70" i="99"/>
  <c r="BY71" i="99" s="1"/>
  <c r="V6" i="99"/>
  <c r="V25" i="99"/>
  <c r="V27" i="99"/>
  <c r="V51" i="99"/>
  <c r="V50" i="99"/>
  <c r="V15" i="99"/>
  <c r="V28" i="99"/>
  <c r="V49" i="99"/>
  <c r="V48" i="99"/>
  <c r="V47" i="99"/>
  <c r="V46" i="99"/>
  <c r="V44" i="99"/>
  <c r="V43" i="99"/>
  <c r="V24" i="99"/>
  <c r="V18" i="99"/>
  <c r="X18" i="99" s="1"/>
  <c r="V20" i="99"/>
  <c r="X20" i="99" s="1"/>
  <c r="V22" i="99"/>
  <c r="X22" i="99" s="1"/>
  <c r="CA47" i="99"/>
  <c r="EV47" i="99" s="1"/>
  <c r="FF99" i="99" l="1"/>
  <c r="FF98" i="99"/>
  <c r="FF85" i="99"/>
  <c r="FF87" i="99" s="1"/>
  <c r="FF100" i="99" s="1"/>
  <c r="BZ71" i="99"/>
  <c r="BY126" i="99"/>
  <c r="BZ126" i="99"/>
  <c r="CC126" i="99"/>
  <c r="BY127" i="99"/>
  <c r="BZ127" i="99"/>
  <c r="CC127" i="99"/>
  <c r="CA54" i="99"/>
  <c r="CA14" i="99"/>
  <c r="EV14" i="99" s="1"/>
  <c r="U53" i="99"/>
  <c r="CA25" i="99"/>
  <c r="CA27" i="99"/>
  <c r="CA51" i="99"/>
  <c r="CA50" i="99"/>
  <c r="EV50" i="99" s="1"/>
  <c r="CA15" i="99"/>
  <c r="CA49" i="99"/>
  <c r="CA48" i="99"/>
  <c r="U47" i="99"/>
  <c r="CA46" i="99"/>
  <c r="CA44" i="99"/>
  <c r="CA43" i="99"/>
  <c r="CA28" i="99"/>
  <c r="CA24" i="99"/>
  <c r="CA18" i="99"/>
  <c r="CA20" i="99"/>
  <c r="EV20" i="99" s="1"/>
  <c r="CA22" i="99"/>
  <c r="EV22" i="99" s="1"/>
  <c r="CC3" i="99"/>
  <c r="CB3" i="99"/>
  <c r="BZ3" i="99"/>
  <c r="U20" i="99" l="1"/>
  <c r="W20" i="99" s="1"/>
  <c r="U43" i="99"/>
  <c r="EV43" i="99"/>
  <c r="U51" i="99"/>
  <c r="EV51" i="99"/>
  <c r="U14" i="99"/>
  <c r="U18" i="99"/>
  <c r="W18" i="99" s="1"/>
  <c r="EV18" i="99"/>
  <c r="U49" i="99"/>
  <c r="EV49" i="99"/>
  <c r="U24" i="99"/>
  <c r="EV24" i="99"/>
  <c r="U46" i="99"/>
  <c r="EV46" i="99"/>
  <c r="U15" i="99"/>
  <c r="EV15" i="99"/>
  <c r="U25" i="99"/>
  <c r="EV25" i="99"/>
  <c r="U50" i="99"/>
  <c r="U48" i="99"/>
  <c r="EV48" i="99"/>
  <c r="U44" i="99"/>
  <c r="EV44" i="99"/>
  <c r="U27" i="99"/>
  <c r="EV27" i="99"/>
  <c r="U54" i="99"/>
  <c r="V54" i="99" s="1"/>
  <c r="V71" i="99" s="1"/>
  <c r="EV54" i="99"/>
  <c r="U22" i="99"/>
  <c r="W22" i="99" s="1"/>
  <c r="CA70" i="99"/>
  <c r="EV70" i="99" s="1"/>
  <c r="U28" i="99"/>
  <c r="EV28" i="99"/>
  <c r="U52" i="99"/>
  <c r="CA71" i="99" l="1"/>
  <c r="U71" i="99"/>
  <c r="CA3" i="99"/>
  <c r="EV3" i="99" s="1"/>
  <c r="EV71" i="99" s="1"/>
  <c r="EV74" i="99" s="1"/>
  <c r="E3" i="128"/>
  <c r="F3" i="128" s="1"/>
  <c r="G3" i="128" s="1"/>
  <c r="H3" i="128" s="1"/>
  <c r="I3" i="128" s="1"/>
  <c r="J3" i="128" s="1"/>
  <c r="K3" i="128" s="1"/>
  <c r="L3" i="128" s="1"/>
  <c r="M3" i="128" s="1"/>
  <c r="N3" i="128" s="1"/>
  <c r="O3" i="128" s="1"/>
  <c r="P3" i="128" s="1"/>
  <c r="Q3" i="128" s="1"/>
  <c r="R3" i="128" s="1"/>
  <c r="S3" i="128" s="1"/>
  <c r="T3" i="128" s="1"/>
  <c r="U3" i="128" s="1"/>
  <c r="V3" i="128" s="1"/>
  <c r="W3" i="128" s="1"/>
  <c r="X3" i="128" s="1"/>
  <c r="Y3" i="128" s="1"/>
  <c r="Z3" i="128" s="1"/>
  <c r="D8" i="128"/>
  <c r="D9" i="128"/>
  <c r="E9" i="128" s="1"/>
  <c r="F9" i="128" s="1"/>
  <c r="F14" i="128" s="1"/>
  <c r="C11" i="128"/>
  <c r="C14" i="128"/>
  <c r="AB43" i="115"/>
  <c r="AC43" i="115" s="1"/>
  <c r="D44" i="115"/>
  <c r="E44" i="115"/>
  <c r="F44" i="115"/>
  <c r="G44" i="115"/>
  <c r="H44" i="115"/>
  <c r="I44" i="115"/>
  <c r="J44" i="115"/>
  <c r="K44" i="115"/>
  <c r="L44" i="115"/>
  <c r="M44" i="115"/>
  <c r="N44" i="115"/>
  <c r="O44" i="115"/>
  <c r="P44" i="115"/>
  <c r="Q44" i="115"/>
  <c r="R44" i="115"/>
  <c r="S44" i="115"/>
  <c r="T44" i="115"/>
  <c r="Y45" i="115"/>
  <c r="Z45" i="115"/>
  <c r="AA45" i="115"/>
  <c r="Y46" i="115"/>
  <c r="Z46" i="115"/>
  <c r="AA46" i="115"/>
  <c r="Y47" i="115"/>
  <c r="Z47" i="115"/>
  <c r="AA47" i="115"/>
  <c r="C12" i="124"/>
  <c r="C13" i="124"/>
  <c r="C14" i="124"/>
  <c r="C15" i="124"/>
  <c r="C16" i="124"/>
  <c r="ES2" i="99"/>
  <c r="ET2" i="99" s="1"/>
  <c r="EU2" i="99" s="1"/>
  <c r="EV2" i="99" s="1"/>
  <c r="EW2" i="99" s="1"/>
  <c r="EX2" i="99" s="1"/>
  <c r="EY2" i="99" s="1"/>
  <c r="EZ2" i="99" s="1"/>
  <c r="FA2" i="99" s="1"/>
  <c r="FB2" i="99" s="1"/>
  <c r="FC2" i="99" s="1"/>
  <c r="FD2" i="99" s="1"/>
  <c r="FE2" i="99" s="1"/>
  <c r="FF2" i="99" s="1"/>
  <c r="FG2" i="99" s="1"/>
  <c r="FH2" i="99" s="1"/>
  <c r="FI2" i="99" s="1"/>
  <c r="FJ2" i="99" s="1"/>
  <c r="FK2" i="99" s="1"/>
  <c r="FL2" i="99" s="1"/>
  <c r="FM2" i="99" s="1"/>
  <c r="FN2" i="99" s="1"/>
  <c r="FO2" i="99" s="1"/>
  <c r="FP2" i="99" s="1"/>
  <c r="FQ2" i="99" s="1"/>
  <c r="FR2" i="99" s="1"/>
  <c r="FS2" i="99" s="1"/>
  <c r="FT2" i="99" s="1"/>
  <c r="Q22" i="99"/>
  <c r="Q20" i="99"/>
  <c r="Q18" i="99"/>
  <c r="Q24" i="99"/>
  <c r="Q28" i="99"/>
  <c r="Q43" i="99"/>
  <c r="Q44" i="99"/>
  <c r="Q46" i="99"/>
  <c r="Q47" i="99"/>
  <c r="Q48" i="99"/>
  <c r="Q49" i="99"/>
  <c r="Q55" i="99"/>
  <c r="Q15" i="99"/>
  <c r="Q50" i="99"/>
  <c r="Q51" i="99"/>
  <c r="Q27" i="99"/>
  <c r="Q64" i="99"/>
  <c r="Q25" i="99"/>
  <c r="Q52" i="99"/>
  <c r="Q53" i="99"/>
  <c r="Q8" i="99"/>
  <c r="Q71" i="99" s="1"/>
  <c r="Q96" i="99" s="1"/>
  <c r="BT28" i="99"/>
  <c r="ET28" i="99" s="1"/>
  <c r="BT43" i="99"/>
  <c r="ET43" i="99" s="1"/>
  <c r="BT44" i="99"/>
  <c r="R44" i="99" s="1"/>
  <c r="BT46" i="99"/>
  <c r="BT133" i="99" s="1"/>
  <c r="BT47" i="99"/>
  <c r="R47" i="99" s="1"/>
  <c r="BT49" i="99"/>
  <c r="R49" i="99" s="1"/>
  <c r="BS4" i="99"/>
  <c r="BT4" i="99" s="1"/>
  <c r="BS5" i="99"/>
  <c r="BT5" i="99" s="1"/>
  <c r="R5" i="99" s="1"/>
  <c r="BS8" i="99"/>
  <c r="BT8" i="99" s="1"/>
  <c r="BU8" i="99"/>
  <c r="BU70" i="99" s="1"/>
  <c r="BV3" i="99"/>
  <c r="AX3" i="99"/>
  <c r="AY3" i="99"/>
  <c r="AZ3" i="99"/>
  <c r="BA3" i="99"/>
  <c r="BB3" i="99"/>
  <c r="BC3" i="99"/>
  <c r="BD3" i="99"/>
  <c r="BE3" i="99"/>
  <c r="BF3" i="99"/>
  <c r="BG3" i="99"/>
  <c r="BH3" i="99"/>
  <c r="BI3" i="99"/>
  <c r="BJ3" i="99"/>
  <c r="BK3" i="99"/>
  <c r="BL70" i="99"/>
  <c r="BL3" i="99" s="1"/>
  <c r="BM70" i="99"/>
  <c r="BM3" i="99" s="1"/>
  <c r="BN70" i="99"/>
  <c r="BN71" i="99" s="1"/>
  <c r="BO70" i="99"/>
  <c r="BO3" i="99" s="1"/>
  <c r="BP70" i="99"/>
  <c r="BP3" i="99" s="1"/>
  <c r="BQ70" i="99"/>
  <c r="BQ3" i="99" s="1"/>
  <c r="BR70" i="99"/>
  <c r="BW22" i="99"/>
  <c r="BW20" i="99"/>
  <c r="BW18" i="99"/>
  <c r="BW24" i="99"/>
  <c r="BX24" i="99" s="1"/>
  <c r="T24" i="99" s="1"/>
  <c r="BW28" i="99"/>
  <c r="BW43" i="99"/>
  <c r="BX43" i="99" s="1"/>
  <c r="T43" i="99" s="1"/>
  <c r="BW44" i="99"/>
  <c r="BX44" i="99" s="1"/>
  <c r="BW46" i="99"/>
  <c r="BX46" i="99" s="1"/>
  <c r="BW47" i="99"/>
  <c r="BW48" i="99"/>
  <c r="BX48" i="99" s="1"/>
  <c r="BW49" i="99"/>
  <c r="BX49" i="99" s="1"/>
  <c r="BW55" i="99"/>
  <c r="BX55" i="99" s="1"/>
  <c r="T55" i="99" s="1"/>
  <c r="BW15" i="99"/>
  <c r="BW50" i="99"/>
  <c r="BX50" i="99" s="1"/>
  <c r="T50" i="99" s="1"/>
  <c r="BW51" i="99"/>
  <c r="BX51" i="99" s="1"/>
  <c r="EU51" i="99" s="1"/>
  <c r="BW27" i="99"/>
  <c r="BX27" i="99" s="1"/>
  <c r="BW64" i="99"/>
  <c r="BW25" i="99"/>
  <c r="BX25" i="99" s="1"/>
  <c r="BW52" i="99"/>
  <c r="BX52" i="99" s="1"/>
  <c r="BW14" i="99"/>
  <c r="EU14" i="99" s="1"/>
  <c r="EL3" i="99"/>
  <c r="EM3" i="99"/>
  <c r="EN3" i="99"/>
  <c r="EO18" i="99"/>
  <c r="EO24" i="99"/>
  <c r="EO28" i="99"/>
  <c r="EO43" i="99"/>
  <c r="EO44" i="99"/>
  <c r="EO46" i="99"/>
  <c r="EO47" i="99"/>
  <c r="EO48" i="99"/>
  <c r="EO49" i="99"/>
  <c r="EO55" i="99"/>
  <c r="EO15" i="99"/>
  <c r="EO50" i="99"/>
  <c r="EO51" i="99"/>
  <c r="EO27" i="99"/>
  <c r="EO64" i="99"/>
  <c r="EO25" i="99"/>
  <c r="EO52" i="99"/>
  <c r="EO56" i="99"/>
  <c r="EO57" i="99"/>
  <c r="EO58" i="99"/>
  <c r="EO59" i="99"/>
  <c r="EO60" i="99"/>
  <c r="EO61" i="99"/>
  <c r="EO62" i="99"/>
  <c r="EO69" i="99"/>
  <c r="EP18" i="99"/>
  <c r="EP24" i="99"/>
  <c r="EP28" i="99"/>
  <c r="EP43" i="99"/>
  <c r="EP44" i="99"/>
  <c r="EP46" i="99"/>
  <c r="EP47" i="99"/>
  <c r="EP48" i="99"/>
  <c r="EP49" i="99"/>
  <c r="EP55" i="99"/>
  <c r="EP15" i="99"/>
  <c r="EP50" i="99"/>
  <c r="EP51" i="99"/>
  <c r="EP27" i="99"/>
  <c r="EP64" i="99"/>
  <c r="EP25" i="99"/>
  <c r="EP52" i="99"/>
  <c r="EP56" i="99"/>
  <c r="EP57" i="99"/>
  <c r="EP58" i="99"/>
  <c r="EP59" i="99"/>
  <c r="EP60" i="99"/>
  <c r="EP61" i="99"/>
  <c r="EP62" i="99"/>
  <c r="EP69" i="99"/>
  <c r="L22" i="99"/>
  <c r="EQ22" i="99" s="1"/>
  <c r="L20" i="99"/>
  <c r="EQ20" i="99" s="1"/>
  <c r="L18" i="99"/>
  <c r="EQ18" i="99" s="1"/>
  <c r="L24" i="99"/>
  <c r="EQ24" i="99" s="1"/>
  <c r="L28" i="99"/>
  <c r="EQ28" i="99" s="1"/>
  <c r="L43" i="99"/>
  <c r="EQ43" i="99" s="1"/>
  <c r="L44" i="99"/>
  <c r="EQ44" i="99" s="1"/>
  <c r="L46" i="99"/>
  <c r="EQ46" i="99" s="1"/>
  <c r="L47" i="99"/>
  <c r="EQ47" i="99" s="1"/>
  <c r="L48" i="99"/>
  <c r="EQ48" i="99" s="1"/>
  <c r="L49" i="99"/>
  <c r="EQ49" i="99" s="1"/>
  <c r="L55" i="99"/>
  <c r="EQ55" i="99" s="1"/>
  <c r="L15" i="99"/>
  <c r="EQ15" i="99" s="1"/>
  <c r="L50" i="99"/>
  <c r="EQ50" i="99" s="1"/>
  <c r="L51" i="99"/>
  <c r="EQ51" i="99" s="1"/>
  <c r="L27" i="99"/>
  <c r="EQ27" i="99" s="1"/>
  <c r="L64" i="99"/>
  <c r="EQ64" i="99" s="1"/>
  <c r="L25" i="99"/>
  <c r="EQ25" i="99" s="1"/>
  <c r="L52" i="99"/>
  <c r="EQ52" i="99" s="1"/>
  <c r="L56" i="99"/>
  <c r="EQ56" i="99" s="1"/>
  <c r="EQ69" i="99"/>
  <c r="N22" i="99"/>
  <c r="ER22" i="99" s="1"/>
  <c r="N20" i="99"/>
  <c r="ER20" i="99" s="1"/>
  <c r="N18" i="99"/>
  <c r="ER18" i="99" s="1"/>
  <c r="N24" i="99"/>
  <c r="ER24" i="99" s="1"/>
  <c r="N28" i="99"/>
  <c r="ER28" i="99" s="1"/>
  <c r="N43" i="99"/>
  <c r="ER43" i="99" s="1"/>
  <c r="N44" i="99"/>
  <c r="ER44" i="99" s="1"/>
  <c r="N46" i="99"/>
  <c r="ER46" i="99" s="1"/>
  <c r="N47" i="99"/>
  <c r="ER47" i="99" s="1"/>
  <c r="N48" i="99"/>
  <c r="ER48" i="99" s="1"/>
  <c r="N49" i="99"/>
  <c r="ER49" i="99" s="1"/>
  <c r="N55" i="99"/>
  <c r="ER55" i="99" s="1"/>
  <c r="N15" i="99"/>
  <c r="ER15" i="99" s="1"/>
  <c r="N50" i="99"/>
  <c r="ER50" i="99" s="1"/>
  <c r="N51" i="99"/>
  <c r="ER51" i="99" s="1"/>
  <c r="N27" i="99"/>
  <c r="ER27" i="99" s="1"/>
  <c r="N64" i="99"/>
  <c r="ER64" i="99" s="1"/>
  <c r="N25" i="99"/>
  <c r="ER25" i="99" s="1"/>
  <c r="N52" i="99"/>
  <c r="ER52" i="99" s="1"/>
  <c r="ER53" i="99"/>
  <c r="N56" i="99"/>
  <c r="ER56" i="99" s="1"/>
  <c r="ES18" i="99"/>
  <c r="ES24" i="99"/>
  <c r="ES28" i="99"/>
  <c r="ES43" i="99"/>
  <c r="ES44" i="99"/>
  <c r="ES46" i="99"/>
  <c r="ES47" i="99"/>
  <c r="ES48" i="99"/>
  <c r="ES49" i="99"/>
  <c r="ES55" i="99"/>
  <c r="ES15" i="99"/>
  <c r="ES50" i="99"/>
  <c r="ES51" i="99"/>
  <c r="ES27" i="99"/>
  <c r="ES64" i="99"/>
  <c r="ES25" i="99"/>
  <c r="ES52" i="99"/>
  <c r="ES53" i="99"/>
  <c r="ET18" i="99"/>
  <c r="ET24" i="99"/>
  <c r="ET48" i="99"/>
  <c r="ET55" i="99"/>
  <c r="ET15" i="99"/>
  <c r="ET50" i="99"/>
  <c r="ET51" i="99"/>
  <c r="ET27" i="99"/>
  <c r="ET64" i="99"/>
  <c r="ET25" i="99"/>
  <c r="ET52" i="99"/>
  <c r="ET53" i="99"/>
  <c r="BV70" i="99"/>
  <c r="J4" i="99"/>
  <c r="L4" i="99"/>
  <c r="N4" i="99"/>
  <c r="ER4" i="99" s="1"/>
  <c r="P4" i="99"/>
  <c r="T4" i="99"/>
  <c r="EU4" i="99"/>
  <c r="J5" i="99"/>
  <c r="L5" i="99"/>
  <c r="EQ5" i="99" s="1"/>
  <c r="N5" i="99"/>
  <c r="ER5" i="99" s="1"/>
  <c r="P5" i="99"/>
  <c r="ES5" i="99" s="1"/>
  <c r="T5" i="99"/>
  <c r="EO5" i="99"/>
  <c r="EP5" i="99"/>
  <c r="EU5" i="99"/>
  <c r="J6" i="99"/>
  <c r="L6" i="99"/>
  <c r="EQ6" i="99" s="1"/>
  <c r="N6" i="99"/>
  <c r="ER6" i="99" s="1"/>
  <c r="P6" i="99"/>
  <c r="ES6" i="99" s="1"/>
  <c r="BS6" i="99"/>
  <c r="BT6" i="99" s="1"/>
  <c r="R6" i="99" s="1"/>
  <c r="T6" i="99"/>
  <c r="EL6" i="99"/>
  <c r="EM6" i="99"/>
  <c r="EN6" i="99"/>
  <c r="EO8" i="99"/>
  <c r="EP8" i="99"/>
  <c r="EU6" i="99"/>
  <c r="FE109" i="99" s="1"/>
  <c r="S7" i="99"/>
  <c r="T7" i="99" s="1"/>
  <c r="ET7" i="99"/>
  <c r="EU7" i="99"/>
  <c r="J8" i="99"/>
  <c r="L8" i="99"/>
  <c r="M8" i="99"/>
  <c r="N8" i="99" s="1"/>
  <c r="P8" i="99"/>
  <c r="ES8" i="99" s="1"/>
  <c r="S8" i="99"/>
  <c r="T8" i="99" s="1"/>
  <c r="EU8" i="99"/>
  <c r="J22" i="99"/>
  <c r="P22" i="99"/>
  <c r="R22" i="99"/>
  <c r="J20" i="99"/>
  <c r="P20" i="99"/>
  <c r="R20" i="99"/>
  <c r="J18" i="99"/>
  <c r="P18" i="99"/>
  <c r="R18" i="99"/>
  <c r="P24" i="99"/>
  <c r="R24" i="99"/>
  <c r="J28" i="99"/>
  <c r="P28" i="99"/>
  <c r="J43" i="99"/>
  <c r="P43" i="99"/>
  <c r="J44" i="99"/>
  <c r="P44" i="99"/>
  <c r="J46" i="99"/>
  <c r="P46" i="99"/>
  <c r="J47" i="99"/>
  <c r="P47" i="99"/>
  <c r="J48" i="99"/>
  <c r="P48" i="99"/>
  <c r="R48" i="99"/>
  <c r="J49" i="99"/>
  <c r="P49" i="99"/>
  <c r="J55" i="99"/>
  <c r="P55" i="99"/>
  <c r="R55" i="99"/>
  <c r="J15" i="99"/>
  <c r="P15" i="99"/>
  <c r="R15" i="99"/>
  <c r="J50" i="99"/>
  <c r="P50" i="99"/>
  <c r="R50" i="99"/>
  <c r="J51" i="99"/>
  <c r="P51" i="99"/>
  <c r="R51" i="99"/>
  <c r="J27" i="99"/>
  <c r="P27" i="99"/>
  <c r="R27" i="99"/>
  <c r="J64" i="99"/>
  <c r="P64" i="99"/>
  <c r="R64" i="99"/>
  <c r="J25" i="99"/>
  <c r="P25" i="99"/>
  <c r="R25" i="99"/>
  <c r="J52" i="99"/>
  <c r="P52" i="99"/>
  <c r="R52" i="99"/>
  <c r="P53" i="99"/>
  <c r="R53" i="99"/>
  <c r="T53" i="99"/>
  <c r="J56" i="99"/>
  <c r="T14" i="99"/>
  <c r="I70" i="99"/>
  <c r="K70" i="99"/>
  <c r="O70" i="99"/>
  <c r="BH70" i="99"/>
  <c r="BH71" i="99" s="1"/>
  <c r="BI70" i="99"/>
  <c r="BI71" i="99" s="1"/>
  <c r="BJ70" i="99"/>
  <c r="BJ71" i="99" s="1"/>
  <c r="BK70" i="99"/>
  <c r="BK71" i="99" s="1"/>
  <c r="I71" i="99"/>
  <c r="K71" i="99"/>
  <c r="K74" i="99" s="1"/>
  <c r="K93" i="99" s="1"/>
  <c r="O71" i="99"/>
  <c r="O74" i="99" s="1"/>
  <c r="BV71" i="99"/>
  <c r="J72" i="99"/>
  <c r="EP72" i="99" s="1"/>
  <c r="L72" i="99"/>
  <c r="EQ72" i="99" s="1"/>
  <c r="M72" i="99"/>
  <c r="N72" i="99" s="1"/>
  <c r="ER72" i="99" s="1"/>
  <c r="P72" i="99"/>
  <c r="ES72" i="99" s="1"/>
  <c r="R72" i="99"/>
  <c r="ET72" i="99" s="1"/>
  <c r="T72" i="99"/>
  <c r="J73" i="99"/>
  <c r="EP73" i="99" s="1"/>
  <c r="L73" i="99"/>
  <c r="EQ73" i="99" s="1"/>
  <c r="N73" i="99"/>
  <c r="ER73" i="99" s="1"/>
  <c r="P73" i="99"/>
  <c r="ES73" i="99" s="1"/>
  <c r="R73" i="99"/>
  <c r="ET73" i="99" s="1"/>
  <c r="T73" i="99"/>
  <c r="EU73" i="99" s="1"/>
  <c r="J75" i="99"/>
  <c r="L75" i="99"/>
  <c r="EQ75" i="99" s="1"/>
  <c r="N75" i="99"/>
  <c r="ER75" i="99" s="1"/>
  <c r="P75" i="99"/>
  <c r="ES75" i="99" s="1"/>
  <c r="R75" i="99"/>
  <c r="ET75" i="99" s="1"/>
  <c r="T75" i="99"/>
  <c r="EU75" i="99" s="1"/>
  <c r="EW75" i="99" s="1"/>
  <c r="J76" i="99"/>
  <c r="L76" i="99"/>
  <c r="EQ76" i="99" s="1"/>
  <c r="EQ112" i="99" s="1"/>
  <c r="N76" i="99"/>
  <c r="ER76" i="99" s="1"/>
  <c r="P76" i="99"/>
  <c r="R76" i="99"/>
  <c r="ET76" i="99" s="1"/>
  <c r="T76" i="99"/>
  <c r="J77" i="99"/>
  <c r="EP77" i="99" s="1"/>
  <c r="EP113" i="99" s="1"/>
  <c r="L77" i="99"/>
  <c r="EQ77" i="99" s="1"/>
  <c r="N77" i="99"/>
  <c r="P77" i="99"/>
  <c r="ES77" i="99" s="1"/>
  <c r="R77" i="99"/>
  <c r="ET77" i="99" s="1"/>
  <c r="T77" i="99"/>
  <c r="EU77" i="99" s="1"/>
  <c r="M78" i="99"/>
  <c r="N78" i="99" s="1"/>
  <c r="O79" i="99"/>
  <c r="Q79" i="99"/>
  <c r="S79" i="99"/>
  <c r="J81" i="99"/>
  <c r="L81" i="99"/>
  <c r="EQ81" i="99" s="1"/>
  <c r="N81" i="99"/>
  <c r="ER81" i="99" s="1"/>
  <c r="P81" i="99"/>
  <c r="R81" i="99"/>
  <c r="ET81" i="99" s="1"/>
  <c r="T81" i="99"/>
  <c r="EU81" i="99" s="1"/>
  <c r="EU91" i="99"/>
  <c r="T82" i="99"/>
  <c r="EU82" i="99" s="1"/>
  <c r="T84" i="99"/>
  <c r="EU84" i="99" s="1"/>
  <c r="T86" i="99"/>
  <c r="EU86" i="99" s="1"/>
  <c r="J82" i="99"/>
  <c r="L82" i="99"/>
  <c r="EQ82" i="99" s="1"/>
  <c r="N82" i="99"/>
  <c r="ER82" i="99" s="1"/>
  <c r="P82" i="99"/>
  <c r="R82" i="99"/>
  <c r="ET82" i="99" s="1"/>
  <c r="J84" i="99"/>
  <c r="L84" i="99"/>
  <c r="EQ84" i="99" s="1"/>
  <c r="N84" i="99"/>
  <c r="ER84" i="99" s="1"/>
  <c r="R84" i="99"/>
  <c r="ET84" i="99" s="1"/>
  <c r="J86" i="99"/>
  <c r="L86" i="99"/>
  <c r="EQ86" i="99" s="1"/>
  <c r="N86" i="99"/>
  <c r="ER86" i="99" s="1"/>
  <c r="P86" i="99"/>
  <c r="R86" i="99"/>
  <c r="ET86" i="99" s="1"/>
  <c r="P89" i="99"/>
  <c r="Q89" i="99" s="1"/>
  <c r="R89" i="99" s="1"/>
  <c r="S89" i="99" s="1"/>
  <c r="T89" i="99" s="1"/>
  <c r="EQ89" i="99"/>
  <c r="ER89" i="99" s="1"/>
  <c r="ES89" i="99" s="1"/>
  <c r="ET89" i="99" s="1"/>
  <c r="EU89" i="99" s="1"/>
  <c r="EV89" i="99" s="1"/>
  <c r="EW89" i="99" s="1"/>
  <c r="EX89" i="99" s="1"/>
  <c r="EY89" i="99" s="1"/>
  <c r="ES91" i="99"/>
  <c r="ET91" i="99"/>
  <c r="EM93" i="99"/>
  <c r="EN93" i="99"/>
  <c r="EO93" i="99"/>
  <c r="EP111" i="99"/>
  <c r="EP112" i="99"/>
  <c r="BB126" i="99"/>
  <c r="BC126" i="99"/>
  <c r="BD126" i="99"/>
  <c r="BE126" i="99"/>
  <c r="BF126" i="99"/>
  <c r="BG126" i="99"/>
  <c r="BH126" i="99"/>
  <c r="BI126" i="99"/>
  <c r="BJ126" i="99"/>
  <c r="BK126" i="99"/>
  <c r="BL126" i="99"/>
  <c r="BM126" i="99"/>
  <c r="BN126" i="99"/>
  <c r="BO126" i="99"/>
  <c r="BP126" i="99"/>
  <c r="BQ126" i="99"/>
  <c r="BR126" i="99"/>
  <c r="BS126" i="99"/>
  <c r="BT126" i="99"/>
  <c r="BU126" i="99"/>
  <c r="BV126" i="99"/>
  <c r="BB127" i="99"/>
  <c r="BC127" i="99"/>
  <c r="BD127" i="99"/>
  <c r="BE127" i="99"/>
  <c r="BF127" i="99"/>
  <c r="BG127" i="99"/>
  <c r="BH127" i="99"/>
  <c r="BI127" i="99"/>
  <c r="BJ127" i="99"/>
  <c r="BK127" i="99"/>
  <c r="BL127" i="99"/>
  <c r="BM127" i="99"/>
  <c r="BN127" i="99"/>
  <c r="BO127" i="99"/>
  <c r="BP127" i="99"/>
  <c r="BQ127" i="99"/>
  <c r="BR127" i="99"/>
  <c r="BS127" i="99"/>
  <c r="BT127" i="99"/>
  <c r="BU127" i="99"/>
  <c r="BV127" i="99"/>
  <c r="BB128" i="99"/>
  <c r="BC128" i="99"/>
  <c r="BD128" i="99"/>
  <c r="BE128" i="99"/>
  <c r="BF128" i="99"/>
  <c r="BG128" i="99"/>
  <c r="BH128" i="99"/>
  <c r="BI128" i="99"/>
  <c r="BJ128" i="99"/>
  <c r="BK128" i="99"/>
  <c r="BL128" i="99"/>
  <c r="BM128" i="99"/>
  <c r="BN128" i="99"/>
  <c r="BO128" i="99"/>
  <c r="BP128" i="99"/>
  <c r="BQ128" i="99"/>
  <c r="BR128" i="99"/>
  <c r="BS128" i="99"/>
  <c r="BT128" i="99"/>
  <c r="BU128" i="99"/>
  <c r="BV128" i="99"/>
  <c r="BY128" i="99"/>
  <c r="BZ128" i="99"/>
  <c r="CC128" i="99"/>
  <c r="BB129" i="99"/>
  <c r="BC129" i="99"/>
  <c r="BD129" i="99"/>
  <c r="BE129" i="99"/>
  <c r="BF129" i="99"/>
  <c r="BG129" i="99"/>
  <c r="BH129" i="99"/>
  <c r="BI129" i="99"/>
  <c r="BJ129" i="99"/>
  <c r="BK129" i="99"/>
  <c r="BL129" i="99"/>
  <c r="BM129" i="99"/>
  <c r="BN129" i="99"/>
  <c r="BO129" i="99"/>
  <c r="BP129" i="99"/>
  <c r="BQ129" i="99"/>
  <c r="BR129" i="99"/>
  <c r="BS129" i="99"/>
  <c r="BU129" i="99"/>
  <c r="BV129" i="99"/>
  <c r="BB130" i="99"/>
  <c r="BC130" i="99"/>
  <c r="BD130" i="99"/>
  <c r="BE130" i="99"/>
  <c r="BF130" i="99"/>
  <c r="BG130" i="99"/>
  <c r="BH130" i="99"/>
  <c r="BI130" i="99"/>
  <c r="BJ130" i="99"/>
  <c r="BK130" i="99"/>
  <c r="BL130" i="99"/>
  <c r="BM130" i="99"/>
  <c r="BN130" i="99"/>
  <c r="BO130" i="99"/>
  <c r="BP130" i="99"/>
  <c r="BQ130" i="99"/>
  <c r="BR130" i="99"/>
  <c r="BS130" i="99"/>
  <c r="BU130" i="99"/>
  <c r="BV130" i="99"/>
  <c r="BB131" i="99"/>
  <c r="BC131" i="99"/>
  <c r="BD131" i="99"/>
  <c r="BE131" i="99"/>
  <c r="BF131" i="99"/>
  <c r="BG131" i="99"/>
  <c r="BH131" i="99"/>
  <c r="BI131" i="99"/>
  <c r="BJ131" i="99"/>
  <c r="BK131" i="99"/>
  <c r="BL131" i="99"/>
  <c r="BM131" i="99"/>
  <c r="BN131" i="99"/>
  <c r="BO131" i="99"/>
  <c r="BP131" i="99"/>
  <c r="BQ131" i="99"/>
  <c r="BR131" i="99"/>
  <c r="BS131" i="99"/>
  <c r="BU131" i="99"/>
  <c r="BV131" i="99"/>
  <c r="BB132" i="99"/>
  <c r="BC132" i="99"/>
  <c r="BD132" i="99"/>
  <c r="BE132" i="99"/>
  <c r="BF132" i="99"/>
  <c r="BG132" i="99"/>
  <c r="BH132" i="99"/>
  <c r="BI132" i="99"/>
  <c r="BJ132" i="99"/>
  <c r="BK132" i="99"/>
  <c r="BL132" i="99"/>
  <c r="BM132" i="99"/>
  <c r="BN132" i="99"/>
  <c r="BO132" i="99"/>
  <c r="BP132" i="99"/>
  <c r="BQ132" i="99"/>
  <c r="BR132" i="99"/>
  <c r="BS132" i="99"/>
  <c r="BU132" i="99"/>
  <c r="BV132" i="99"/>
  <c r="BB133" i="99"/>
  <c r="BC133" i="99"/>
  <c r="BD133" i="99"/>
  <c r="BE133" i="99"/>
  <c r="BF133" i="99"/>
  <c r="BG133" i="99"/>
  <c r="BH133" i="99"/>
  <c r="BI133" i="99"/>
  <c r="BJ133" i="99"/>
  <c r="BK133" i="99"/>
  <c r="BL133" i="99"/>
  <c r="BM133" i="99"/>
  <c r="BN133" i="99"/>
  <c r="BO133" i="99"/>
  <c r="BP133" i="99"/>
  <c r="BQ133" i="99"/>
  <c r="BR133" i="99"/>
  <c r="BS133" i="99"/>
  <c r="BU133" i="99"/>
  <c r="BV133" i="99"/>
  <c r="BE134" i="99"/>
  <c r="BF134" i="99"/>
  <c r="BG134" i="99"/>
  <c r="BH134" i="99"/>
  <c r="BI134" i="99"/>
  <c r="BJ134" i="99"/>
  <c r="BK134" i="99"/>
  <c r="BL134" i="99"/>
  <c r="BM134" i="99"/>
  <c r="BN134" i="99"/>
  <c r="BO134" i="99"/>
  <c r="BP134" i="99"/>
  <c r="BQ134" i="99"/>
  <c r="BR134" i="99"/>
  <c r="BS134" i="99"/>
  <c r="BU134" i="99"/>
  <c r="BV134" i="99"/>
  <c r="BL135" i="99"/>
  <c r="BM135" i="99"/>
  <c r="BN135" i="99"/>
  <c r="BO135" i="99"/>
  <c r="BP135" i="99"/>
  <c r="BQ135" i="99"/>
  <c r="BR135" i="99"/>
  <c r="BS135" i="99"/>
  <c r="BT135" i="99"/>
  <c r="BU135" i="99"/>
  <c r="BV135" i="99"/>
  <c r="BG136" i="99"/>
  <c r="BH136" i="99"/>
  <c r="BI136" i="99"/>
  <c r="BJ136" i="99"/>
  <c r="BK136" i="99"/>
  <c r="BL136" i="99"/>
  <c r="BM136" i="99"/>
  <c r="BN136" i="99"/>
  <c r="BO136" i="99"/>
  <c r="BP136" i="99"/>
  <c r="BQ136" i="99"/>
  <c r="BR136" i="99"/>
  <c r="BS136" i="99"/>
  <c r="BT136" i="99"/>
  <c r="BU136" i="99"/>
  <c r="BV136" i="99"/>
  <c r="BB137" i="99"/>
  <c r="BC137" i="99"/>
  <c r="BD137" i="99"/>
  <c r="BE137" i="99"/>
  <c r="BF137" i="99"/>
  <c r="BG137" i="99"/>
  <c r="BH137" i="99"/>
  <c r="BI137" i="99"/>
  <c r="BJ137" i="99"/>
  <c r="BK137" i="99"/>
  <c r="BL137" i="99"/>
  <c r="BM137" i="99"/>
  <c r="BN137" i="99"/>
  <c r="BO137" i="99"/>
  <c r="BP137" i="99"/>
  <c r="BQ137" i="99"/>
  <c r="BR137" i="99"/>
  <c r="BS137" i="99"/>
  <c r="BT137" i="99"/>
  <c r="BU137" i="99"/>
  <c r="BV137" i="99"/>
  <c r="BB138" i="99"/>
  <c r="BC138" i="99"/>
  <c r="BD138" i="99"/>
  <c r="BE138" i="99"/>
  <c r="BF138" i="99"/>
  <c r="BG138" i="99"/>
  <c r="BH138" i="99"/>
  <c r="BI138" i="99"/>
  <c r="BJ138" i="99"/>
  <c r="BK138" i="99"/>
  <c r="BL138" i="99"/>
  <c r="BM138" i="99"/>
  <c r="BN138" i="99"/>
  <c r="BO138" i="99"/>
  <c r="BP138" i="99"/>
  <c r="BQ138" i="99"/>
  <c r="BR138" i="99"/>
  <c r="BS138" i="99"/>
  <c r="BT138" i="99"/>
  <c r="BU138" i="99"/>
  <c r="BV138" i="99"/>
  <c r="BB139" i="99"/>
  <c r="BC139" i="99"/>
  <c r="BD139" i="99"/>
  <c r="BE139" i="99"/>
  <c r="BF139" i="99"/>
  <c r="BG139" i="99"/>
  <c r="BH139" i="99"/>
  <c r="BI139" i="99"/>
  <c r="BJ139" i="99"/>
  <c r="BK139" i="99"/>
  <c r="BL139" i="99"/>
  <c r="BM139" i="99"/>
  <c r="BN139" i="99"/>
  <c r="BO139" i="99"/>
  <c r="BP139" i="99"/>
  <c r="BQ139" i="99"/>
  <c r="BR139" i="99"/>
  <c r="BS139" i="99"/>
  <c r="BT139" i="99"/>
  <c r="BU139" i="99"/>
  <c r="BV139" i="99"/>
  <c r="BB140" i="99"/>
  <c r="BC140" i="99"/>
  <c r="BD140" i="99"/>
  <c r="BE140" i="99"/>
  <c r="BF140" i="99"/>
  <c r="BG140" i="99"/>
  <c r="BH140" i="99"/>
  <c r="BI140" i="99"/>
  <c r="BJ140" i="99"/>
  <c r="BK140" i="99"/>
  <c r="BL140" i="99"/>
  <c r="BM140" i="99"/>
  <c r="BN140" i="99"/>
  <c r="BO140" i="99"/>
  <c r="BP140" i="99"/>
  <c r="BQ140" i="99"/>
  <c r="BR140" i="99"/>
  <c r="BS140" i="99"/>
  <c r="BT140" i="99"/>
  <c r="BU140" i="99"/>
  <c r="BV140" i="99"/>
  <c r="BB141" i="99"/>
  <c r="BC141" i="99"/>
  <c r="BD141" i="99"/>
  <c r="BE141" i="99"/>
  <c r="BF141" i="99"/>
  <c r="BG141" i="99"/>
  <c r="BH141" i="99"/>
  <c r="BI141" i="99"/>
  <c r="BJ141" i="99"/>
  <c r="BK141" i="99"/>
  <c r="BL141" i="99"/>
  <c r="BM141" i="99"/>
  <c r="BN141" i="99"/>
  <c r="BO141" i="99"/>
  <c r="BP141" i="99"/>
  <c r="BQ141" i="99"/>
  <c r="BR141" i="99"/>
  <c r="BS141" i="99"/>
  <c r="BT141" i="99"/>
  <c r="BU141" i="99"/>
  <c r="BV141" i="99"/>
  <c r="ES149" i="99"/>
  <c r="ET149" i="99"/>
  <c r="J4" i="101"/>
  <c r="S10" i="129"/>
  <c r="S11" i="129"/>
  <c r="S12" i="129"/>
  <c r="R13" i="129"/>
  <c r="S13" i="129" s="1"/>
  <c r="S14" i="129"/>
  <c r="S15" i="129"/>
  <c r="S16" i="129"/>
  <c r="S17" i="129"/>
  <c r="S18" i="129"/>
  <c r="S19" i="129"/>
  <c r="EZ71" i="99" l="1"/>
  <c r="FB71" i="99"/>
  <c r="FB74" i="99" s="1"/>
  <c r="FB80" i="99" s="1"/>
  <c r="AA44" i="115"/>
  <c r="D14" i="128"/>
  <c r="Z44" i="115"/>
  <c r="EV80" i="99"/>
  <c r="EV93" i="99"/>
  <c r="AB44" i="115"/>
  <c r="Y44" i="115"/>
  <c r="FD72" i="99"/>
  <c r="EU72" i="99"/>
  <c r="BW128" i="99"/>
  <c r="BR71" i="99"/>
  <c r="BV103" i="99" s="1"/>
  <c r="Q95" i="99"/>
  <c r="BW127" i="99"/>
  <c r="CA127" i="99"/>
  <c r="BX20" i="99"/>
  <c r="EU20" i="99" s="1"/>
  <c r="BW126" i="99"/>
  <c r="CA126" i="99"/>
  <c r="BT129" i="99"/>
  <c r="CA128" i="99"/>
  <c r="EV109" i="99"/>
  <c r="ET47" i="99"/>
  <c r="ER112" i="99"/>
  <c r="R28" i="99"/>
  <c r="BM71" i="99"/>
  <c r="FD109" i="99"/>
  <c r="K94" i="99"/>
  <c r="BL71" i="99"/>
  <c r="ES109" i="99"/>
  <c r="BT132" i="99"/>
  <c r="FC109" i="99"/>
  <c r="EQ113" i="99"/>
  <c r="K96" i="99"/>
  <c r="K103" i="99"/>
  <c r="EZ109" i="99"/>
  <c r="EY109" i="99"/>
  <c r="K95" i="99"/>
  <c r="R79" i="99"/>
  <c r="BP71" i="99"/>
  <c r="ET44" i="99"/>
  <c r="EU50" i="99"/>
  <c r="FB109" i="99"/>
  <c r="EX109" i="99"/>
  <c r="FA109" i="99"/>
  <c r="EW109" i="99"/>
  <c r="EU25" i="99"/>
  <c r="T25" i="99"/>
  <c r="EU48" i="99"/>
  <c r="T48" i="99"/>
  <c r="ET8" i="99"/>
  <c r="R8" i="99"/>
  <c r="ER109" i="99"/>
  <c r="BT134" i="99"/>
  <c r="BT131" i="99"/>
  <c r="O96" i="99"/>
  <c r="O95" i="99"/>
  <c r="BQ71" i="99"/>
  <c r="R43" i="99"/>
  <c r="ER8" i="99"/>
  <c r="EP6" i="99"/>
  <c r="ET5" i="99"/>
  <c r="ET49" i="99"/>
  <c r="BW70" i="99"/>
  <c r="BW3" i="99" s="1"/>
  <c r="M71" i="99"/>
  <c r="M70" i="99"/>
  <c r="BY3" i="99"/>
  <c r="BX18" i="99"/>
  <c r="BT130" i="99"/>
  <c r="Q103" i="99"/>
  <c r="EO6" i="99"/>
  <c r="EU43" i="99"/>
  <c r="EU24" i="99"/>
  <c r="BS70" i="99"/>
  <c r="BS3" i="99" s="1"/>
  <c r="O93" i="99"/>
  <c r="O80" i="99"/>
  <c r="O83" i="99" s="1"/>
  <c r="O85" i="99" s="1"/>
  <c r="O87" i="99" s="1"/>
  <c r="O88" i="99" s="1"/>
  <c r="EU49" i="99"/>
  <c r="T49" i="99"/>
  <c r="EU44" i="99"/>
  <c r="T44" i="99"/>
  <c r="EQ111" i="99"/>
  <c r="ER111" i="99"/>
  <c r="ER78" i="99"/>
  <c r="N79" i="99"/>
  <c r="BU3" i="99"/>
  <c r="BU71" i="99"/>
  <c r="T27" i="99"/>
  <c r="EU27" i="99"/>
  <c r="T46" i="99"/>
  <c r="EU46" i="99"/>
  <c r="ET79" i="99"/>
  <c r="E14" i="128"/>
  <c r="J7" i="101"/>
  <c r="Q94" i="99"/>
  <c r="I94" i="99"/>
  <c r="M79" i="99"/>
  <c r="I74" i="99"/>
  <c r="I80" i="99" s="1"/>
  <c r="I83" i="99" s="1"/>
  <c r="I85" i="99" s="1"/>
  <c r="I87" i="99" s="1"/>
  <c r="I88" i="99" s="1"/>
  <c r="BO71" i="99"/>
  <c r="T51" i="99"/>
  <c r="O94" i="99"/>
  <c r="EQ78" i="99"/>
  <c r="EQ79" i="99" s="1"/>
  <c r="EU76" i="99"/>
  <c r="EU79" i="99" s="1"/>
  <c r="Q74" i="99"/>
  <c r="EU55" i="99"/>
  <c r="D11" i="128"/>
  <c r="T79" i="99"/>
  <c r="K80" i="99"/>
  <c r="L71" i="99"/>
  <c r="ER77" i="99"/>
  <c r="ES76" i="99"/>
  <c r="ES79" i="99" s="1"/>
  <c r="P79" i="99"/>
  <c r="P70" i="99"/>
  <c r="EQ8" i="99"/>
  <c r="L70" i="99"/>
  <c r="EQ70" i="99" s="1"/>
  <c r="J70" i="99"/>
  <c r="J71" i="99"/>
  <c r="ES4" i="99"/>
  <c r="P71" i="99"/>
  <c r="BT70" i="99"/>
  <c r="BT3" i="99" s="1"/>
  <c r="R4" i="99"/>
  <c r="ET4" i="99"/>
  <c r="ET46" i="99"/>
  <c r="R46" i="99"/>
  <c r="ER3" i="99"/>
  <c r="N70" i="99"/>
  <c r="EQ3" i="99"/>
  <c r="EU52" i="99"/>
  <c r="T52" i="99"/>
  <c r="BR3" i="99"/>
  <c r="BN3" i="99"/>
  <c r="ES70" i="99"/>
  <c r="ES71" i="99" s="1"/>
  <c r="N71" i="99"/>
  <c r="ET6" i="99"/>
  <c r="EQ4" i="99"/>
  <c r="Q69" i="99"/>
  <c r="Q3" i="99" s="1"/>
  <c r="G9" i="128"/>
  <c r="EO3" i="99"/>
  <c r="BX64" i="99"/>
  <c r="T64" i="99" s="1"/>
  <c r="BX15" i="99"/>
  <c r="T15" i="99" s="1"/>
  <c r="BX47" i="99"/>
  <c r="T47" i="99" s="1"/>
  <c r="BX28" i="99"/>
  <c r="T28" i="99" s="1"/>
  <c r="BX22" i="99"/>
  <c r="T22" i="99" s="1"/>
  <c r="ES3" i="99"/>
  <c r="EP3" i="99"/>
  <c r="E8" i="128"/>
  <c r="FD71" i="99" l="1"/>
  <c r="FC71" i="99"/>
  <c r="EU22" i="99"/>
  <c r="BR103" i="99"/>
  <c r="ET70" i="99"/>
  <c r="ET71" i="99" s="1"/>
  <c r="EU18" i="99"/>
  <c r="BX127" i="99"/>
  <c r="CB127" i="99"/>
  <c r="BX126" i="99"/>
  <c r="CB126" i="99"/>
  <c r="T20" i="99"/>
  <c r="BP103" i="99"/>
  <c r="O97" i="99"/>
  <c r="BQ103" i="99"/>
  <c r="BS71" i="99"/>
  <c r="BS103" i="99" s="1"/>
  <c r="ER70" i="99"/>
  <c r="T18" i="99"/>
  <c r="BW71" i="99"/>
  <c r="S3" i="99"/>
  <c r="T3" i="99" s="1"/>
  <c r="EU64" i="99"/>
  <c r="O99" i="99"/>
  <c r="EU47" i="99"/>
  <c r="M74" i="99"/>
  <c r="M95" i="99"/>
  <c r="M96" i="99"/>
  <c r="M94" i="99"/>
  <c r="M103" i="99"/>
  <c r="O103" i="99"/>
  <c r="EW76" i="99"/>
  <c r="BU103" i="99"/>
  <c r="S70" i="99"/>
  <c r="S71" i="99" s="1"/>
  <c r="BY103" i="99"/>
  <c r="EU28" i="99"/>
  <c r="EU15" i="99"/>
  <c r="BT71" i="99"/>
  <c r="BT103" i="99" s="1"/>
  <c r="R69" i="99"/>
  <c r="Q80" i="99"/>
  <c r="Q93" i="99"/>
  <c r="R3" i="99"/>
  <c r="R71" i="99" s="1"/>
  <c r="R95" i="99" s="1"/>
  <c r="ER113" i="99"/>
  <c r="ER79" i="99"/>
  <c r="J74" i="99"/>
  <c r="J80" i="99" s="1"/>
  <c r="J83" i="99" s="1"/>
  <c r="J85" i="99" s="1"/>
  <c r="J87" i="99" s="1"/>
  <c r="J88" i="99" s="1"/>
  <c r="J94" i="99"/>
  <c r="EP71" i="99"/>
  <c r="ES95" i="99"/>
  <c r="K83" i="99"/>
  <c r="K97" i="99"/>
  <c r="ES74" i="99"/>
  <c r="ES94" i="99"/>
  <c r="ES96" i="99"/>
  <c r="BX70" i="99"/>
  <c r="BX71" i="99" s="1"/>
  <c r="BX128" i="99"/>
  <c r="CB128" i="99"/>
  <c r="ET109" i="99"/>
  <c r="EU109" i="99"/>
  <c r="E11" i="128"/>
  <c r="F8" i="128"/>
  <c r="H9" i="128"/>
  <c r="G14" i="128"/>
  <c r="ER71" i="99"/>
  <c r="ES103" i="99" s="1"/>
  <c r="N74" i="99"/>
  <c r="N94" i="99"/>
  <c r="N95" i="99"/>
  <c r="N103" i="99"/>
  <c r="P74" i="99"/>
  <c r="P96" i="99"/>
  <c r="P94" i="99"/>
  <c r="P103" i="99"/>
  <c r="P95" i="99"/>
  <c r="N96" i="99"/>
  <c r="EQ71" i="99"/>
  <c r="L74" i="99"/>
  <c r="L96" i="99"/>
  <c r="L94" i="99"/>
  <c r="L95" i="99"/>
  <c r="L103" i="99"/>
  <c r="EW3" i="99" l="1"/>
  <c r="EX3" i="99"/>
  <c r="EU70" i="99"/>
  <c r="EU71" i="99" s="1"/>
  <c r="EU74" i="99" s="1"/>
  <c r="EW71" i="99"/>
  <c r="BW103" i="99"/>
  <c r="ET3" i="99"/>
  <c r="EW79" i="99"/>
  <c r="BX103" i="99"/>
  <c r="R96" i="99"/>
  <c r="EX79" i="99"/>
  <c r="S74" i="99"/>
  <c r="S96" i="99"/>
  <c r="S95" i="99"/>
  <c r="S103" i="99"/>
  <c r="S94" i="99"/>
  <c r="R103" i="99"/>
  <c r="BX3" i="99"/>
  <c r="T70" i="99"/>
  <c r="T71" i="99" s="1"/>
  <c r="R94" i="99"/>
  <c r="M80" i="99"/>
  <c r="M93" i="99"/>
  <c r="R74" i="99"/>
  <c r="R93" i="99" s="1"/>
  <c r="Q83" i="99"/>
  <c r="Q97" i="99"/>
  <c r="N93" i="99"/>
  <c r="N80" i="99"/>
  <c r="K85" i="99"/>
  <c r="K87" i="99" s="1"/>
  <c r="K88" i="99" s="1"/>
  <c r="K99" i="99"/>
  <c r="EP74" i="99"/>
  <c r="EP103" i="99"/>
  <c r="EQ74" i="99"/>
  <c r="EQ103" i="99"/>
  <c r="ER74" i="99"/>
  <c r="ER103" i="99"/>
  <c r="G8" i="128"/>
  <c r="F11" i="128"/>
  <c r="ET94" i="99"/>
  <c r="ET103" i="99"/>
  <c r="ET96" i="99"/>
  <c r="ET95" i="99"/>
  <c r="EZ75" i="99"/>
  <c r="EY79" i="99"/>
  <c r="ES80" i="99"/>
  <c r="ES93" i="99"/>
  <c r="EZ76" i="99"/>
  <c r="L80" i="99"/>
  <c r="L93" i="99"/>
  <c r="P80" i="99"/>
  <c r="P93" i="99"/>
  <c r="H14" i="128"/>
  <c r="I9" i="128"/>
  <c r="EY3" i="99" l="1"/>
  <c r="ET74" i="99"/>
  <c r="ET80" i="99" s="1"/>
  <c r="ET97" i="99" s="1"/>
  <c r="R80" i="99"/>
  <c r="R97" i="99" s="1"/>
  <c r="M83" i="99"/>
  <c r="M97" i="99"/>
  <c r="S93" i="99"/>
  <c r="S80" i="99"/>
  <c r="Q85" i="99"/>
  <c r="Q87" i="99" s="1"/>
  <c r="Q88" i="99" s="1"/>
  <c r="Q99" i="99"/>
  <c r="FA76" i="99"/>
  <c r="T74" i="99"/>
  <c r="T96" i="99"/>
  <c r="T94" i="99"/>
  <c r="T103" i="99"/>
  <c r="T95" i="99"/>
  <c r="P83" i="99"/>
  <c r="P97" i="99"/>
  <c r="H8" i="128"/>
  <c r="G11" i="128"/>
  <c r="EQ93" i="99"/>
  <c r="EQ80" i="99"/>
  <c r="FA75" i="99"/>
  <c r="EZ79" i="99"/>
  <c r="N83" i="99"/>
  <c r="N97" i="99"/>
  <c r="I14" i="128"/>
  <c r="J9" i="128"/>
  <c r="L83" i="99"/>
  <c r="L97" i="99"/>
  <c r="ES83" i="99"/>
  <c r="ES97" i="99"/>
  <c r="EU3" i="99"/>
  <c r="ER93" i="99"/>
  <c r="ER80" i="99"/>
  <c r="ES114" i="99" s="1"/>
  <c r="EP80" i="99"/>
  <c r="EP93" i="99"/>
  <c r="ET114" i="99" l="1"/>
  <c r="EZ3" i="99"/>
  <c r="ET83" i="99"/>
  <c r="ET85" i="99" s="1"/>
  <c r="ET87" i="99" s="1"/>
  <c r="R83" i="99"/>
  <c r="R99" i="99" s="1"/>
  <c r="S97" i="99"/>
  <c r="S83" i="99"/>
  <c r="M85" i="99"/>
  <c r="M87" i="99" s="1"/>
  <c r="M88" i="99" s="1"/>
  <c r="M99" i="99"/>
  <c r="EU80" i="99"/>
  <c r="EU114" i="99" s="1"/>
  <c r="EU95" i="99"/>
  <c r="EU94" i="99"/>
  <c r="EU96" i="99"/>
  <c r="EU103" i="99"/>
  <c r="EQ83" i="99"/>
  <c r="EQ85" i="99" s="1"/>
  <c r="EQ87" i="99" s="1"/>
  <c r="EQ88" i="99" s="1"/>
  <c r="EQ97" i="99"/>
  <c r="ES98" i="99"/>
  <c r="ES99" i="99"/>
  <c r="ES85" i="99"/>
  <c r="ES87" i="99" s="1"/>
  <c r="FA79" i="99"/>
  <c r="EV96" i="99"/>
  <c r="EV94" i="99"/>
  <c r="EV103" i="99"/>
  <c r="EV95" i="99"/>
  <c r="T80" i="99"/>
  <c r="T93" i="99"/>
  <c r="P85" i="99"/>
  <c r="P87" i="99" s="1"/>
  <c r="P88" i="99" s="1"/>
  <c r="P99" i="99"/>
  <c r="ER97" i="99"/>
  <c r="ER83" i="99"/>
  <c r="ER85" i="99" s="1"/>
  <c r="ER87" i="99" s="1"/>
  <c r="ER88" i="99" s="1"/>
  <c r="J14" i="128"/>
  <c r="K9" i="128"/>
  <c r="EP83" i="99"/>
  <c r="EP85" i="99" s="1"/>
  <c r="EP87" i="99" s="1"/>
  <c r="EP114" i="99"/>
  <c r="L85" i="99"/>
  <c r="L87" i="99" s="1"/>
  <c r="L88" i="99" s="1"/>
  <c r="L99" i="99"/>
  <c r="N85" i="99"/>
  <c r="N87" i="99" s="1"/>
  <c r="N88" i="99" s="1"/>
  <c r="N99" i="99"/>
  <c r="H11" i="128"/>
  <c r="I8" i="128"/>
  <c r="ET98" i="99" l="1"/>
  <c r="R98" i="99"/>
  <c r="R85" i="99"/>
  <c r="R87" i="99" s="1"/>
  <c r="R91" i="99" s="1"/>
  <c r="FA3" i="99"/>
  <c r="ET99" i="99"/>
  <c r="S99" i="99"/>
  <c r="S98" i="99"/>
  <c r="S85" i="99"/>
  <c r="S87" i="99" s="1"/>
  <c r="S88" i="99" s="1"/>
  <c r="T83" i="99"/>
  <c r="T97" i="99"/>
  <c r="ES88" i="99"/>
  <c r="ES121" i="99" s="1"/>
  <c r="ES146" i="99"/>
  <c r="ES100" i="99"/>
  <c r="ET88" i="99"/>
  <c r="ET146" i="99"/>
  <c r="ET100" i="99"/>
  <c r="I11" i="128"/>
  <c r="J8" i="128"/>
  <c r="L9" i="128"/>
  <c r="K14" i="128"/>
  <c r="EW74" i="99"/>
  <c r="EW80" i="99" s="1"/>
  <c r="EW96" i="99"/>
  <c r="EW103" i="99"/>
  <c r="EW94" i="99"/>
  <c r="EW95" i="99"/>
  <c r="EV97" i="99"/>
  <c r="EU83" i="99"/>
  <c r="EU97" i="99"/>
  <c r="R88" i="99" l="1"/>
  <c r="FB3" i="99"/>
  <c r="EU85" i="99"/>
  <c r="EU87" i="99" s="1"/>
  <c r="EU98" i="99"/>
  <c r="EU99" i="99"/>
  <c r="EW73" i="99"/>
  <c r="FD75" i="99"/>
  <c r="T85" i="99"/>
  <c r="T87" i="99" s="1"/>
  <c r="T88" i="99" s="1"/>
  <c r="T98" i="99"/>
  <c r="T99" i="99"/>
  <c r="K8" i="128"/>
  <c r="J11" i="128"/>
  <c r="ET121" i="99"/>
  <c r="EW97" i="99"/>
  <c r="L14" i="128"/>
  <c r="M9" i="128"/>
  <c r="EX80" i="99"/>
  <c r="EX96" i="99"/>
  <c r="EX103" i="99"/>
  <c r="EX94" i="99"/>
  <c r="EX95" i="99"/>
  <c r="FD76" i="99"/>
  <c r="FC3" i="99" l="1"/>
  <c r="M14" i="128"/>
  <c r="N9" i="128"/>
  <c r="EU88" i="99"/>
  <c r="EU121" i="99" s="1"/>
  <c r="EU100" i="99"/>
  <c r="EV91" i="99"/>
  <c r="L8" i="128"/>
  <c r="K11" i="128"/>
  <c r="FD79" i="99"/>
  <c r="EX97" i="99"/>
  <c r="EY103" i="99"/>
  <c r="EY96" i="99"/>
  <c r="EY80" i="99"/>
  <c r="EY94" i="99"/>
  <c r="EY95" i="99"/>
  <c r="FD3" i="99" l="1"/>
  <c r="L11" i="128"/>
  <c r="M8" i="128"/>
  <c r="N14" i="128"/>
  <c r="O9" i="128"/>
  <c r="EY97" i="99"/>
  <c r="EZ74" i="99"/>
  <c r="EZ80" i="99" s="1"/>
  <c r="EZ96" i="99"/>
  <c r="EZ103" i="99"/>
  <c r="EZ95" i="99"/>
  <c r="EZ94" i="99"/>
  <c r="EV83" i="99"/>
  <c r="EV99" i="99" l="1"/>
  <c r="EV98" i="99"/>
  <c r="EZ73" i="99"/>
  <c r="M11" i="128"/>
  <c r="N8" i="128"/>
  <c r="FA74" i="99"/>
  <c r="FA80" i="99" s="1"/>
  <c r="FA103" i="99"/>
  <c r="FA96" i="99"/>
  <c r="FA95" i="99"/>
  <c r="FA94" i="99"/>
  <c r="P9" i="128"/>
  <c r="O14" i="128"/>
  <c r="EZ97" i="99"/>
  <c r="EV85" i="99" l="1"/>
  <c r="EV87" i="99" s="1"/>
  <c r="EW91" i="99" s="1"/>
  <c r="FA73" i="99"/>
  <c r="O8" i="128"/>
  <c r="N11" i="128"/>
  <c r="FA97" i="99"/>
  <c r="FB96" i="99"/>
  <c r="FB103" i="99"/>
  <c r="FB94" i="99"/>
  <c r="FB95" i="99"/>
  <c r="P14" i="128"/>
  <c r="Q9" i="128"/>
  <c r="EV100" i="99" l="1"/>
  <c r="EV88" i="99"/>
  <c r="FB97" i="99"/>
  <c r="Q14" i="128"/>
  <c r="R9" i="128"/>
  <c r="EW81" i="99"/>
  <c r="EW83" i="99" s="1"/>
  <c r="P8" i="128"/>
  <c r="O11" i="128"/>
  <c r="FC96" i="99"/>
  <c r="FC103" i="99"/>
  <c r="FC95" i="99"/>
  <c r="FC94" i="99"/>
  <c r="R14" i="128" l="1"/>
  <c r="S9" i="128"/>
  <c r="P11" i="128"/>
  <c r="Q8" i="128"/>
  <c r="FD74" i="99"/>
  <c r="FD80" i="99" s="1"/>
  <c r="FD96" i="99"/>
  <c r="FD103" i="99"/>
  <c r="FD94" i="99"/>
  <c r="FD95" i="99"/>
  <c r="EW98" i="99"/>
  <c r="EW84" i="99"/>
  <c r="EW99" i="99" s="1"/>
  <c r="FD73" i="99" l="1"/>
  <c r="EW85" i="99"/>
  <c r="EW87" i="99" s="1"/>
  <c r="EW88" i="99" s="1"/>
  <c r="Q11" i="128"/>
  <c r="R8" i="128"/>
  <c r="T9" i="128"/>
  <c r="S14" i="128"/>
  <c r="FE80" i="99"/>
  <c r="FE96" i="99"/>
  <c r="FE103" i="99"/>
  <c r="FE94" i="99"/>
  <c r="FE95" i="99"/>
  <c r="FD97" i="99"/>
  <c r="EX91" i="99" l="1"/>
  <c r="EX83" i="99" s="1"/>
  <c r="EW100" i="99"/>
  <c r="T14" i="128"/>
  <c r="U9" i="128"/>
  <c r="S8" i="128"/>
  <c r="R11" i="128"/>
  <c r="FE97" i="99"/>
  <c r="U14" i="128" l="1"/>
  <c r="V9" i="128"/>
  <c r="T8" i="128"/>
  <c r="S11" i="128"/>
  <c r="EX84" i="99"/>
  <c r="EX99" i="99" s="1"/>
  <c r="EX98" i="99"/>
  <c r="EX85" i="99" l="1"/>
  <c r="EX87" i="99" s="1"/>
  <c r="T11" i="128"/>
  <c r="U8" i="128"/>
  <c r="V14" i="128"/>
  <c r="W9" i="128"/>
  <c r="EY91" i="99" l="1"/>
  <c r="EY83" i="99" s="1"/>
  <c r="EX100" i="99"/>
  <c r="EX88" i="99"/>
  <c r="X9" i="128"/>
  <c r="W14" i="128"/>
  <c r="U11" i="128"/>
  <c r="V8" i="128"/>
  <c r="X14" i="128" l="1"/>
  <c r="Y9" i="128"/>
  <c r="W8" i="128"/>
  <c r="V11" i="128"/>
  <c r="EY84" i="99"/>
  <c r="EY99" i="99" s="1"/>
  <c r="EY98" i="99"/>
  <c r="EY85" i="99" l="1"/>
  <c r="EY87" i="99" s="1"/>
  <c r="X8" i="128"/>
  <c r="W11" i="128"/>
  <c r="Y14" i="128"/>
  <c r="Z9" i="128"/>
  <c r="Z14" i="128" s="1"/>
  <c r="EZ91" i="99" l="1"/>
  <c r="EZ83" i="99" s="1"/>
  <c r="EY100" i="99"/>
  <c r="EY88" i="99"/>
  <c r="X11" i="128"/>
  <c r="Y8" i="128"/>
  <c r="Y11" i="128" l="1"/>
  <c r="Z8" i="128"/>
  <c r="Z11" i="128" s="1"/>
  <c r="EZ84" i="99"/>
  <c r="EZ99" i="99" s="1"/>
  <c r="EZ98" i="99"/>
  <c r="EZ85" i="99" l="1"/>
  <c r="EZ87" i="99" s="1"/>
  <c r="EZ100" i="99" l="1"/>
  <c r="FA91" i="99"/>
  <c r="FA83" i="99" s="1"/>
  <c r="FA98" i="99" l="1"/>
  <c r="FA84" i="99"/>
  <c r="FA99" i="99" s="1"/>
  <c r="FA85" i="99" l="1"/>
  <c r="FA87" i="99" s="1"/>
  <c r="FA100" i="99" l="1"/>
  <c r="FB91" i="99"/>
  <c r="FB83" i="99" l="1"/>
  <c r="FB84" i="99" l="1"/>
  <c r="FB99" i="99" s="1"/>
  <c r="FB98" i="99"/>
  <c r="FB85" i="99" l="1"/>
  <c r="FB87" i="99" s="1"/>
  <c r="FB100" i="99" s="1"/>
  <c r="FC91" i="99" l="1"/>
  <c r="FE83" i="99" l="1"/>
  <c r="FE98" i="99" l="1"/>
  <c r="FE99" i="99"/>
  <c r="FE85" i="99"/>
  <c r="FE87" i="99" s="1"/>
  <c r="FE100" i="99" s="1"/>
  <c r="FI87" i="99" l="1"/>
  <c r="FJ87" i="99" s="1"/>
  <c r="FK87" i="99" s="1"/>
  <c r="FL87" i="99" s="1"/>
  <c r="FM87" i="99" s="1"/>
  <c r="FN87" i="99" s="1"/>
  <c r="FO87" i="99" s="1"/>
  <c r="FP87" i="99" s="1"/>
  <c r="FQ87" i="99" s="1"/>
  <c r="FR87" i="99" s="1"/>
  <c r="FS87" i="99" s="1"/>
  <c r="FT87" i="99" s="1"/>
  <c r="FU87" i="99" s="1"/>
  <c r="FV87" i="99" s="1"/>
  <c r="FW87" i="99" s="1"/>
  <c r="FX87" i="99" s="1"/>
  <c r="FY87" i="99" s="1"/>
  <c r="FZ87" i="99" s="1"/>
  <c r="GA87" i="99" s="1"/>
  <c r="GB87" i="99" s="1"/>
  <c r="GC87" i="99" s="1"/>
  <c r="GD87" i="99" s="1"/>
  <c r="GE87" i="99" s="1"/>
  <c r="GF87" i="99" s="1"/>
  <c r="GG87" i="99" s="1"/>
  <c r="GH87" i="99" s="1"/>
  <c r="GI87" i="99" s="1"/>
  <c r="GJ87" i="99" s="1"/>
  <c r="GK87" i="99" s="1"/>
  <c r="GL87" i="99" s="1"/>
  <c r="GM87" i="99" s="1"/>
  <c r="GN87" i="99" s="1"/>
  <c r="GO87" i="99" s="1"/>
  <c r="GP87" i="99" s="1"/>
  <c r="GQ87" i="99" s="1"/>
  <c r="GR87" i="99" s="1"/>
  <c r="GS87" i="99" s="1"/>
  <c r="GT87" i="99" s="1"/>
  <c r="GU87" i="99" s="1"/>
  <c r="GV87" i="99" s="1"/>
  <c r="GW87" i="99" s="1"/>
  <c r="GX87" i="99" s="1"/>
  <c r="GY87" i="99" s="1"/>
  <c r="GZ87" i="99" s="1"/>
  <c r="HA87" i="99" s="1"/>
  <c r="HB87" i="99" s="1"/>
  <c r="HC87" i="99" s="1"/>
  <c r="HD87" i="99" s="1"/>
  <c r="HE87" i="99" s="1"/>
  <c r="HF87" i="99" s="1"/>
  <c r="HG87" i="99" s="1"/>
  <c r="HH87" i="99" s="1"/>
  <c r="HI87" i="99" s="1"/>
  <c r="HJ87" i="99" s="1"/>
  <c r="HK87" i="99" s="1"/>
  <c r="HL87" i="99" s="1"/>
  <c r="HM87" i="99" s="1"/>
  <c r="HN87" i="99" s="1"/>
  <c r="HO87" i="99" s="1"/>
  <c r="HP87" i="99" s="1"/>
  <c r="HQ87" i="99" s="1"/>
  <c r="HR87" i="99" s="1"/>
  <c r="HS87" i="99" s="1"/>
  <c r="HT87" i="99" s="1"/>
  <c r="HU87" i="99" s="1"/>
  <c r="HV87" i="99" s="1"/>
  <c r="HW87" i="99" s="1"/>
  <c r="HX87" i="99" s="1"/>
  <c r="HY87" i="99" s="1"/>
  <c r="HZ87" i="99" s="1"/>
  <c r="IA87" i="99" s="1"/>
  <c r="IB87" i="99" s="1"/>
  <c r="IC87" i="99" s="1"/>
  <c r="ID87" i="99" s="1"/>
  <c r="FC74" i="99" l="1"/>
  <c r="FC80" i="99" s="1"/>
  <c r="FC97" i="99" l="1"/>
  <c r="FC83" i="99"/>
  <c r="FC84" i="99" l="1"/>
  <c r="FC99" i="99" s="1"/>
  <c r="FC98" i="99"/>
  <c r="FC85" i="99"/>
  <c r="FC87" i="99" s="1"/>
  <c r="FC100" i="99" l="1"/>
  <c r="FD91" i="99"/>
  <c r="FD81" i="99" s="1"/>
  <c r="FD83" i="99" s="1"/>
  <c r="FD84" i="99" l="1"/>
  <c r="FD99" i="99" s="1"/>
  <c r="FD98" i="99"/>
  <c r="FD85" i="99" l="1"/>
  <c r="FD87" i="99" s="1"/>
  <c r="FD100" i="99" l="1"/>
  <c r="FT96" i="99"/>
  <c r="FT97" i="99" s="1"/>
  <c r="FT98" i="99" s="1"/>
</calcChain>
</file>

<file path=xl/sharedStrings.xml><?xml version="1.0" encoding="utf-8"?>
<sst xmlns="http://schemas.openxmlformats.org/spreadsheetml/2006/main" count="1588" uniqueCount="1049">
  <si>
    <t>Gross Profit</t>
  </si>
  <si>
    <t>R&amp;D</t>
  </si>
  <si>
    <t>Financial Income</t>
  </si>
  <si>
    <t>Financing Costs</t>
  </si>
  <si>
    <t>Minority Interests</t>
  </si>
  <si>
    <t>Income Taxes</t>
  </si>
  <si>
    <t>Profit After Taxes</t>
  </si>
  <si>
    <t>Reported Net Income</t>
  </si>
  <si>
    <t>Gross Margin</t>
  </si>
  <si>
    <t>Administration</t>
  </si>
  <si>
    <t xml:space="preserve">Profit Before Taxes </t>
  </si>
  <si>
    <t xml:space="preserve">Tax Rate </t>
  </si>
  <si>
    <t>-</t>
  </si>
  <si>
    <t>Cost of Sales</t>
  </si>
  <si>
    <t>Net Financial Income</t>
  </si>
  <si>
    <t>Profit Before Taxes</t>
  </si>
  <si>
    <t>Net Income After Exceptionals</t>
  </si>
  <si>
    <t>Reported Diluted EPS After Exceptionals</t>
  </si>
  <si>
    <t>Other</t>
  </si>
  <si>
    <t>Chugai</t>
  </si>
  <si>
    <t>Net Income</t>
  </si>
  <si>
    <t>EPS</t>
  </si>
  <si>
    <t/>
  </si>
  <si>
    <t>Avastin</t>
  </si>
  <si>
    <t>Herceptin</t>
  </si>
  <si>
    <t>Tarceva</t>
  </si>
  <si>
    <t>Activase/TNKase</t>
  </si>
  <si>
    <t>Pulmozyme</t>
  </si>
  <si>
    <t>Xolair</t>
  </si>
  <si>
    <t>Lucentis</t>
  </si>
  <si>
    <t>Neutrogin</t>
  </si>
  <si>
    <t>Xeloda</t>
  </si>
  <si>
    <t>Kytril</t>
  </si>
  <si>
    <t>Tamiflu</t>
  </si>
  <si>
    <t>Pegasys</t>
  </si>
  <si>
    <t>Copegus</t>
  </si>
  <si>
    <t>Fuzeon</t>
  </si>
  <si>
    <t>Rocephin</t>
  </si>
  <si>
    <t>Madopar</t>
  </si>
  <si>
    <t>Xenical</t>
  </si>
  <si>
    <t>CellCept</t>
  </si>
  <si>
    <t>Diagnostics</t>
  </si>
  <si>
    <t>Shares</t>
  </si>
  <si>
    <t>Name</t>
  </si>
  <si>
    <t>Indication</t>
  </si>
  <si>
    <t>Anemia</t>
  </si>
  <si>
    <t>Phase</t>
  </si>
  <si>
    <t>Mircera (CERA)</t>
  </si>
  <si>
    <t>Avastin (bevacizumab)</t>
  </si>
  <si>
    <t>Brand Name</t>
  </si>
  <si>
    <t>Mircera</t>
  </si>
  <si>
    <t>Generic Name</t>
  </si>
  <si>
    <t>C.E.R.A.</t>
  </si>
  <si>
    <t>Clinical Trials</t>
  </si>
  <si>
    <t>EDTA 2006: p3 data shows switching dialysis patients to qm dosing of CERA is possible</t>
  </si>
  <si>
    <t>Main</t>
  </si>
  <si>
    <t>SFr millions</t>
  </si>
  <si>
    <t>FY2001A</t>
  </si>
  <si>
    <t>FY2002A</t>
  </si>
  <si>
    <t>FY2003A</t>
  </si>
  <si>
    <t>FY2004A</t>
  </si>
  <si>
    <t xml:space="preserve">MabThera/ Rituxan </t>
  </si>
  <si>
    <t>Actemra</t>
  </si>
  <si>
    <t>Revenue</t>
  </si>
  <si>
    <t>Royalties</t>
  </si>
  <si>
    <t>Economics</t>
  </si>
  <si>
    <t>Mechanism</t>
  </si>
  <si>
    <t>T2D</t>
  </si>
  <si>
    <t>DPP-IV</t>
  </si>
  <si>
    <t>R1440</t>
  </si>
  <si>
    <t>Dyslipidemia</t>
  </si>
  <si>
    <t>VEGF mab</t>
  </si>
  <si>
    <t>EPO</t>
  </si>
  <si>
    <t>NKTR</t>
  </si>
  <si>
    <t>IP</t>
  </si>
  <si>
    <t>Safety</t>
  </si>
  <si>
    <t>No BP increases?</t>
  </si>
  <si>
    <t>WW rights; Japan Tobacco royalty</t>
  </si>
  <si>
    <t>R1626</t>
  </si>
  <si>
    <t>HCV</t>
  </si>
  <si>
    <t>II</t>
  </si>
  <si>
    <t>Competition</t>
  </si>
  <si>
    <t>CD20</t>
  </si>
  <si>
    <t>IL-6</t>
  </si>
  <si>
    <t>RA</t>
  </si>
  <si>
    <t>IL-6 antibody</t>
  </si>
  <si>
    <t>Influenza</t>
  </si>
  <si>
    <t>Approved</t>
  </si>
  <si>
    <t>Recruitment halted on 2/23/07.</t>
  </si>
  <si>
    <t>Phase II dose-finding study in 1L NSCLC patients with anemia</t>
  </si>
  <si>
    <t>"Imbalance" in the number of deaths across the four arms of the study.</t>
  </si>
  <si>
    <t>Investigators report all deaths are unrelated to the study drugs.</t>
  </si>
  <si>
    <t>Japan (Chugai)</t>
  </si>
  <si>
    <t>US (DNA)</t>
  </si>
  <si>
    <t>Herceptin (trastuzumab)</t>
  </si>
  <si>
    <t>Rights</t>
  </si>
  <si>
    <t>Papers</t>
  </si>
  <si>
    <t>Crystal structure of CTEP reveals a long tunnel and four bound lipid molecules - Nature Structural &amp; Molecular Biology - Qui et al 2007</t>
  </si>
  <si>
    <t>CETP inhibitor. CETP shuttles various lipids between lipoproteins, resulting in transfer of cholesteryl esters from HDL to LDL. Inhibition of CETP raises HDL.</t>
  </si>
  <si>
    <t>Low HDL is a risk factor for cardiovascular disease. Risk is 2-3% lower for each increase in 0.1mg HDL-C.</t>
  </si>
  <si>
    <t>CETP is a hydrophobic glycoprotein that is often bound to HDL in circulation. It engages in the transfer of neutral lipids among lipoprotein particles.</t>
  </si>
  <si>
    <t>CETP is capable of reverse cholesterol transport, where excess cholesterol is is removed from peripheral tissues and returned to the liver for elimination.</t>
  </si>
  <si>
    <t>PTLP is another lipid transfer protein. LBP and BPI are lipid binding proteins.</t>
  </si>
  <si>
    <t>May 18th 2007: FDA issues approvable for Mircera.</t>
  </si>
  <si>
    <t>Regulatory</t>
  </si>
  <si>
    <t>FDA has issued a draft label? To be finalized upon ADCOM review.</t>
  </si>
  <si>
    <t>Price</t>
  </si>
  <si>
    <t>MC CHF</t>
  </si>
  <si>
    <t>EV CHF</t>
  </si>
  <si>
    <t>R7128</t>
  </si>
  <si>
    <t>I</t>
  </si>
  <si>
    <t>R7227</t>
  </si>
  <si>
    <t>ITMN</t>
  </si>
  <si>
    <t>Valcyte</t>
  </si>
  <si>
    <t>III</t>
  </si>
  <si>
    <t>Solid Tumors</t>
  </si>
  <si>
    <t>R1503</t>
  </si>
  <si>
    <t>p38 kinase</t>
  </si>
  <si>
    <t>R1558</t>
  </si>
  <si>
    <t>Bacteria</t>
  </si>
  <si>
    <t>August 24th 2007: EMEA approves Avastin for 1L NSCLC.</t>
  </si>
  <si>
    <t>Neutropenia</t>
  </si>
  <si>
    <t>R1295</t>
  </si>
  <si>
    <t>Multiple Sclerosis</t>
  </si>
  <si>
    <t>Autoimmune</t>
  </si>
  <si>
    <t>R3477</t>
  </si>
  <si>
    <t>ATLN</t>
  </si>
  <si>
    <t>R7277</t>
  </si>
  <si>
    <t>Toyama</t>
  </si>
  <si>
    <t>Activator protein-1 inhibitor</t>
  </si>
  <si>
    <t>PPAR co-agonist</t>
  </si>
  <si>
    <t>Q106</t>
  </si>
  <si>
    <t>Q306</t>
  </si>
  <si>
    <t>Q406</t>
  </si>
  <si>
    <t>Q107</t>
  </si>
  <si>
    <t>Q207</t>
  </si>
  <si>
    <t>Q307</t>
  </si>
  <si>
    <t>Q407</t>
  </si>
  <si>
    <t>Rituxan</t>
  </si>
  <si>
    <t>NeoRecormon/Epogin</t>
  </si>
  <si>
    <t>Bonviva/Boniva</t>
  </si>
  <si>
    <t>Valcyte/Cymeve</t>
  </si>
  <si>
    <t>Nutropin</t>
  </si>
  <si>
    <t>1H06</t>
  </si>
  <si>
    <t>2H06</t>
  </si>
  <si>
    <t>1H07</t>
  </si>
  <si>
    <t>mBC</t>
  </si>
  <si>
    <t>mPC</t>
  </si>
  <si>
    <t>pertuzumab</t>
  </si>
  <si>
    <t>Operating Profit</t>
  </si>
  <si>
    <t>Q405</t>
  </si>
  <si>
    <t>Q305</t>
  </si>
  <si>
    <t>Q205</t>
  </si>
  <si>
    <t>Q105</t>
  </si>
  <si>
    <t>Q404</t>
  </si>
  <si>
    <t>Q304</t>
  </si>
  <si>
    <t>Q204</t>
  </si>
  <si>
    <t>Q104</t>
  </si>
  <si>
    <t>Valcyte/Cymevene</t>
  </si>
  <si>
    <t>2H07</t>
  </si>
  <si>
    <t>Q206</t>
  </si>
  <si>
    <t>Antibody</t>
  </si>
  <si>
    <t>Europe (Roche)</t>
  </si>
  <si>
    <t>HER2</t>
  </si>
  <si>
    <t>EGFr</t>
  </si>
  <si>
    <t>MabThera in Europe, Rituxan in US.</t>
  </si>
  <si>
    <t>rituximab</t>
  </si>
  <si>
    <t>SERENE Phase III MTX-refractory but TNF-naïve.</t>
  </si>
  <si>
    <t>Market</t>
  </si>
  <si>
    <t>21 million people with RA WW, 3m in Europe.</t>
  </si>
  <si>
    <t>n=509, 500mg, 1000mg or placebo, IV day 1/15 plus MTX.</t>
  </si>
  <si>
    <t>FCR vs FC n=817</t>
  </si>
  <si>
    <t>MabThera/Rituxan (rituximab)</t>
  </si>
  <si>
    <t>1H08</t>
  </si>
  <si>
    <t>2H08</t>
  </si>
  <si>
    <t>Roche requested USDC of Mass allow launch and 20% royalty to Amgen. Amgen refuses.</t>
  </si>
  <si>
    <t>2H05</t>
  </si>
  <si>
    <t>1H05</t>
  </si>
  <si>
    <t>2H04</t>
  </si>
  <si>
    <t>1H04</t>
  </si>
  <si>
    <t>2H03</t>
  </si>
  <si>
    <t>1H03</t>
  </si>
  <si>
    <t>Cash CHF</t>
  </si>
  <si>
    <t>Unallocated Non-Cash Expenses</t>
  </si>
  <si>
    <t>Revenue y/y</t>
  </si>
  <si>
    <t>G&amp;A</t>
  </si>
  <si>
    <t>M&amp;D</t>
  </si>
  <si>
    <t>M&amp;D y/y</t>
  </si>
  <si>
    <t>G&amp;A y/y</t>
  </si>
  <si>
    <t>R&amp;D y/y</t>
  </si>
  <si>
    <t>bevacizumab</t>
  </si>
  <si>
    <t>Timeline</t>
  </si>
  <si>
    <t>March 2007: Europe approval of Avastin in mBC.</t>
  </si>
  <si>
    <t>February 2008: US approval of Avastin in mBC.</t>
  </si>
  <si>
    <t>Income from Assoc. Companies</t>
  </si>
  <si>
    <t>Q108</t>
  </si>
  <si>
    <t>Q208</t>
  </si>
  <si>
    <t>Q308</t>
  </si>
  <si>
    <t>Q408</t>
  </si>
  <si>
    <t>taspoglutide</t>
  </si>
  <si>
    <t>Ipsen</t>
  </si>
  <si>
    <t>exenatide LAR</t>
  </si>
  <si>
    <t>29 gauge vs 23 gauge for exenatide LAR and less viscous solution than LAR. Once-weekly dosing.</t>
  </si>
  <si>
    <t>Human GLP-1.</t>
  </si>
  <si>
    <t>Phase II - ADA 2008 presentation</t>
  </si>
  <si>
    <t>59%, 79%, 81% response rate across qw doses. 44% and 63% across biw dosing. 17% for placebo.</t>
  </si>
  <si>
    <t>Herpes</t>
  </si>
  <si>
    <t>Transplantation</t>
  </si>
  <si>
    <t>Genentech/Biogen has US rights.</t>
  </si>
  <si>
    <t>Liver enzyme elevation, other toxicities.</t>
  </si>
  <si>
    <t>tocilizumab</t>
  </si>
  <si>
    <t>Protein</t>
  </si>
  <si>
    <t>Phase III AMBITION - Presented at EULAR 2008</t>
  </si>
  <si>
    <t>Actemra vs MTX showed superiority for Actemra at 24 weeks.</t>
  </si>
  <si>
    <t xml:space="preserve">  ACR20%: 70% vs 53%.</t>
  </si>
  <si>
    <t>TNF-alpha refractory patients.</t>
  </si>
  <si>
    <t>30% in Actemra+MTX achieved DAS remission vs 2% for MTX alone.</t>
  </si>
  <si>
    <t>Phase III RADIATE - Presented at EULAR 2008 - Published in Annals of Rheumatic Disease 2008 n=673</t>
  </si>
  <si>
    <t>Phase III Rituxan vs TNF-inhibitor in 2L TNF-refractory patients n=300</t>
  </si>
  <si>
    <t>DAS 1.55 vs 1.03 for TNF-inhibitor.</t>
  </si>
  <si>
    <t>REFLEX</t>
  </si>
  <si>
    <t>n=306 vs placebo for 8 weeks.</t>
  </si>
  <si>
    <t>BIM-51077</t>
  </si>
  <si>
    <t>64% improvement in PFS (HR=0.61) in 15mg/kg.</t>
  </si>
  <si>
    <t>45% improvement in PFS (HR=0.69) in 7.5mg/kg.</t>
  </si>
  <si>
    <t>83%, 78% and 73% were alive in 15mg, 7.5mg and placebo.</t>
  </si>
  <si>
    <t>Phase III 1L mBC "AVADO" - Taxotere +- Avastin - ASCO 2008</t>
  </si>
  <si>
    <t>Phase III mCRC "BRITE" community-setting study</t>
  </si>
  <si>
    <t>23.5m mOS.</t>
  </si>
  <si>
    <t>22.7m mOS.</t>
  </si>
  <si>
    <t>20.4m mOS for triplet vs 20.3m mOS for quadruplet.</t>
  </si>
  <si>
    <t>1L mCRC, 2L mCRC, 1L mNSCLC, 1L mBC, 1L mRCC.</t>
  </si>
  <si>
    <t>Phase II Herceptin+pertuzumab open-label? in refractory Herceptin mBC patients.</t>
  </si>
  <si>
    <t>8% CR, 16% PR, 25% SD.</t>
  </si>
  <si>
    <t>Phase III 1L mBC CLEOPATRA - January 2008 initiation</t>
  </si>
  <si>
    <t>HER-2 dimerisation inhibitor</t>
  </si>
  <si>
    <t>mBC.</t>
  </si>
  <si>
    <t>Phase III GBG-26</t>
  </si>
  <si>
    <t>Showed positive results of keeping Herceptin on board post-progression.</t>
  </si>
  <si>
    <t>mCRC, Gastric Cancer</t>
  </si>
  <si>
    <t>IFN-alpha</t>
  </si>
  <si>
    <t>May 22nd 2008: Announces plan to increase Chugai stake from 50% to 60%.</t>
  </si>
  <si>
    <t>Inhibited structural damage of joints.</t>
  </si>
  <si>
    <t>April 29th 2008: Announces Rituxan fails in SLE.</t>
  </si>
  <si>
    <t>Pegasys (peginterferon alfa-2a)</t>
  </si>
  <si>
    <t>peginterferon alpha-2a</t>
  </si>
  <si>
    <t>Hepatitis C</t>
  </si>
  <si>
    <t>Phase III Investigator-Study of PEGASYS vs PEG-INTRON</t>
  </si>
  <si>
    <t>n=320 showed 69% cure rate vs 54% for PEG-INTRON.</t>
  </si>
  <si>
    <t>Phase III PROBE head-to-head "observational study"</t>
  </si>
  <si>
    <t>n=1351 showed 41% cure rate vs 34% for PEG-INTRON.</t>
  </si>
  <si>
    <t>Phase III IDEAL</t>
  </si>
  <si>
    <t>Nucleoside Polymerase Inhibitor</t>
  </si>
  <si>
    <t>NCE</t>
  </si>
  <si>
    <t>Nucleoside Polymerase</t>
  </si>
  <si>
    <t>84% were UND in g1 patients versus 65% for control group at the end of treatment.</t>
  </si>
  <si>
    <t>Phase IIa "4+44" 4 weeks of triple followed by 44 weeks of Standard of Care (Pegasys+Copegus) - EASL 2008</t>
  </si>
  <si>
    <t>Phase IIb "POLI" study - n=500</t>
  </si>
  <si>
    <t>Phase III 1L mNSCLC "AVAIL" Gem+Cis+Low-Dose Avastin vs High-Dose Avastin</t>
  </si>
  <si>
    <t>PFS met primary endpoint while OS failed.</t>
  </si>
  <si>
    <t>trastuzumab</t>
  </si>
  <si>
    <t>HER2+ breast cancer (neoadjuvant, adjuvant, metastatic)</t>
  </si>
  <si>
    <t>Phase III "NOAH" neoadjuvant study</t>
  </si>
  <si>
    <t>Phase III "TECHNO" neoadjuvant study"</t>
  </si>
  <si>
    <t>Phase III "GeparQuattro" neoadjuvant study n=1510</t>
  </si>
  <si>
    <t>Tarceva (erlotinib)</t>
  </si>
  <si>
    <t>Xeloda (capecitabine)</t>
  </si>
  <si>
    <t>CellCept (mycophenolate)</t>
  </si>
  <si>
    <t>Schizophrenia</t>
  </si>
  <si>
    <t>Protease Inhibitor</t>
  </si>
  <si>
    <t>VRUS</t>
  </si>
  <si>
    <t>R7234</t>
  </si>
  <si>
    <t>R4929</t>
  </si>
  <si>
    <t>R1663</t>
  </si>
  <si>
    <t>Anticoagulant</t>
  </si>
  <si>
    <t>R1512</t>
  </si>
  <si>
    <t>PVD</t>
  </si>
  <si>
    <t>R1540</t>
  </si>
  <si>
    <t>R4733</t>
  </si>
  <si>
    <t>R547</t>
  </si>
  <si>
    <t>Emphysema</t>
  </si>
  <si>
    <t>Nuclear Receptor Agonist</t>
  </si>
  <si>
    <t>R1671</t>
  </si>
  <si>
    <t>Asthma</t>
  </si>
  <si>
    <t>Price CHF</t>
  </si>
  <si>
    <t>3.9 log mean maximum reduction shown in 200mg q8h.</t>
  </si>
  <si>
    <t>2.75% increase on 10/1/08, 2.75% increase on 4/1/08.</t>
  </si>
  <si>
    <t>Mat</t>
  </si>
  <si>
    <t>Dis</t>
  </si>
  <si>
    <t>RO5126776</t>
  </si>
  <si>
    <t>Cancer</t>
  </si>
  <si>
    <t>MEK/RAF kinase</t>
  </si>
  <si>
    <t>CLL8 Phase III 1L CLL - Met primary endpoint</t>
  </si>
  <si>
    <t>R1439</t>
  </si>
  <si>
    <t>aleglitazar</t>
  </si>
  <si>
    <t>Diabetes with recent CV event</t>
  </si>
  <si>
    <t>Phase II SYNCHRONY - Published in Lancet</t>
  </si>
  <si>
    <t>BIIB</t>
  </si>
  <si>
    <t>OSIP</t>
  </si>
  <si>
    <t>NCE?</t>
  </si>
  <si>
    <t>RoActemra</t>
  </si>
  <si>
    <t>Q109</t>
  </si>
  <si>
    <t>Q209</t>
  </si>
  <si>
    <t>Q309</t>
  </si>
  <si>
    <t>Q409</t>
  </si>
  <si>
    <t>NHL, CLL, Rheumatoid Arthritis. 1L CLL approved in Europe Q1 2009.</t>
  </si>
  <si>
    <t>4/16/2009: Reports Q109 sales.</t>
  </si>
  <si>
    <t>Severin Schwan</t>
  </si>
  <si>
    <t>Bill Burns</t>
  </si>
  <si>
    <t>Franz Humer</t>
  </si>
  <si>
    <t>Pascal Soriot</t>
  </si>
  <si>
    <t>January 2009 EU approval. April 2008 Japan approval.</t>
  </si>
  <si>
    <t>Lucentis (ranibizumab)</t>
  </si>
  <si>
    <t>AMD</t>
  </si>
  <si>
    <t>NVS</t>
  </si>
  <si>
    <t>2017?</t>
  </si>
  <si>
    <t>trastuzumab-DM1</t>
  </si>
  <si>
    <t>2L HER2+ mBC</t>
  </si>
  <si>
    <t>IMGN</t>
  </si>
  <si>
    <t>R7376 (PLX5568)</t>
  </si>
  <si>
    <t>Polycystic Kidney Disease</t>
  </si>
  <si>
    <t>Plexxicon</t>
  </si>
  <si>
    <t>EVT101</t>
  </si>
  <si>
    <t>Treatment Resistant Depression</t>
  </si>
  <si>
    <t>Malignant Melanoma</t>
  </si>
  <si>
    <t>RAF kinase inhibitor</t>
  </si>
  <si>
    <t>5/6/2009: FDA approves Avastin for GBM.</t>
  </si>
  <si>
    <t>mCRC, NSCLC, mBC, mRCC, GBM</t>
  </si>
  <si>
    <t>NHL, CLL, RA</t>
  </si>
  <si>
    <t>4/22/2009: Announces Avastin C08 study fails.</t>
  </si>
  <si>
    <t>3/26/2009: Completes acquisition of Genentech.</t>
  </si>
  <si>
    <t>3/16/2009: Acquires Innovatis.</t>
  </si>
  <si>
    <t>Erich Hunziker</t>
  </si>
  <si>
    <t>7/21/2008: Roche offers to purchase Genentech.</t>
  </si>
  <si>
    <t>1H09</t>
  </si>
  <si>
    <t>2H09</t>
  </si>
  <si>
    <t>Revenue y/y LC</t>
  </si>
  <si>
    <t>Pharma y/y LC</t>
  </si>
  <si>
    <t>Diagnostic y/y LC</t>
  </si>
  <si>
    <t>Other Pharma</t>
  </si>
  <si>
    <t>CHF</t>
  </si>
  <si>
    <t>Mabthera/Rituxan</t>
  </si>
  <si>
    <t>Small Molecule</t>
  </si>
  <si>
    <t>R4930</t>
  </si>
  <si>
    <t>OX40L huMAB</t>
  </si>
  <si>
    <t>IMDPH inhibitor</t>
  </si>
  <si>
    <t>R3637 (lebrikizumab)</t>
  </si>
  <si>
    <t>Anti IL-13</t>
  </si>
  <si>
    <t>R667 (palovarotene)</t>
  </si>
  <si>
    <t>Ulcerative Colitis</t>
  </si>
  <si>
    <t>Beta-7</t>
  </si>
  <si>
    <t>RG7416</t>
  </si>
  <si>
    <t>Rheumatoid Arthritis</t>
  </si>
  <si>
    <t>LT-alpha</t>
  </si>
  <si>
    <t>Genmab</t>
  </si>
  <si>
    <t>R7089</t>
  </si>
  <si>
    <t>SGLT2</t>
  </si>
  <si>
    <t>RG7426</t>
  </si>
  <si>
    <t>T1D</t>
  </si>
  <si>
    <t>Alzheimer's</t>
  </si>
  <si>
    <t>MOR GR</t>
  </si>
  <si>
    <t>Amyloid-Beta</t>
  </si>
  <si>
    <t>R4996</t>
  </si>
  <si>
    <t>Alpha-7</t>
  </si>
  <si>
    <t>RG3487</t>
  </si>
  <si>
    <t>RG7010</t>
  </si>
  <si>
    <t>ALS</t>
  </si>
  <si>
    <t>IGF</t>
  </si>
  <si>
    <t>R7112</t>
  </si>
  <si>
    <t>MDM2</t>
  </si>
  <si>
    <t>R7167</t>
  </si>
  <si>
    <t>R7304</t>
  </si>
  <si>
    <t>R7334</t>
  </si>
  <si>
    <t>Thrombogenics</t>
  </si>
  <si>
    <t>Anti-PGLF</t>
  </si>
  <si>
    <t>R7347</t>
  </si>
  <si>
    <t>AMGN</t>
  </si>
  <si>
    <t>BCC, Ovarian, CRC</t>
  </si>
  <si>
    <t>CRIS</t>
  </si>
  <si>
    <t>Hedgehog</t>
  </si>
  <si>
    <t>RG3635</t>
  </si>
  <si>
    <t>RG3639 (dulanermin)</t>
  </si>
  <si>
    <t>DR5?</t>
  </si>
  <si>
    <t>Gamma Secretase</t>
  </si>
  <si>
    <t>RG7414</t>
  </si>
  <si>
    <t>Anti-EGFL7</t>
  </si>
  <si>
    <t>PI3 kinase</t>
  </si>
  <si>
    <t>RG7423</t>
  </si>
  <si>
    <t>Colorectal Cancer</t>
  </si>
  <si>
    <t>Liver Cancer</t>
  </si>
  <si>
    <t>Topoisomerase I</t>
  </si>
  <si>
    <t>Anti-glypican</t>
  </si>
  <si>
    <t>RG3484</t>
  </si>
  <si>
    <t>Cervical Neoplasia</t>
  </si>
  <si>
    <t>HPV16 vaccine</t>
  </si>
  <si>
    <t>Vaccine</t>
  </si>
  <si>
    <t>30.6 months vs 20.6 months for Rituxan retreatment vs chemo only.</t>
  </si>
  <si>
    <t>IMS</t>
  </si>
  <si>
    <t>August 2009: RIBBON-2 in 2L mBC successful for Avastin.</t>
  </si>
  <si>
    <t>Neuraminidase</t>
  </si>
  <si>
    <t>Chemotherapy</t>
  </si>
  <si>
    <t>Troponin</t>
  </si>
  <si>
    <t>Elecsys</t>
  </si>
  <si>
    <t>REACH in n=552 R/R CLL Approved in Europe 9/09</t>
  </si>
  <si>
    <t>R1579 (carmegliptin)</t>
  </si>
  <si>
    <t>HER2+ mBC, NSCLC</t>
  </si>
  <si>
    <t>Chugai Ownership??</t>
  </si>
  <si>
    <t>Glass-magnetic-particle based automated nucleic acid purification systems.</t>
  </si>
  <si>
    <t>Accu-Chek: strip-free blood glucose monitoring.</t>
  </si>
  <si>
    <t>454 Life Sciences: Genome Sequencer FLX System</t>
  </si>
  <si>
    <t>NimbleGen: SeqCap EZ</t>
  </si>
  <si>
    <t>Gerd Maass</t>
  </si>
  <si>
    <t>CEO of Roche NimbleGen</t>
  </si>
  <si>
    <t>Atherosclerosis</t>
  </si>
  <si>
    <t>BioInvent</t>
  </si>
  <si>
    <t>Phase II "BRAIN"</t>
  </si>
  <si>
    <t>Sandra Horning</t>
  </si>
  <si>
    <t>Varun Nanda</t>
  </si>
  <si>
    <t>Niko Andre</t>
  </si>
  <si>
    <t>Roche Global Medical Director for Avastin</t>
  </si>
  <si>
    <t>Roche Global Product Strategy Head of Oncology</t>
  </si>
  <si>
    <t>Stefan Frings</t>
  </si>
  <si>
    <t>Roche Global HER2 Franchise Leader</t>
  </si>
  <si>
    <t>Phase III mNSCLC "SAIL" community-setting study</t>
  </si>
  <si>
    <t>Phase III mNSCLC "ARIES" community-setting study</t>
  </si>
  <si>
    <t>Phase III mBC "ATHENA" community-setting study</t>
  </si>
  <si>
    <t>Phase III mCRC "BEAT - Bevacizumab Expanded Access Trial" community-setting study n=2000</t>
  </si>
  <si>
    <t>7.8m TTP, 14.6m OS.</t>
  </si>
  <si>
    <t>FOLFOX vs FOLFOX+Avastin with Avastin maintenance for 5.5m, Xelox+Avastin with Avastin maintenance for 5.5m.</t>
  </si>
  <si>
    <t>DFS primary.</t>
  </si>
  <si>
    <t>Phase III AVANT - adjuvant CRC n=3500 from 12/04-6/07. Data in 2010.</t>
  </si>
  <si>
    <t>2010: AVANT Phase III results.</t>
  </si>
  <si>
    <t>Phase II "BEAM" in stage IV metastatic melanoma n=214</t>
  </si>
  <si>
    <t>Carbo+Tax+-Avastin. 5.6m PFS vs 4.2 for control. 12.3m OS vs 8.6m for control.</t>
  </si>
  <si>
    <t>Phase II "BOXER" neoadjuvant mCRC</t>
  </si>
  <si>
    <t>Avastin+Capecitabine+Oxaliplatin in mCRC confined to liver. ORR 80%.</t>
  </si>
  <si>
    <t>Phase III "COIN"</t>
  </si>
  <si>
    <t>6 patients out of first 200 developed CHF.</t>
  </si>
  <si>
    <t>Phase III "BEATRICE" triple-negative mBC</t>
  </si>
  <si>
    <t>Phase III "E5103" n=3439/4950 enrollment halted due to CHF Avastin+Chemo in aBC</t>
  </si>
  <si>
    <t>Arm A: Doxorubicin+cyclophosphamide+placebo (4 cycles) followed by paclitaxel+placebo (4 cycles).</t>
  </si>
  <si>
    <t>Arm B: Replace placebos with Avastin, Arm C: ArmB+ Avastin maintenance monotherapy for 10 cycles.</t>
  </si>
  <si>
    <t>Phase III "TOGA" in HER2+ gastric cancer stopped early Q109</t>
  </si>
  <si>
    <t>16.0m vs 11.8m OS for high levels of HER2.</t>
  </si>
  <si>
    <t>Dan Zambrowski</t>
  </si>
  <si>
    <t>Richard Scheller</t>
  </si>
  <si>
    <t>Genentech Research and Early Development</t>
  </si>
  <si>
    <t>Jean-Jacques Garaud</t>
  </si>
  <si>
    <t>Daniel O'Day</t>
  </si>
  <si>
    <t>Burkhard Piper</t>
  </si>
  <si>
    <t>Roche Head of Diabetes Care</t>
  </si>
  <si>
    <t>Ian Clark</t>
  </si>
  <si>
    <t>CEO, Genentech</t>
  </si>
  <si>
    <t>CEO, Roche</t>
  </si>
  <si>
    <t>Chairman of Board, Roche</t>
  </si>
  <si>
    <t>Roche Head Pharma Partnering</t>
  </si>
  <si>
    <t>CFO, Roche</t>
  </si>
  <si>
    <t>Cobas 8000 modular analyzer. Competes with BEC. Clinical Chemistry and Immunochemistry. 270 reagents.</t>
  </si>
  <si>
    <t>7/31/2009: FDA accepts CR submission for Actemra.</t>
  </si>
  <si>
    <t>Divisions</t>
  </si>
  <si>
    <t>Professional Diagnostics</t>
  </si>
  <si>
    <t>Tissue Diagnostics</t>
  </si>
  <si>
    <t>Diabetes Care</t>
  </si>
  <si>
    <t>3/26/2009 acquired full ownership of Genentech.</t>
  </si>
  <si>
    <t>Expired</t>
  </si>
  <si>
    <t>SLE</t>
  </si>
  <si>
    <t>Anti-IFN-alpha</t>
  </si>
  <si>
    <t>Selectin</t>
  </si>
  <si>
    <t>11-beta-HSD</t>
  </si>
  <si>
    <t>Y2R peptide agonist</t>
  </si>
  <si>
    <t>Anti-Factor-D</t>
  </si>
  <si>
    <t>Failures</t>
  </si>
  <si>
    <t>Anti-NRP-1</t>
  </si>
  <si>
    <t>CIF/MEK</t>
  </si>
  <si>
    <t>huMab EGFR</t>
  </si>
  <si>
    <t>2010: Phase III OC results.</t>
  </si>
  <si>
    <t>Dilatrend</t>
  </si>
  <si>
    <t>Raptiva</t>
  </si>
  <si>
    <t>Evista</t>
  </si>
  <si>
    <t>Renagel</t>
  </si>
  <si>
    <t>Molecular Diagnostics</t>
  </si>
  <si>
    <t>Applied Science</t>
  </si>
  <si>
    <t>% of Sales</t>
  </si>
  <si>
    <t>WW Y/Y Growth</t>
  </si>
  <si>
    <t>Drugs</t>
  </si>
  <si>
    <t>PML risk limits use to TNF-refractory RA, even though 3/100,000 seen with PML and 2 had SLE.</t>
  </si>
  <si>
    <t>Phase II UC - Initiate YE07</t>
  </si>
  <si>
    <t>Phase III SLE - Initiate in 2008</t>
  </si>
  <si>
    <t>Phase III LN - Initiate YE07</t>
  </si>
  <si>
    <t>Phase III Rheumatoid Arthritis - FILM - MTX-naïve - Initiated Q2 2007</t>
  </si>
  <si>
    <t>Phase III Rheumatoid Arthritis - n=1000 STAGE - MTX-refractory - Initiated Q4 2006</t>
  </si>
  <si>
    <t>Clinical Studies</t>
  </si>
  <si>
    <t xml:space="preserve">    The decision-making process is being disputed by the partners and will be decided by an arbitrator.</t>
  </si>
  <si>
    <t xml:space="preserve">  The new economics will also apply to Rituxan.</t>
  </si>
  <si>
    <t xml:space="preserve">  For ocrelizumab, BIIB will receive 38% of operating profit, followed by 35% followed by 30% (at $150m and $350m).</t>
  </si>
  <si>
    <t>BIIB, Roche. BIIB receives 30% of the first $50m operating profit of Rituxan and 40% of profits thereafter.</t>
  </si>
  <si>
    <t>Humanized Anti-CD20</t>
  </si>
  <si>
    <t>ocrelizumab</t>
  </si>
  <si>
    <t>PRO70769, rHUmab 2H7</t>
  </si>
  <si>
    <t>Phase III Rheumatoid Arthritis - SCRIPT - TNF-refractory - Initiated Q2 2007 - Results in 2009</t>
  </si>
  <si>
    <t>4mg/kg, 8mg/kg vs placebo.</t>
  </si>
  <si>
    <t>Phase III LITHE n=1196 in MTX-inadequate responders - Presented at ACR 2008 and EULAR 2009</t>
  </si>
  <si>
    <t>65% had 2-year DAS remission vs 48% at 1 year.</t>
  </si>
  <si>
    <t>1/8 or 1/31/2010: Actemra PDUFA.</t>
  </si>
  <si>
    <t>Ventana/Tissue Diagnostics - Acquired in 2007?</t>
  </si>
  <si>
    <t>10/29/2009: Taspoglutide Phase III data.</t>
  </si>
  <si>
    <t>Roche Pharma Research and Early Development, Head of Pharma Development</t>
  </si>
  <si>
    <t>Phase III - "T-EMERGE-2" to begin in 2H 2008 - NDA to be filed in 2010 - Results press released 10/29/2009 n=1189</t>
  </si>
  <si>
    <t>Taspo 10mg once weekly versus Exenatide 10mcg twice daily</t>
  </si>
  <si>
    <t>Superior A1C control.</t>
  </si>
  <si>
    <t>capecitabine</t>
  </si>
  <si>
    <t>Teva FTF, Roche 30-month stay initiated 10/09, ends 4/12. Patent expires 2013.</t>
  </si>
  <si>
    <t>2012-13</t>
  </si>
  <si>
    <t>Phase II HERMES</t>
  </si>
  <si>
    <t>Phase III RRMS - Initiate 2008 - Results Late 2009?</t>
  </si>
  <si>
    <t>2H 2009: Ocrelizumab SCRIPT results and MS results.</t>
  </si>
  <si>
    <t>PRIMA1 1L iNHL maintenance - presents at ASH 2009 n=1217</t>
  </si>
  <si>
    <t>PFS primary endpoint</t>
  </si>
  <si>
    <t>Phase III EORTC 20981 Rituxan maintenance vs observation in relapsed iNHL</t>
  </si>
  <si>
    <t>52m vs 15m mPFS.</t>
  </si>
  <si>
    <t>91% reduction in Gd-lesions.</t>
  </si>
  <si>
    <t>Phase III dal-OUTCOMES n=15600</t>
  </si>
  <si>
    <t>n=9k enrolled as of AHA 2009</t>
  </si>
  <si>
    <t>Phase III "RIBBON-1" mBC</t>
  </si>
  <si>
    <t>HR=1.032 p=0.89 for OS</t>
  </si>
  <si>
    <t>Phase III "C08" - adjuvant CRC - FAILED n=2710</t>
  </si>
  <si>
    <t>CT-322</t>
  </si>
  <si>
    <t>dalcetrapib</t>
  </si>
  <si>
    <t>JTT-705/R1658</t>
  </si>
  <si>
    <t>Fusion</t>
  </si>
  <si>
    <t>11/09: Safety issue</t>
  </si>
  <si>
    <t>VEGF recombinant humanized monoclonal antibody.</t>
  </si>
  <si>
    <t>PDLI royalty.</t>
  </si>
  <si>
    <t>Risk of Venous Thromboembolism with the angiogenesis inhibitor bevacizumab in cancer patients: a meta-analysis. Nalluri et al. JAMA 2008;300(19):2277-2285.</t>
  </si>
  <si>
    <t>11/09: EMEA rejects for GBM.</t>
  </si>
  <si>
    <t>Chemotherapy, bevacizumab, and cetuximab in metastatic colorectal cancer. Tol et al. NEJM 2009;360:563-72.</t>
  </si>
  <si>
    <t>Phase III "CAIRO2" CapeOxBeva+-Cetuximab n=755 1L mCRC. Tol et al NEJM 2009</t>
  </si>
  <si>
    <t>10.7m mPFS for triplet vs 9.4-9.8m mPFS for quadruplet.</t>
  </si>
  <si>
    <t>Paclitaxel plus bevacizumab versus paclitaxel alone for metastatic breast cancer. Miller et al. NEJM 2007;357:2666-76.</t>
  </si>
  <si>
    <t>11.8m PFS vs. 5.9m for chemo alone.</t>
  </si>
  <si>
    <t>Phase III 1L mBC "E2100" - Paclitaxel+-Avastin n=722 from 12/01 to 5/04. NEJM 2009, Miller et al.</t>
  </si>
  <si>
    <t>Survival crossed.</t>
  </si>
  <si>
    <t>Failed to meet OS endpoint: 26.7m vs 25.2m.</t>
  </si>
  <si>
    <t>1L mCRC US Patients</t>
  </si>
  <si>
    <t>1L mCRC EU Patients</t>
  </si>
  <si>
    <t>Bevacizumab plus interferon alfa-2a for treatment of metastatic renal cell carcinoma: a randomized, double-blind phase III trial. Escudier et al. Lancet 2007;370:2103-11.</t>
  </si>
  <si>
    <t>Phase III "AVOREN" n=649 mRCC Escudier et al. Lancet 2007</t>
  </si>
  <si>
    <t>IFN+-Avastin mPFS 10.2m vs 5.4m for monotherapy. C25</t>
  </si>
  <si>
    <t>1L mRCC US Patients</t>
  </si>
  <si>
    <t>1L mRCC EU Patients</t>
  </si>
  <si>
    <t>Market Share</t>
  </si>
  <si>
    <t>1L mRCC ROW Patients</t>
  </si>
  <si>
    <t>Total Patients</t>
  </si>
  <si>
    <t>RCC Revenue</t>
  </si>
  <si>
    <t>Paclitaxel-Carboplatin alone or with bevacizumab for NSCLC. Sandler et al. NEJM 2006;355:2542-50.</t>
  </si>
  <si>
    <t>Phase III "ECOG 4599" n=878 1L mNSCLC Carbo+Tax+-Avastin Sandler et al NEJM 2006 (7/01-4/04)</t>
  </si>
  <si>
    <t>12.3m mOS versus 10.3m mOS for chemotherapy alone.</t>
  </si>
  <si>
    <t>6.2m mPFS versus 4.5m mPFS for chemotherapy alone.</t>
  </si>
  <si>
    <t>4.4% significant bleeding versus 0.7%.</t>
  </si>
  <si>
    <t xml:space="preserve">Phase III "AVAPERL1" </t>
  </si>
  <si>
    <t>Phase III "CAIRO3"</t>
  </si>
  <si>
    <t>High thromboembolism, GI tract perforation, neutropenia, pulmonary hemorrhage, hypertension and impairment of wound healing.</t>
  </si>
  <si>
    <t>Current perspective: bevacizumab in colorectal cancer - a time for reappraisal? Okines et al. Eu J of Cancer 45(2009);2452-2461.</t>
  </si>
  <si>
    <t>Phase III "ECOG 5202"</t>
  </si>
  <si>
    <t>Phase III QUASAR2</t>
  </si>
  <si>
    <t>Phase III "ECOG NSABP-ECOG E5204"</t>
  </si>
  <si>
    <t>77.4% alive at the end of 3 years versus 75.5% for chemo. HR=0.89, p=0.15.</t>
  </si>
  <si>
    <t>1-year of beva treatment, 40% event reduction at one year. HR=0.6, p=0.0004.</t>
  </si>
  <si>
    <t>Bevacizumab plus irinotecan, fluorouracil and leucovorin for metastatic colorectal cancer. Hurwitz et al. NEJM 2004;350:2335-42.</t>
  </si>
  <si>
    <t>Phase III 1L mCRC n=813 Hurwitz et al NEJM 2004</t>
  </si>
  <si>
    <t>20.3m mOS versus 15.6m for placebo.</t>
  </si>
  <si>
    <t>Phase III adjuvant BC "B-46" n=3900 initiated May 2009, January 2022</t>
  </si>
  <si>
    <t>CLL</t>
  </si>
  <si>
    <t>ABT</t>
  </si>
  <si>
    <t>GDC-0973/XL518</t>
  </si>
  <si>
    <t>EXEL</t>
  </si>
  <si>
    <t>RG7415 (rontalizumab)</t>
  </si>
  <si>
    <t>Debt CHF</t>
  </si>
  <si>
    <t>Q110</t>
  </si>
  <si>
    <t>United States</t>
  </si>
  <si>
    <t>Operating Expenses</t>
  </si>
  <si>
    <t>R7273</t>
  </si>
  <si>
    <t>ABCA1 inducer</t>
  </si>
  <si>
    <t>Anti-oxLDL?</t>
  </si>
  <si>
    <t>R7334/BI204/RG7418</t>
  </si>
  <si>
    <t>NMDA?</t>
  </si>
  <si>
    <t>Alzheimer's, Schizophrenia</t>
  </si>
  <si>
    <t>Depression</t>
  </si>
  <si>
    <t>mGluR5</t>
  </si>
  <si>
    <t>MetMab</t>
  </si>
  <si>
    <t>RG7420</t>
  </si>
  <si>
    <t>MEK</t>
  </si>
  <si>
    <t>1H10</t>
  </si>
  <si>
    <t>2H10</t>
  </si>
  <si>
    <t>Study shut down?</t>
  </si>
  <si>
    <t>9/17/2010: mBC ADCOM</t>
  </si>
  <si>
    <t>Phase III AVAGAST - 1L advanced gastric cancer - Data in 2010</t>
  </si>
  <si>
    <t>Phase III GOG-0218 - 1L mOC - Data in 2010</t>
  </si>
  <si>
    <t>Phase III ICON-7 - 1L mOC - Data in 2010</t>
  </si>
  <si>
    <t>S1P1</t>
  </si>
  <si>
    <t>ABT869</t>
  </si>
  <si>
    <t>CFFO</t>
  </si>
  <si>
    <t>P&amp;E</t>
  </si>
  <si>
    <t>FCF</t>
  </si>
  <si>
    <t>Model NI</t>
  </si>
  <si>
    <t>Solid Tumors, MM, AML, NSCLC, BC</t>
  </si>
  <si>
    <t>CDK inhibitor</t>
  </si>
  <si>
    <t>GDC-0068</t>
  </si>
  <si>
    <t>ABT-869</t>
  </si>
  <si>
    <t>RO4998452</t>
  </si>
  <si>
    <t>ANDS, VX-222</t>
  </si>
  <si>
    <t>Debt</t>
  </si>
  <si>
    <t>Maturity</t>
  </si>
  <si>
    <t>Issued</t>
  </si>
  <si>
    <t>Duration</t>
  </si>
  <si>
    <t>Amount</t>
  </si>
  <si>
    <t>Coupon</t>
  </si>
  <si>
    <t>Note</t>
  </si>
  <si>
    <t>Callable, USD</t>
  </si>
  <si>
    <t>Yield</t>
  </si>
  <si>
    <t>Collateral</t>
  </si>
  <si>
    <t>Rating</t>
  </si>
  <si>
    <t>High</t>
  </si>
  <si>
    <t>High Date</t>
  </si>
  <si>
    <t>Low</t>
  </si>
  <si>
    <t>Low Date</t>
  </si>
  <si>
    <t>UST</t>
  </si>
  <si>
    <t>AA-</t>
  </si>
  <si>
    <t>Guarantee</t>
  </si>
  <si>
    <t>30 year</t>
  </si>
  <si>
    <t>2039 Guaranteed Debt</t>
  </si>
  <si>
    <t>Spread</t>
  </si>
  <si>
    <t>2035 Debt</t>
  </si>
  <si>
    <t>Callable, USD, Genentech</t>
  </si>
  <si>
    <t>Sr Unsecured</t>
  </si>
  <si>
    <t>Initial</t>
  </si>
  <si>
    <t>Current</t>
  </si>
  <si>
    <t>2023 Roche Finance Europe</t>
  </si>
  <si>
    <t>Bullet, GBP</t>
  </si>
  <si>
    <t>20 year</t>
  </si>
  <si>
    <t>2021 Roche Euro</t>
  </si>
  <si>
    <t>Bullet, EUR</t>
  </si>
  <si>
    <t>12 year</t>
  </si>
  <si>
    <t>11 year</t>
  </si>
  <si>
    <t>13 year</t>
  </si>
  <si>
    <t>25 year</t>
  </si>
  <si>
    <t>29 year</t>
  </si>
  <si>
    <t>2019 Roche US</t>
  </si>
  <si>
    <t>9 year</t>
  </si>
  <si>
    <t>10 year</t>
  </si>
  <si>
    <t>2017 Roche Swiss</t>
  </si>
  <si>
    <t>Bullet, CHF</t>
  </si>
  <si>
    <t>8 year</t>
  </si>
  <si>
    <t>7 year</t>
  </si>
  <si>
    <t>2016 Roche</t>
  </si>
  <si>
    <t>6 year</t>
  </si>
  <si>
    <t>2015 Roche GBP</t>
  </si>
  <si>
    <t>5 year</t>
  </si>
  <si>
    <t>2015 Genentech Small</t>
  </si>
  <si>
    <t>2015 Genentech</t>
  </si>
  <si>
    <t>Products</t>
  </si>
  <si>
    <t>Accu-Chek Mobile, Accu-Chek Combo</t>
  </si>
  <si>
    <t>Blood Screening, Cobas 4800</t>
  </si>
  <si>
    <t>Cobas 8000, Cobas 6000, CoaguChek</t>
  </si>
  <si>
    <t>Ventana, IHC, In Situ</t>
  </si>
  <si>
    <t>454 Life Sciences, PCR. NimbleGen, xCELLigence</t>
  </si>
  <si>
    <t>Avastin+Chemo+Maintenance Avastin had S.S. improvement in PFS vs chemo alone vs chemo+avastin.</t>
  </si>
  <si>
    <t>14.1 months vs. 10.3, HR=0.72.</t>
  </si>
  <si>
    <t>Failed but showed trends</t>
  </si>
  <si>
    <t>Phase III CALGB-90401 - 1L mHRPC - Data in 2010. - Failed with worse mortality.</t>
  </si>
  <si>
    <t>RG7422/GC-0980</t>
  </si>
  <si>
    <t>GDC-0941/RG7321</t>
  </si>
  <si>
    <t>Long-term paper at 5.25-5.30%, 100bps above Tsys.</t>
  </si>
  <si>
    <t>Management has excellent L-T track record, despite recent changes.</t>
  </si>
  <si>
    <t>Biotech generics still don't have a toehold.</t>
  </si>
  <si>
    <t>Heavy reliance on 3 products with similar ASP profile.</t>
  </si>
  <si>
    <t>Discount (3-1)</t>
  </si>
  <si>
    <t>ROIC</t>
  </si>
  <si>
    <t>Q210</t>
  </si>
  <si>
    <t>Phase II/III RITUXVAS - Rituxan versus Cyclophosphamide in ANCA-Associated Renal Vasculitis - NEJM 2010</t>
  </si>
  <si>
    <t>Failed to show superiority on efficacy or safety.</t>
  </si>
  <si>
    <t>Phase III "RAVE" - Rituxan versus Cyclophosphamide for ANCA-Associated Vasculitis - NEJM 2010</t>
  </si>
  <si>
    <t>Non-inferior with 64% efficacy vs. 53% for cyclo. AE similar.</t>
  </si>
  <si>
    <t>Q310</t>
  </si>
  <si>
    <t>Q410</t>
  </si>
  <si>
    <t>Q111</t>
  </si>
  <si>
    <t>Q211</t>
  </si>
  <si>
    <t>Q311</t>
  </si>
  <si>
    <t>Q411</t>
  </si>
  <si>
    <t>Phase II NEOSPHERE - P+H+Chemo vs H+Chemo in aBC - Presented at SABCS 2010</t>
  </si>
  <si>
    <t>46% doublet vs 29% single.</t>
  </si>
  <si>
    <t>R7160/RO5083945</t>
  </si>
  <si>
    <t>1/2011: Taspo returned.</t>
  </si>
  <si>
    <t>International</t>
  </si>
  <si>
    <t>1H11</t>
  </si>
  <si>
    <t>2H11</t>
  </si>
  <si>
    <t>Western Europe</t>
  </si>
  <si>
    <t>Diagnostics y/y</t>
  </si>
  <si>
    <t>R/R CLL</t>
  </si>
  <si>
    <t>Bcl-2</t>
  </si>
  <si>
    <t>NPV</t>
  </si>
  <si>
    <t>Share</t>
  </si>
  <si>
    <t>Return</t>
  </si>
  <si>
    <t>Perjeta (pertuzumab)</t>
  </si>
  <si>
    <t>Dalcetrapib fails.</t>
  </si>
  <si>
    <t>RG7314</t>
  </si>
  <si>
    <t>Autism</t>
  </si>
  <si>
    <t>V1A vasopressin</t>
  </si>
  <si>
    <t>RG7129</t>
  </si>
  <si>
    <t>BACE</t>
  </si>
  <si>
    <t>2012: dalcetrapib fails</t>
  </si>
  <si>
    <t>Erivedge (R7201/GDC-0449)</t>
  </si>
  <si>
    <t>RG3638 (onartuzumab)</t>
  </si>
  <si>
    <t>1H12</t>
  </si>
  <si>
    <t>2H12</t>
  </si>
  <si>
    <t>Q112</t>
  </si>
  <si>
    <t>Q212</t>
  </si>
  <si>
    <t>Q312</t>
  </si>
  <si>
    <t>Q412</t>
  </si>
  <si>
    <t>Zelboraf</t>
  </si>
  <si>
    <t>Rituxan y/y LC</t>
  </si>
  <si>
    <t>Avastin y/y LC</t>
  </si>
  <si>
    <t>Herceptin y/y LC</t>
  </si>
  <si>
    <t>Perjeta</t>
  </si>
  <si>
    <t>Q113</t>
  </si>
  <si>
    <t>Q213</t>
  </si>
  <si>
    <t>Q313</t>
  </si>
  <si>
    <t>Q413</t>
  </si>
  <si>
    <t>Zelboraf (RG7204/PLX4032)</t>
  </si>
  <si>
    <t>ABT-263 (navitoclax) RG7601?</t>
  </si>
  <si>
    <t>Kadcyla (trastuzumab-DM1)</t>
  </si>
  <si>
    <t>July 2013: aleglitazar stopped</t>
  </si>
  <si>
    <t>RG7413 (rhuMab beta-7) (etrolizumab?)</t>
  </si>
  <si>
    <t>RG7412 (crenezumab)</t>
  </si>
  <si>
    <t>Depression (was Alzheimer's)</t>
  </si>
  <si>
    <t>mGluR2/3</t>
  </si>
  <si>
    <t>RG1577</t>
  </si>
  <si>
    <t>RG1578</t>
  </si>
  <si>
    <t>Evotec</t>
  </si>
  <si>
    <t>MAO-B</t>
  </si>
  <si>
    <t>RG1662</t>
  </si>
  <si>
    <t>GABRA5</t>
  </si>
  <si>
    <t>RG7203</t>
  </si>
  <si>
    <t>PDE10A</t>
  </si>
  <si>
    <t>7351, TAAR1 partial agonist for depression, abandoned</t>
  </si>
  <si>
    <t>7166, triple reuptake inhibitor for depression, abandoned.</t>
  </si>
  <si>
    <t>Q114</t>
  </si>
  <si>
    <t>Q214</t>
  </si>
  <si>
    <t>Q314</t>
  </si>
  <si>
    <t>Q414</t>
  </si>
  <si>
    <t>2014: bitopertin (RG1678) fails.</t>
  </si>
  <si>
    <t>Actemra (tocilizumab)</t>
  </si>
  <si>
    <t>Gazyva (obinutuzumab)</t>
  </si>
  <si>
    <t>1H13</t>
  </si>
  <si>
    <t>2H13</t>
  </si>
  <si>
    <t>1H14</t>
  </si>
  <si>
    <t>2H14</t>
  </si>
  <si>
    <t>Kadcyla</t>
  </si>
  <si>
    <t>Erivedge</t>
  </si>
  <si>
    <t>Gazyva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</si>
  <si>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</si>
  <si>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</si>
  <si>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</si>
  <si>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</si>
  <si>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</si>
  <si>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</si>
  <si>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</si>
  <si>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</si>
  <si>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</si>
  <si>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</si>
  <si>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</si>
  <si>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</si>
  <si>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</si>
  <si>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</si>
  <si>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</si>
  <si>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</si>
  <si>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</si>
  <si>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</si>
  <si>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</si>
  <si>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</si>
  <si>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</si>
  <si>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</si>
  <si>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</si>
  <si>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</si>
  <si>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</si>
  <si>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</si>
  <si>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</si>
  <si>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</si>
  <si>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</si>
  <si>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</si>
  <si>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</si>
  <si>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</si>
  <si>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Ocrevus</t>
  </si>
  <si>
    <t>Hemlibra</t>
  </si>
  <si>
    <t>Tecentriq</t>
  </si>
  <si>
    <t>Ronapreve</t>
  </si>
  <si>
    <t>Alecensa</t>
  </si>
  <si>
    <t>Esbriet</t>
  </si>
  <si>
    <t>Evrysdi</t>
  </si>
  <si>
    <t>Phesgo</t>
  </si>
  <si>
    <t>Polivy</t>
  </si>
  <si>
    <t>Enspryng</t>
  </si>
  <si>
    <t>Vabysmo</t>
  </si>
  <si>
    <t>Rozlytrek</t>
  </si>
  <si>
    <t>Cotellic</t>
  </si>
  <si>
    <t>Gavreto</t>
  </si>
  <si>
    <t>Xofluza</t>
  </si>
  <si>
    <t>Susivmo</t>
  </si>
  <si>
    <t>Headcount</t>
  </si>
  <si>
    <t>Cash</t>
  </si>
  <si>
    <t>Tecentriq (atezolizumab)</t>
  </si>
  <si>
    <t>Oncology</t>
  </si>
  <si>
    <t>PD-1 mab</t>
  </si>
  <si>
    <t>Brand</t>
  </si>
  <si>
    <t>Generic</t>
  </si>
  <si>
    <t>atezolizumab</t>
  </si>
  <si>
    <t>ES-SCLC (CHMP recommended approval)</t>
  </si>
  <si>
    <t>MOA</t>
  </si>
  <si>
    <t>oseltamivir</t>
  </si>
  <si>
    <t>Gilead</t>
  </si>
  <si>
    <t>Hemophilia</t>
  </si>
  <si>
    <t>valganciclovir</t>
  </si>
  <si>
    <t>Ocrevus (ocrelizumab)</t>
  </si>
  <si>
    <t>Departures</t>
  </si>
  <si>
    <t>CEO of Pharma, Retired.</t>
  </si>
  <si>
    <t>Roche COO Pharma, became CEO of AZN.</t>
  </si>
  <si>
    <t>Roche COO Diagnostics, became CEO of GILD.</t>
  </si>
  <si>
    <t>Genentech SVP, Global Head of Clinical Development in Hematology/Oncology, promoted to CMO/Head of Global Product Development</t>
  </si>
  <si>
    <t>Carboplatin+Etoposide vs. Tecentriq+carboplatin+etoposide</t>
  </si>
  <si>
    <t>median OS 12.3 vs. 10.3 months, HR=0.70</t>
  </si>
  <si>
    <t>median PFS 5.2 vs. 4.3 months, HR=0.77</t>
  </si>
  <si>
    <t>Phase III "IMpower133" n=403 1L ES-SCLC</t>
  </si>
  <si>
    <t xml:space="preserve">  SCLC accounts for 15% of all lung cancer, with 70% in extensive stage. 1.76m deaths every year due to lung cancer, WW.</t>
  </si>
  <si>
    <t>7/26/2019: CHMP recommends Tecentriq for 1L ES-SCLC</t>
  </si>
  <si>
    <t>7/26/2019: CHMP recommends Tecentriq for 1L NSCLC</t>
  </si>
  <si>
    <t>median OS 18.6 vs. 13.9 months, HR=0.79, p=0.033</t>
  </si>
  <si>
    <t>median PFS 7.0 vs. 5.5 months, HR=0.64, p&lt;0.0001</t>
  </si>
  <si>
    <t>Tecentriq+carboplatin+nab-paclitaxel vs. carboplatin+nab-paclitaxel</t>
  </si>
  <si>
    <t>no EGFRm or ALK+, stage IV, 2:1 randomization</t>
  </si>
  <si>
    <t>Phase III "IMpower130" n=723 1L nsNSCLC</t>
  </si>
  <si>
    <t>49.2% ORR vs. 31.9%, mDOR 8.4 months vs. 6.1 months</t>
  </si>
  <si>
    <t>8/23/2022: Launches Digital LightCycler System (PCR)</t>
  </si>
  <si>
    <t>PCR</t>
  </si>
  <si>
    <t>Digital LightCycler</t>
  </si>
  <si>
    <t>Ultra-rare/sensitive</t>
  </si>
  <si>
    <t>Polivy (polatuzumab vedotin)</t>
  </si>
  <si>
    <t>SGEN</t>
  </si>
  <si>
    <t>ADC</t>
  </si>
  <si>
    <t>CD79b ADC</t>
  </si>
  <si>
    <t>DLBCL</t>
  </si>
  <si>
    <t>polatuzumab vedotin</t>
  </si>
  <si>
    <t>P+R-CHP vs. R-CHOP</t>
  </si>
  <si>
    <t>Phase III "POLARIX" n=879 1L DLBCL - NCT03274492</t>
  </si>
  <si>
    <t>TTP HR=0.73, 28.2 months follow-up</t>
  </si>
  <si>
    <t>CMO: Levi Garraway</t>
  </si>
  <si>
    <t>8/16/2022: FDA accepted POLARIX sBLA for Polivy</t>
  </si>
  <si>
    <t>R/R DLBCL, 1L DLBCL is approved by EC, PDUFA 4/2/23.</t>
  </si>
  <si>
    <t>1H15</t>
  </si>
  <si>
    <t>2H15</t>
  </si>
  <si>
    <t>1H16</t>
  </si>
  <si>
    <t>2H16</t>
  </si>
  <si>
    <t>1H17</t>
  </si>
  <si>
    <t>2H17</t>
  </si>
  <si>
    <t>1H18</t>
  </si>
  <si>
    <t>2H18</t>
  </si>
  <si>
    <t>1H19</t>
  </si>
  <si>
    <t>2H19</t>
  </si>
  <si>
    <t>1H20</t>
  </si>
  <si>
    <t>2H20</t>
  </si>
  <si>
    <t>1H21</t>
  </si>
  <si>
    <t>2H21</t>
  </si>
  <si>
    <t>1H22</t>
  </si>
  <si>
    <t>2H22</t>
  </si>
  <si>
    <t>Q123</t>
  </si>
  <si>
    <t>Q223</t>
  </si>
  <si>
    <t>Q323</t>
  </si>
  <si>
    <t>Q423</t>
  </si>
  <si>
    <t>DMD</t>
  </si>
  <si>
    <t>Outlicensed to Noema Pharma</t>
  </si>
  <si>
    <t>RG7090 (basimglurant)</t>
  </si>
  <si>
    <t>R7201 (tofogliflozin)</t>
  </si>
  <si>
    <t>LLY</t>
  </si>
  <si>
    <t>RG6026 (glofitamab)</t>
  </si>
  <si>
    <t>CD20xCD3</t>
  </si>
  <si>
    <t>TIGIT</t>
  </si>
  <si>
    <t>RG6076</t>
  </si>
  <si>
    <t>CD19-4-1BBL</t>
  </si>
  <si>
    <t>R/R BCL</t>
  </si>
  <si>
    <t>RG6007</t>
  </si>
  <si>
    <t>HLA-A2-WT1xCD3</t>
  </si>
  <si>
    <t>Bispecific</t>
  </si>
  <si>
    <t>AML</t>
  </si>
  <si>
    <t>R7417 (lampalizumab)</t>
  </si>
  <si>
    <t>Tecentriq, fka RG7446</t>
  </si>
  <si>
    <t>RG6129</t>
  </si>
  <si>
    <t>HLA-A2-MAGE-A4xCD3</t>
  </si>
  <si>
    <t>RG6058 (tiragolumab)</t>
  </si>
  <si>
    <t>delandistrogene moxeparvovec/SRP-9001</t>
  </si>
  <si>
    <t>SRPT</t>
  </si>
  <si>
    <t>fenebrutinib</t>
  </si>
  <si>
    <t>BTK</t>
  </si>
  <si>
    <t>RG1450 (gantenerumab)</t>
  </si>
  <si>
    <t>Lunsumio (mosunetuzumab)</t>
  </si>
  <si>
    <t>3L FL</t>
  </si>
  <si>
    <t>Vabysmo (faricimab)</t>
  </si>
  <si>
    <t>VEGF/Ang2</t>
  </si>
  <si>
    <t>Enspryng (satralizumab)</t>
  </si>
  <si>
    <t>NMOSD</t>
  </si>
  <si>
    <t>Xofluza (baloxavir marboxil)</t>
  </si>
  <si>
    <t>giredestrant</t>
  </si>
  <si>
    <t>SERD</t>
  </si>
  <si>
    <t>Approval</t>
  </si>
  <si>
    <t>Pharmacology</t>
  </si>
  <si>
    <t>8nM CD20</t>
  </si>
  <si>
    <t>Manufacturing</t>
  </si>
  <si>
    <t>CHO</t>
  </si>
  <si>
    <t>IV. SQ approved.</t>
  </si>
  <si>
    <t>US IV 11/26/1997</t>
  </si>
  <si>
    <t>CT-996</t>
  </si>
  <si>
    <t>Obesity</t>
  </si>
  <si>
    <t>GLP-1 oral</t>
  </si>
  <si>
    <t>CT-388</t>
  </si>
  <si>
    <t>GLP-1/GIP</t>
  </si>
  <si>
    <t>2/1/24: 2023 results</t>
  </si>
  <si>
    <t>4/24/24: Q124 results</t>
  </si>
  <si>
    <t>Q124</t>
  </si>
  <si>
    <t>Q224</t>
  </si>
  <si>
    <t>Q324</t>
  </si>
  <si>
    <t>Q424</t>
  </si>
  <si>
    <t>OCA</t>
  </si>
  <si>
    <t>Taxes</t>
  </si>
  <si>
    <t>AR</t>
  </si>
  <si>
    <t>Inventories</t>
  </si>
  <si>
    <t>ONCA</t>
  </si>
  <si>
    <t>Pension</t>
  </si>
  <si>
    <t>Assets</t>
  </si>
  <si>
    <t>PP&amp;E</t>
  </si>
  <si>
    <t>Goodwill</t>
  </si>
  <si>
    <t>Net Cash</t>
  </si>
  <si>
    <t>Provisions</t>
  </si>
  <si>
    <t>AP</t>
  </si>
  <si>
    <t>OCL</t>
  </si>
  <si>
    <t>ONCL</t>
  </si>
  <si>
    <t>Pensions</t>
  </si>
  <si>
    <t>L+SE</t>
  </si>
  <si>
    <t>SE</t>
  </si>
  <si>
    <t>12/14/23: Telavant acquisition for 7.1B</t>
  </si>
  <si>
    <t>1/26/24: Carmot acquisition for 2.9B</t>
  </si>
  <si>
    <t>Hemlibra (emicizumab)</t>
  </si>
  <si>
    <t>100%?</t>
  </si>
  <si>
    <t>CEO: Thomas Schinecker replaced Severin Schwann</t>
  </si>
  <si>
    <t>CFO: Alan Hippe</t>
  </si>
  <si>
    <t>CEO Pharma: Teresa Graham</t>
  </si>
  <si>
    <t>CEO Diagnostics: Matt Sause replaced Thomas Schinecker</t>
  </si>
  <si>
    <t>Luxturna</t>
  </si>
  <si>
    <t>Lunsumio</t>
  </si>
  <si>
    <t>Columvi</t>
  </si>
  <si>
    <t>Elevidys</t>
  </si>
  <si>
    <t>Piasky</t>
  </si>
  <si>
    <t>Poseida Therapeutics</t>
  </si>
  <si>
    <t>tiragolumab</t>
  </si>
  <si>
    <t>NSCLC</t>
  </si>
  <si>
    <t>Phase III "SKYSCRAPER-01" n=534 1L PD-L1-high NSCLC vs. Tecentriq monotherapy</t>
  </si>
  <si>
    <t>Itovebi (inavolisib)</t>
  </si>
  <si>
    <t>failed</t>
  </si>
  <si>
    <t>failed to meet PFS</t>
  </si>
  <si>
    <t>Phase III "SKYSCRAPER-06" NSCLC</t>
  </si>
  <si>
    <t>RG6058</t>
  </si>
  <si>
    <t>prasinezumab</t>
  </si>
  <si>
    <t>Parkinson's</t>
  </si>
  <si>
    <t>PRTA</t>
  </si>
  <si>
    <t>alpha-synuclein</t>
  </si>
  <si>
    <t>Founded: 1896</t>
  </si>
  <si>
    <t>Itovebi</t>
  </si>
  <si>
    <t>faricimab</t>
  </si>
  <si>
    <t>BLA 761235 approved 1/28/2022</t>
  </si>
  <si>
    <t>AMD, DME</t>
  </si>
  <si>
    <t>VEGF/Ang-2 mab</t>
  </si>
  <si>
    <t>Dosing</t>
  </si>
  <si>
    <t>6mg (0.05 mL)</t>
  </si>
  <si>
    <t>IND 8/29/2013</t>
  </si>
  <si>
    <t>Phase III "TENAYA" n=671 nAMD vs. aflibercept</t>
  </si>
  <si>
    <t>Phase III "LUCERNE" n=658 nAMD vs. aflibercept</t>
  </si>
  <si>
    <t>Phase II "STAIRWAY" n=76 nAMD vs. ranibizumab</t>
  </si>
  <si>
    <t>Phase II "AVENUE" n=273 nAMD vs. ranibizumab</t>
  </si>
  <si>
    <t>Phase II "YOSEMITE" n=940 DME</t>
  </si>
  <si>
    <t>Phase III "RHINE" n=951 DME</t>
  </si>
  <si>
    <t>Phase II "BOULEVARD" n=229 DME</t>
  </si>
  <si>
    <t>5.9 BCVA improvement vs. 5.6 for aflibercept 2mg (per protocol)</t>
  </si>
  <si>
    <t>5.8 BCVA improvement vs. 5.1 for aflibercept 2mg (ITT) - 40-48 weeks</t>
  </si>
  <si>
    <t>6.6 BCVA improvement vs. 6.6 for aflibercept 2mg (ITT) - 40-48 weeks</t>
  </si>
  <si>
    <t>6.6 BCVA improvement vs. 6.7 for aflibercept 2mg (PP) - 40-48 weeks</t>
  </si>
  <si>
    <t>10.7 BCVA improvement for q8w, 11.6 for PTI, 10.9 for aflibercept 2mg q8w</t>
  </si>
  <si>
    <t>11.8 BCVA improvement vs. 10.8 vs. 10.3 (same design as YOSEMITE)</t>
  </si>
  <si>
    <t>Phesgo (pertuzumab/trastuzumab)</t>
  </si>
  <si>
    <t>HALO</t>
  </si>
  <si>
    <t>Halozyme</t>
  </si>
  <si>
    <t>BLA 761170 approved 6/29/2020</t>
  </si>
  <si>
    <t>pertuzumab, trastuzumab, hyaluronidase</t>
  </si>
  <si>
    <t>Phase III "FeDeriCa"</t>
  </si>
  <si>
    <t>COB: Severin Schwan</t>
  </si>
  <si>
    <t>3/25/25: AGM. Dividend CHF 9.70.</t>
  </si>
  <si>
    <t>3/17/25: MDA presentations.</t>
  </si>
  <si>
    <t>SMA</t>
  </si>
  <si>
    <t>PTCT</t>
  </si>
  <si>
    <t>5-year data at MDA 2025</t>
  </si>
  <si>
    <t>oral</t>
  </si>
  <si>
    <t>Sarepta</t>
  </si>
  <si>
    <t>"EMBARK"</t>
  </si>
  <si>
    <t>2-year data at MDA 2025</t>
  </si>
  <si>
    <t>"101"</t>
  </si>
  <si>
    <t>"102"</t>
  </si>
  <si>
    <t>"ENDEAVOR"</t>
  </si>
  <si>
    <t>Phase III "SUNFISH" n=231 Type 2/3 SMA - NCT0290685</t>
  </si>
  <si>
    <t>RO7790121</t>
  </si>
  <si>
    <t>TL1A</t>
  </si>
  <si>
    <t>RO7486967</t>
  </si>
  <si>
    <t>NLRP3</t>
  </si>
  <si>
    <t>RO7673396</t>
  </si>
  <si>
    <t>RAS inhibitor</t>
  </si>
  <si>
    <t>RG7906</t>
  </si>
  <si>
    <t>TAAR agonist</t>
  </si>
  <si>
    <t>MASH, UC, AD</t>
  </si>
  <si>
    <t>Q125</t>
  </si>
  <si>
    <t>Q225</t>
  </si>
  <si>
    <t>Q325</t>
  </si>
  <si>
    <t>Q425</t>
  </si>
  <si>
    <t>Other Oncology</t>
  </si>
  <si>
    <t>Other Hematology</t>
  </si>
  <si>
    <t>Other Neurology</t>
  </si>
  <si>
    <t>Reported NI</t>
  </si>
  <si>
    <t>WC</t>
  </si>
  <si>
    <t>CFFI</t>
  </si>
  <si>
    <t>CapEx</t>
  </si>
  <si>
    <t>Purchase of Intangibles</t>
  </si>
  <si>
    <t>Divestments/Sales</t>
  </si>
  <si>
    <t>Acquisitions</t>
  </si>
  <si>
    <t>Investments</t>
  </si>
  <si>
    <t>CFFF</t>
  </si>
  <si>
    <t>ESOP</t>
  </si>
  <si>
    <t>Dividends</t>
  </si>
  <si>
    <t>Leases</t>
  </si>
  <si>
    <t>CIC</t>
  </si>
  <si>
    <t>FX</t>
  </si>
  <si>
    <t>Switzerland</t>
  </si>
  <si>
    <t>Basel</t>
  </si>
  <si>
    <t>Rotkreuz</t>
  </si>
  <si>
    <t>South San Francisco</t>
  </si>
  <si>
    <t>Penzberg,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</si>
</sst>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43" formatCode="_(* #,##0.00_);_(* \(#,##0.00\);_(* &quot;-&quot;??_);_(@_)"/>
    <numFmt numFmtId="164" formatCode="0.0%"/>
    <numFmt numFmtId="165" formatCode="_-* #,##0.00_-;\-* #,##0.00_-;_-* &quot;-&quot;??_-;_-@_-"/>
    <numFmt numFmtId="166" formatCode="&quot;£&quot;#,##0.00;[Red]\-&quot;£&quot;#,##0.00"/>
  </numFmts>
  <fonts count="27" x14ac:knownFonts="1">
    <font>
      <sz val="10"/>
      <name val="Arial"/>
    </font>
    <font>
      <sz val="10"/>
      <name val="Arial"/>
      <family val="2"/>
    </font>
    <font>
      <u/>
      <sz val="6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6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  <family val="2"/>
    </font>
    <font>
      <sz val="10"/>
      <name val="Helv"/>
    </font>
    <font>
      <b/>
      <sz val="11"/>
      <color indexed="10"/>
      <name val="Verdana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0" fillId="2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38" fontId="23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5" fillId="0" borderId="0"/>
    <xf numFmtId="0" fontId="24" fillId="0" borderId="0"/>
    <xf numFmtId="6" fontId="23" fillId="0" borderId="0" applyFont="0" applyFill="0" applyBorder="0" applyAlignment="0" applyProtection="0"/>
    <xf numFmtId="166" fontId="24" fillId="0" borderId="0" applyFont="0" applyFill="0" applyBorder="0" applyAlignment="0" applyProtection="0"/>
  </cellStyleXfs>
  <cellXfs count="148">
    <xf numFmtId="0" fontId="0" fillId="0" borderId="0" xfId="0"/>
    <xf numFmtId="0" fontId="7" fillId="0" borderId="0" xfId="0" applyFont="1"/>
    <xf numFmtId="0" fontId="1" fillId="0" borderId="0" xfId="0" applyFont="1"/>
    <xf numFmtId="0" fontId="1" fillId="4" borderId="0" xfId="0" applyFont="1" applyFill="1"/>
    <xf numFmtId="0" fontId="19" fillId="4" borderId="0" xfId="0" applyFont="1" applyFill="1"/>
    <xf numFmtId="0" fontId="0" fillId="4" borderId="0" xfId="0" applyFill="1"/>
    <xf numFmtId="0" fontId="1" fillId="4" borderId="3" xfId="0" applyFont="1" applyFill="1" applyBorder="1"/>
    <xf numFmtId="0" fontId="18" fillId="4" borderId="4" xfId="4" applyFont="1" applyFill="1" applyBorder="1" applyAlignment="1" applyProtection="1"/>
    <xf numFmtId="0" fontId="19" fillId="4" borderId="4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8" fillId="4" borderId="0" xfId="4" applyFont="1" applyFill="1" applyAlignment="1" applyProtection="1"/>
    <xf numFmtId="9" fontId="19" fillId="4" borderId="0" xfId="0" applyNumberFormat="1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6" fillId="4" borderId="0" xfId="0" applyFont="1" applyFill="1"/>
    <xf numFmtId="4" fontId="1" fillId="4" borderId="0" xfId="0" applyNumberFormat="1" applyFont="1" applyFill="1"/>
    <xf numFmtId="3" fontId="1" fillId="4" borderId="0" xfId="0" applyNumberFormat="1" applyFont="1" applyFill="1"/>
    <xf numFmtId="3" fontId="19" fillId="4" borderId="0" xfId="0" applyNumberFormat="1" applyFont="1" applyFill="1"/>
    <xf numFmtId="9" fontId="19" fillId="4" borderId="1" xfId="0" applyNumberFormat="1" applyFont="1" applyFill="1" applyBorder="1" applyAlignment="1">
      <alignment horizontal="center"/>
    </xf>
    <xf numFmtId="3" fontId="7" fillId="4" borderId="0" xfId="0" applyNumberFormat="1" applyFont="1" applyFill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7" fillId="4" borderId="0" xfId="2" applyNumberFormat="1" applyFont="1" applyFill="1" applyBorder="1" applyAlignment="1">
      <alignment horizontal="right"/>
    </xf>
    <xf numFmtId="0" fontId="5" fillId="4" borderId="0" xfId="0" applyFont="1" applyFill="1" applyAlignment="1">
      <alignment horizontal="center"/>
    </xf>
    <xf numFmtId="3" fontId="3" fillId="4" borderId="0" xfId="2" applyNumberFormat="1" applyFont="1" applyFill="1" applyBorder="1" applyAlignment="1">
      <alignment horizontal="right"/>
    </xf>
    <xf numFmtId="164" fontId="7" fillId="4" borderId="0" xfId="5" applyNumberFormat="1" applyFont="1" applyFill="1" applyBorder="1" applyAlignment="1">
      <alignment horizontal="right"/>
    </xf>
    <xf numFmtId="164" fontId="3" fillId="4" borderId="0" xfId="5" applyNumberFormat="1" applyFont="1" applyFill="1" applyBorder="1" applyAlignment="1">
      <alignment horizontal="right"/>
    </xf>
    <xf numFmtId="0" fontId="7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3" fontId="7" fillId="4" borderId="0" xfId="2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8" fillId="4" borderId="0" xfId="4" applyFont="1" applyFill="1" applyBorder="1" applyAlignment="1" applyProtection="1"/>
    <xf numFmtId="0" fontId="1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4" fillId="4" borderId="4" xfId="4" applyFont="1" applyFill="1" applyBorder="1" applyAlignment="1" applyProtection="1"/>
    <xf numFmtId="0" fontId="4" fillId="0" borderId="0" xfId="4" applyFont="1" applyAlignment="1" applyProtection="1"/>
    <xf numFmtId="0" fontId="5" fillId="0" borderId="0" xfId="0" applyFont="1"/>
    <xf numFmtId="9" fontId="1" fillId="4" borderId="0" xfId="0" applyNumberFormat="1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4" xfId="0" applyFont="1" applyFill="1" applyBorder="1"/>
    <xf numFmtId="0" fontId="7" fillId="4" borderId="0" xfId="0" applyFont="1" applyFill="1" applyAlignment="1">
      <alignment horizontal="right"/>
    </xf>
    <xf numFmtId="0" fontId="7" fillId="4" borderId="0" xfId="2" applyNumberFormat="1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4" fontId="3" fillId="4" borderId="0" xfId="2" applyNumberFormat="1" applyFont="1" applyFill="1" applyBorder="1" applyAlignment="1">
      <alignment horizontal="right"/>
    </xf>
    <xf numFmtId="4" fontId="7" fillId="4" borderId="0" xfId="2" applyNumberFormat="1" applyFont="1" applyFill="1" applyBorder="1" applyAlignment="1">
      <alignment horizontal="right"/>
    </xf>
    <xf numFmtId="9" fontId="7" fillId="4" borderId="0" xfId="2" applyNumberFormat="1" applyFont="1" applyFill="1" applyBorder="1" applyAlignment="1">
      <alignment horizontal="right"/>
    </xf>
    <xf numFmtId="0" fontId="1" fillId="4" borderId="0" xfId="0" applyFont="1" applyFill="1" applyAlignment="1">
      <alignment horizontal="right"/>
    </xf>
    <xf numFmtId="0" fontId="1" fillId="4" borderId="4" xfId="0" applyFont="1" applyFill="1" applyBorder="1"/>
    <xf numFmtId="3" fontId="1" fillId="4" borderId="0" xfId="0" applyNumberFormat="1" applyFont="1" applyFill="1" applyAlignment="1">
      <alignment horizontal="right"/>
    </xf>
    <xf numFmtId="17" fontId="0" fillId="4" borderId="0" xfId="0" applyNumberFormat="1" applyFill="1"/>
    <xf numFmtId="0" fontId="4" fillId="6" borderId="0" xfId="4" applyFont="1" applyFill="1" applyAlignment="1" applyProtection="1"/>
    <xf numFmtId="0" fontId="0" fillId="6" borderId="0" xfId="0" applyFill="1"/>
    <xf numFmtId="0" fontId="1" fillId="6" borderId="0" xfId="0" applyFont="1" applyFill="1"/>
    <xf numFmtId="17" fontId="0" fillId="6" borderId="0" xfId="0" applyNumberFormat="1" applyFill="1"/>
    <xf numFmtId="0" fontId="4" fillId="4" borderId="0" xfId="4" applyFont="1" applyFill="1" applyAlignment="1" applyProtection="1"/>
    <xf numFmtId="0" fontId="1" fillId="4" borderId="6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3" fontId="0" fillId="4" borderId="0" xfId="0" applyNumberFormat="1" applyFill="1" applyAlignment="1">
      <alignment horizontal="right"/>
    </xf>
    <xf numFmtId="3" fontId="7" fillId="4" borderId="0" xfId="2" applyNumberFormat="1" applyFont="1" applyFill="1" applyAlignment="1">
      <alignment horizontal="right"/>
    </xf>
    <xf numFmtId="3" fontId="1" fillId="4" borderId="0" xfId="2" applyNumberFormat="1" applyFont="1" applyFill="1" applyBorder="1" applyAlignment="1">
      <alignment horizontal="right"/>
    </xf>
    <xf numFmtId="3" fontId="3" fillId="4" borderId="0" xfId="2" quotePrefix="1" applyNumberFormat="1" applyFont="1" applyFill="1" applyBorder="1" applyAlignment="1">
      <alignment horizontal="right"/>
    </xf>
    <xf numFmtId="3" fontId="7" fillId="4" borderId="0" xfId="2" quotePrefix="1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/>
    </xf>
    <xf numFmtId="3" fontId="7" fillId="3" borderId="0" xfId="2" applyNumberFormat="1" applyFont="1" applyFill="1" applyBorder="1" applyAlignment="1">
      <alignment horizontal="right"/>
    </xf>
    <xf numFmtId="164" fontId="3" fillId="2" borderId="0" xfId="5" applyNumberFormat="1" applyFont="1" applyFill="1" applyBorder="1" applyAlignment="1">
      <alignment horizontal="right"/>
    </xf>
    <xf numFmtId="164" fontId="7" fillId="4" borderId="0" xfId="5" quotePrefix="1" applyNumberFormat="1" applyFont="1" applyFill="1" applyBorder="1" applyAlignment="1">
      <alignment horizontal="right"/>
    </xf>
    <xf numFmtId="164" fontId="3" fillId="4" borderId="0" xfId="5" quotePrefix="1" applyNumberFormat="1" applyFont="1" applyFill="1" applyBorder="1" applyAlignment="1">
      <alignment horizontal="right"/>
    </xf>
    <xf numFmtId="0" fontId="1" fillId="4" borderId="0" xfId="6" applyFill="1"/>
    <xf numFmtId="0" fontId="5" fillId="4" borderId="0" xfId="6" applyFont="1" applyFill="1"/>
    <xf numFmtId="0" fontId="4" fillId="4" borderId="0" xfId="7" applyFill="1" applyAlignment="1" applyProtection="1"/>
    <xf numFmtId="9" fontId="3" fillId="4" borderId="0" xfId="0" applyNumberFormat="1" applyFont="1" applyFill="1" applyAlignment="1">
      <alignment horizontal="right"/>
    </xf>
    <xf numFmtId="164" fontId="1" fillId="4" borderId="0" xfId="5" quotePrefix="1" applyNumberFormat="1" applyFont="1" applyFill="1" applyBorder="1" applyAlignment="1">
      <alignment horizontal="right"/>
    </xf>
    <xf numFmtId="164" fontId="1" fillId="4" borderId="0" xfId="5" applyNumberFormat="1" applyFont="1" applyFill="1" applyBorder="1" applyAlignment="1">
      <alignment horizontal="right"/>
    </xf>
    <xf numFmtId="9" fontId="1" fillId="4" borderId="0" xfId="0" applyNumberFormat="1" applyFont="1" applyFill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9" fillId="4" borderId="5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0" fontId="19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4" fontId="7" fillId="4" borderId="0" xfId="2" applyNumberFormat="1" applyFont="1" applyFill="1" applyBorder="1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0" fillId="4" borderId="0" xfId="0" applyFill="1" applyAlignment="1">
      <alignment horizontal="right"/>
    </xf>
    <xf numFmtId="9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right"/>
    </xf>
    <xf numFmtId="0" fontId="3" fillId="4" borderId="4" xfId="0" applyFont="1" applyFill="1" applyBorder="1"/>
    <xf numFmtId="9" fontId="3" fillId="4" borderId="0" xfId="0" applyNumberFormat="1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9" fontId="5" fillId="4" borderId="0" xfId="0" applyNumberFormat="1" applyFont="1" applyFill="1" applyAlignment="1">
      <alignment horizontal="right"/>
    </xf>
    <xf numFmtId="10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26" fillId="4" borderId="0" xfId="0" applyFont="1" applyFill="1"/>
    <xf numFmtId="9" fontId="7" fillId="4" borderId="0" xfId="0" applyNumberFormat="1" applyFont="1" applyFill="1" applyAlignment="1">
      <alignment horizontal="right"/>
    </xf>
    <xf numFmtId="3" fontId="3" fillId="4" borderId="0" xfId="3" applyNumberFormat="1" applyFont="1" applyFill="1" applyBorder="1" applyAlignment="1">
      <alignment horizontal="right"/>
    </xf>
    <xf numFmtId="3" fontId="3" fillId="5" borderId="0" xfId="3" applyNumberFormat="1" applyFont="1" applyFill="1" applyBorder="1" applyAlignment="1">
      <alignment horizontal="right"/>
    </xf>
    <xf numFmtId="3" fontId="8" fillId="4" borderId="0" xfId="0" applyNumberFormat="1" applyFont="1" applyFill="1" applyAlignment="1">
      <alignment horizontal="right"/>
    </xf>
    <xf numFmtId="3" fontId="8" fillId="5" borderId="0" xfId="0" applyNumberFormat="1" applyFont="1" applyFill="1" applyAlignment="1">
      <alignment horizontal="right"/>
    </xf>
    <xf numFmtId="3" fontId="7" fillId="4" borderId="0" xfId="3" applyNumberFormat="1" applyFont="1" applyFill="1" applyBorder="1" applyAlignment="1">
      <alignment horizontal="right"/>
    </xf>
    <xf numFmtId="4" fontId="19" fillId="4" borderId="0" xfId="0" applyNumberFormat="1" applyFont="1" applyFill="1"/>
    <xf numFmtId="164" fontId="3" fillId="7" borderId="0" xfId="5" applyNumberFormat="1" applyFont="1" applyFill="1" applyBorder="1" applyAlignment="1">
      <alignment horizontal="right"/>
    </xf>
    <xf numFmtId="4" fontId="1" fillId="4" borderId="0" xfId="2" applyNumberFormat="1" applyFont="1" applyFill="1" applyBorder="1" applyAlignment="1">
      <alignment horizontal="left"/>
    </xf>
    <xf numFmtId="0" fontId="2" fillId="0" borderId="0" xfId="4" applyAlignment="1" applyProtection="1"/>
    <xf numFmtId="0" fontId="26" fillId="4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left"/>
    </xf>
    <xf numFmtId="14" fontId="19" fillId="4" borderId="0" xfId="0" applyNumberFormat="1" applyFont="1" applyFill="1" applyAlignment="1">
      <alignment horizontal="center"/>
    </xf>
    <xf numFmtId="0" fontId="1" fillId="4" borderId="4" xfId="4" applyFont="1" applyFill="1" applyBorder="1" applyAlignment="1" applyProtection="1"/>
    <xf numFmtId="0" fontId="1" fillId="4" borderId="5" xfId="0" applyFont="1" applyFill="1" applyBorder="1"/>
    <xf numFmtId="0" fontId="3" fillId="4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6" fillId="4" borderId="0" xfId="0" applyNumberFormat="1" applyFont="1" applyFill="1" applyAlignment="1">
      <alignment horizontal="left"/>
    </xf>
    <xf numFmtId="3" fontId="0" fillId="4" borderId="0" xfId="0" applyNumberFormat="1" applyFill="1"/>
    <xf numFmtId="3" fontId="7" fillId="4" borderId="0" xfId="0" applyNumberFormat="1" applyFont="1" applyFill="1"/>
    <xf numFmtId="3" fontId="1" fillId="7" borderId="0" xfId="0" applyNumberFormat="1" applyFont="1" applyFill="1" applyAlignment="1">
      <alignment horizontal="right"/>
    </xf>
    <xf numFmtId="3" fontId="3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7" fillId="0" borderId="0" xfId="2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2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7" fillId="0" borderId="0" xfId="2" applyNumberFormat="1" applyFont="1" applyFill="1" applyBorder="1" applyAlignment="1"/>
    <xf numFmtId="9" fontId="5" fillId="0" borderId="0" xfId="0" applyNumberFormat="1" applyFont="1"/>
    <xf numFmtId="9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2" applyNumberFormat="1" applyFont="1" applyFill="1" applyBorder="1" applyAlignment="1">
      <alignment horizontal="right"/>
    </xf>
    <xf numFmtId="164" fontId="3" fillId="0" borderId="0" xfId="5" applyNumberFormat="1" applyFont="1" applyFill="1" applyBorder="1" applyAlignment="1">
      <alignment horizontal="right"/>
    </xf>
    <xf numFmtId="164" fontId="7" fillId="0" borderId="0" xfId="5" applyNumberFormat="1" applyFont="1" applyFill="1" applyBorder="1" applyAlignment="1">
      <alignment horizontal="right"/>
    </xf>
    <xf numFmtId="9" fontId="3" fillId="0" borderId="0" xfId="0" applyNumberFormat="1" applyFont="1" applyAlignment="1">
      <alignment horizontal="right"/>
    </xf>
    <xf numFmtId="164" fontId="1" fillId="0" borderId="0" xfId="5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3" fontId="5" fillId="0" borderId="0" xfId="2" applyNumberFormat="1" applyFont="1" applyFill="1" applyBorder="1" applyAlignment="1">
      <alignment horizontal="right"/>
    </xf>
    <xf numFmtId="3" fontId="7" fillId="0" borderId="0" xfId="0" applyNumberFormat="1" applyFont="1"/>
  </cellXfs>
  <cellStyles count="14">
    <cellStyle name="Chart Fonts" xfId="1" xr:uid="{00000000-0005-0000-0000-000000000000}"/>
    <cellStyle name="Comma" xfId="2" builtinId="3"/>
    <cellStyle name="Comma_Sheet4" xfId="3" xr:uid="{00000000-0005-0000-0000-000002000000}"/>
    <cellStyle name="Dezimal [0]_ALTGGV" xfId="8" xr:uid="{00000000-0005-0000-0000-000003000000}"/>
    <cellStyle name="Dezimal_ALTGGV" xfId="9" xr:uid="{00000000-0005-0000-0000-000004000000}"/>
    <cellStyle name="Heading1" xfId="10" xr:uid="{00000000-0005-0000-0000-000005000000}"/>
    <cellStyle name="Hyperlink" xfId="4" builtinId="8"/>
    <cellStyle name="Hyperlink 2" xfId="7" xr:uid="{00000000-0005-0000-0000-000007000000}"/>
    <cellStyle name="Normal" xfId="0" builtinId="0"/>
    <cellStyle name="Normal 2" xfId="6" xr:uid="{00000000-0005-0000-0000-000009000000}"/>
    <cellStyle name="Percent" xfId="5" builtinId="5"/>
    <cellStyle name="Standard_ALTGGV" xfId="11" xr:uid="{00000000-0005-0000-0000-00000B000000}"/>
    <cellStyle name="Währung [0]_ALTGGV" xfId="12" xr:uid="{00000000-0005-0000-0000-00000C000000}"/>
    <cellStyle name="Währung_ALTGGV" xfId="13" xr:uid="{00000000-0005-0000-0000-00000D000000}"/>
  </cellStyles>
  <dxfs count="0"/>
  <tableStyles count="1" defaultTableStyle="TableStyleMedium9" defaultPivotStyle="PivotStyleLight16">
    <tableStyle name="Invisible" pivot="0" table="0" count="0" xr9:uid="{B67EB15E-B32A-42BE-9CFC-6B81393A85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39158</xdr:colOff>
      <xdr:row>0</xdr:row>
      <xdr:rowOff>0</xdr:rowOff>
    </xdr:from>
    <xdr:to>
      <xdr:col>27</xdr:col>
      <xdr:colOff>39158</xdr:colOff>
      <xdr:row>119</xdr:row>
      <xdr:rowOff>9525</xdr:rowOff>
    </xdr:to>
    <xdr:sp macro="" textlink="">
      <xdr:nvSpPr>
        <xdr:cNvPr id="1184" name="Line 58">
          <a:extLst>
            <a:ext uri="{FF2B5EF4-FFF2-40B4-BE49-F238E27FC236}">
              <a16:creationId xmlns:a16="http://schemas.microsoft.com/office/drawing/2014/main" id="{00000000-0008-0000-0300-0000A0040000}"/>
            </a:ext>
          </a:extLst>
        </xdr:cNvPr>
        <xdr:cNvSpPr>
          <a:spLocks noChangeShapeType="1"/>
        </xdr:cNvSpPr>
      </xdr:nvSpPr>
      <xdr:spPr bwMode="auto">
        <a:xfrm>
          <a:off x="15393458" y="0"/>
          <a:ext cx="0" cy="13935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165</xdr:col>
      <xdr:colOff>81169</xdr:colOff>
      <xdr:row>0</xdr:row>
      <xdr:rowOff>24848</xdr:rowOff>
    </xdr:from>
    <xdr:to>
      <xdr:col>165</xdr:col>
      <xdr:colOff>81169</xdr:colOff>
      <xdr:row>210</xdr:row>
      <xdr:rowOff>99390</xdr:rowOff>
    </xdr:to>
    <xdr:sp macro="" textlink="">
      <xdr:nvSpPr>
        <xdr:cNvPr id="1185" name="Line 59">
          <a:extLst>
            <a:ext uri="{FF2B5EF4-FFF2-40B4-BE49-F238E27FC236}">
              <a16:creationId xmlns:a16="http://schemas.microsoft.com/office/drawing/2014/main" id="{00000000-0008-0000-0300-0000A1040000}"/>
            </a:ext>
          </a:extLst>
        </xdr:cNvPr>
        <xdr:cNvSpPr>
          <a:spLocks noChangeShapeType="1"/>
        </xdr:cNvSpPr>
      </xdr:nvSpPr>
      <xdr:spPr bwMode="auto">
        <a:xfrm flipH="1">
          <a:off x="83677539" y="24848"/>
          <a:ext cx="0" cy="335362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109</xdr:col>
      <xdr:colOff>126448</xdr:colOff>
      <xdr:row>0</xdr:row>
      <xdr:rowOff>55217</xdr:rowOff>
    </xdr:from>
    <xdr:to>
      <xdr:col>109</xdr:col>
      <xdr:colOff>127506</xdr:colOff>
      <xdr:row>165</xdr:row>
      <xdr:rowOff>74267</xdr:rowOff>
    </xdr:to>
    <xdr:sp macro="" textlink="">
      <xdr:nvSpPr>
        <xdr:cNvPr id="4" name="Line 5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 flipH="1">
          <a:off x="58424970" y="55217"/>
          <a:ext cx="1058" cy="257613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132</xdr:col>
      <xdr:colOff>38375</xdr:colOff>
      <xdr:row>0</xdr:row>
      <xdr:rowOff>0</xdr:rowOff>
    </xdr:from>
    <xdr:to>
      <xdr:col>132</xdr:col>
      <xdr:colOff>38375</xdr:colOff>
      <xdr:row>103</xdr:row>
      <xdr:rowOff>115094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03C9A9-7FE1-EC87-3B82-B7183B1EF967}"/>
            </a:ext>
          </a:extLst>
        </xdr:cNvPr>
        <xdr:cNvCxnSpPr/>
      </xdr:nvCxnSpPr>
      <xdr:spPr bwMode="auto">
        <a:xfrm>
          <a:off x="69741531" y="0"/>
          <a:ext cx="0" cy="1579959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TROPHIN/Work/Alexandra/WIP/idph-exhib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TROPHIN/Work/Desktop%20Model%20Folder/2000%20LRP-NEUPOG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TS0016/RSCH1/Health%20Services/hospitals/uhs/MODELS/U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ETROPHIN/Work/research/Porter/GELX/MODELS/CURRENT/GELX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Sammy/WINDOWS/DESKTOP/New%20IL-1ra%20Revenue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 mode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xwor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Builder"/>
      <sheetName val="LRP Scenario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B2" sqref="B2"/>
    </sheetView>
  </sheetViews>
  <sheetFormatPr defaultColWidth="8.81640625" defaultRowHeight="12.5" x14ac:dyDescent="0.25"/>
  <cols>
    <col min="1" max="1" width="5" bestFit="1" customWidth="1"/>
    <col min="2" max="2" width="19.1796875" bestFit="1" customWidth="1"/>
  </cols>
  <sheetData>
    <row r="1" spans="1:3" x14ac:dyDescent="0.25">
      <c r="A1" s="39" t="s">
        <v>55</v>
      </c>
    </row>
    <row r="2" spans="1:3" x14ac:dyDescent="0.25">
      <c r="B2" s="1" t="s">
        <v>307</v>
      </c>
      <c r="C2" s="2" t="s">
        <v>453</v>
      </c>
    </row>
    <row r="3" spans="1:3" x14ac:dyDescent="0.25">
      <c r="B3" s="1" t="s">
        <v>309</v>
      </c>
      <c r="C3" s="2" t="s">
        <v>454</v>
      </c>
    </row>
    <row r="4" spans="1:3" x14ac:dyDescent="0.25">
      <c r="B4" s="1" t="s">
        <v>332</v>
      </c>
      <c r="C4" s="2" t="s">
        <v>456</v>
      </c>
    </row>
    <row r="5" spans="1:3" x14ac:dyDescent="0.25">
      <c r="B5" s="2" t="s">
        <v>444</v>
      </c>
      <c r="C5" s="2" t="s">
        <v>455</v>
      </c>
    </row>
    <row r="6" spans="1:3" x14ac:dyDescent="0.25">
      <c r="B6" s="2" t="s">
        <v>447</v>
      </c>
      <c r="C6" s="2" t="s">
        <v>506</v>
      </c>
    </row>
    <row r="7" spans="1:3" x14ac:dyDescent="0.25">
      <c r="B7" s="2" t="s">
        <v>449</v>
      </c>
      <c r="C7" s="2" t="s">
        <v>450</v>
      </c>
    </row>
    <row r="8" spans="1:3" x14ac:dyDescent="0.25">
      <c r="B8" s="2" t="s">
        <v>411</v>
      </c>
      <c r="C8" s="2" t="s">
        <v>412</v>
      </c>
    </row>
    <row r="9" spans="1:3" x14ac:dyDescent="0.25">
      <c r="B9" s="2" t="s">
        <v>445</v>
      </c>
      <c r="C9" s="2" t="s">
        <v>446</v>
      </c>
    </row>
    <row r="10" spans="1:3" x14ac:dyDescent="0.25">
      <c r="B10" s="2" t="s">
        <v>417</v>
      </c>
      <c r="C10" s="2" t="s">
        <v>420</v>
      </c>
    </row>
    <row r="11" spans="1:3" x14ac:dyDescent="0.25">
      <c r="B11" s="2" t="s">
        <v>418</v>
      </c>
      <c r="C11" s="2" t="s">
        <v>419</v>
      </c>
    </row>
    <row r="12" spans="1:3" x14ac:dyDescent="0.25">
      <c r="B12" s="2" t="s">
        <v>421</v>
      </c>
      <c r="C12" s="2" t="s">
        <v>422</v>
      </c>
    </row>
    <row r="13" spans="1:3" x14ac:dyDescent="0.25">
      <c r="B13" s="2" t="s">
        <v>451</v>
      </c>
      <c r="C13" s="2" t="s">
        <v>452</v>
      </c>
    </row>
    <row r="19" spans="2:3" x14ac:dyDescent="0.25">
      <c r="B19" s="2" t="s">
        <v>406</v>
      </c>
    </row>
    <row r="20" spans="2:3" x14ac:dyDescent="0.25">
      <c r="B20" s="2" t="s">
        <v>463</v>
      </c>
    </row>
    <row r="22" spans="2:3" ht="13" x14ac:dyDescent="0.3">
      <c r="B22" s="40" t="s">
        <v>823</v>
      </c>
    </row>
    <row r="23" spans="2:3" x14ac:dyDescent="0.25">
      <c r="B23" s="1" t="s">
        <v>308</v>
      </c>
      <c r="C23" s="2" t="s">
        <v>824</v>
      </c>
    </row>
    <row r="24" spans="2:3" x14ac:dyDescent="0.25">
      <c r="B24" s="1" t="s">
        <v>310</v>
      </c>
      <c r="C24" s="2" t="s">
        <v>825</v>
      </c>
    </row>
    <row r="25" spans="2:3" x14ac:dyDescent="0.25">
      <c r="B25" s="2" t="s">
        <v>448</v>
      </c>
      <c r="C25" s="2" t="s">
        <v>826</v>
      </c>
    </row>
    <row r="26" spans="2:3" x14ac:dyDescent="0.25">
      <c r="B26" s="2" t="s">
        <v>416</v>
      </c>
      <c r="C26" s="2" t="s">
        <v>827</v>
      </c>
    </row>
  </sheetData>
  <hyperlinks>
    <hyperlink ref="A1" location="Main!A1" display="Main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R17" sqref="R17"/>
    </sheetView>
  </sheetViews>
  <sheetFormatPr defaultColWidth="8.81640625" defaultRowHeight="12.5" x14ac:dyDescent="0.25"/>
  <cols>
    <col min="1" max="1" width="5" bestFit="1" customWidth="1"/>
    <col min="2" max="2" width="19.81640625" bestFit="1" customWidth="1"/>
    <col min="9" max="9" width="12.453125" bestFit="1" customWidth="1"/>
    <col min="15" max="15" width="10.1796875" bestFit="1" customWidth="1"/>
    <col min="17" max="17" width="10.1796875" bestFit="1" customWidth="1"/>
  </cols>
  <sheetData>
    <row r="1" spans="1:19" x14ac:dyDescent="0.25">
      <c r="A1" s="113" t="s">
        <v>55</v>
      </c>
    </row>
    <row r="2" spans="1:19" ht="13" x14ac:dyDescent="0.3">
      <c r="B2" s="40" t="s">
        <v>611</v>
      </c>
    </row>
    <row r="3" spans="1:19" x14ac:dyDescent="0.25">
      <c r="E3" s="2" t="s">
        <v>635</v>
      </c>
      <c r="F3" s="2" t="s">
        <v>636</v>
      </c>
    </row>
    <row r="4" spans="1:19" x14ac:dyDescent="0.25">
      <c r="B4" s="2" t="s">
        <v>43</v>
      </c>
      <c r="C4" s="2" t="s">
        <v>612</v>
      </c>
      <c r="D4" s="2" t="s">
        <v>613</v>
      </c>
      <c r="E4" s="2" t="s">
        <v>614</v>
      </c>
      <c r="F4" s="2" t="s">
        <v>614</v>
      </c>
      <c r="G4" s="2" t="s">
        <v>615</v>
      </c>
      <c r="H4" s="2" t="s">
        <v>616</v>
      </c>
      <c r="I4" s="2" t="s">
        <v>617</v>
      </c>
      <c r="J4" t="s">
        <v>106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s="2" t="s">
        <v>631</v>
      </c>
    </row>
    <row r="5" spans="1:19" x14ac:dyDescent="0.25">
      <c r="C5">
        <v>2010</v>
      </c>
    </row>
    <row r="6" spans="1:19" x14ac:dyDescent="0.25">
      <c r="C6">
        <v>2011</v>
      </c>
    </row>
    <row r="7" spans="1:19" x14ac:dyDescent="0.25">
      <c r="C7">
        <v>2012</v>
      </c>
    </row>
    <row r="8" spans="1:19" x14ac:dyDescent="0.25">
      <c r="C8">
        <v>2013</v>
      </c>
    </row>
    <row r="9" spans="1:19" x14ac:dyDescent="0.25">
      <c r="C9">
        <v>2014</v>
      </c>
    </row>
    <row r="10" spans="1:19" x14ac:dyDescent="0.25">
      <c r="B10" s="2" t="s">
        <v>659</v>
      </c>
      <c r="C10" s="102">
        <v>42200</v>
      </c>
      <c r="D10" s="101">
        <v>38551</v>
      </c>
      <c r="E10" s="2" t="s">
        <v>649</v>
      </c>
      <c r="F10" s="2" t="s">
        <v>657</v>
      </c>
      <c r="G10" s="89">
        <v>993.32</v>
      </c>
      <c r="H10" s="100">
        <v>4.7500000000000001E-2</v>
      </c>
      <c r="I10" s="2" t="s">
        <v>618</v>
      </c>
      <c r="J10">
        <v>107.1</v>
      </c>
      <c r="K10" s="100">
        <v>3.2599999999999997E-2</v>
      </c>
      <c r="L10" s="2" t="s">
        <v>634</v>
      </c>
      <c r="M10" s="2" t="s">
        <v>627</v>
      </c>
      <c r="N10" s="100">
        <v>7.3590000000000003E-2</v>
      </c>
      <c r="O10" s="101">
        <v>39736</v>
      </c>
      <c r="P10" s="100">
        <v>2.8389999999999999E-2</v>
      </c>
      <c r="Q10" s="101">
        <v>40133</v>
      </c>
      <c r="R10" s="100">
        <v>2.4500000000000001E-2</v>
      </c>
      <c r="S10" s="100">
        <f t="shared" ref="S10:S19" si="0">K10-R10</f>
        <v>8.0999999999999961E-3</v>
      </c>
    </row>
    <row r="11" spans="1:19" x14ac:dyDescent="0.25">
      <c r="B11" s="2" t="s">
        <v>658</v>
      </c>
      <c r="C11" s="101">
        <v>42200</v>
      </c>
      <c r="D11" s="101">
        <v>38546</v>
      </c>
      <c r="E11" s="2" t="s">
        <v>649</v>
      </c>
      <c r="F11" s="2" t="s">
        <v>657</v>
      </c>
      <c r="G11" s="89">
        <v>6.68</v>
      </c>
      <c r="H11" s="100">
        <v>4.7500000000000001E-2</v>
      </c>
      <c r="I11" s="2" t="s">
        <v>618</v>
      </c>
      <c r="J11">
        <v>108</v>
      </c>
      <c r="K11" s="100">
        <v>3.0700000000000002E-2</v>
      </c>
      <c r="L11" s="2" t="s">
        <v>634</v>
      </c>
      <c r="M11" s="2" t="s">
        <v>627</v>
      </c>
      <c r="N11" s="100">
        <v>7.5139999999999998E-2</v>
      </c>
      <c r="O11" s="101">
        <v>39745</v>
      </c>
      <c r="P11" s="100">
        <v>2.9579999999999999E-2</v>
      </c>
      <c r="Q11" s="101">
        <v>40144</v>
      </c>
      <c r="R11" s="100">
        <v>2.4500000000000001E-2</v>
      </c>
      <c r="S11" s="100">
        <f t="shared" si="0"/>
        <v>6.2000000000000006E-3</v>
      </c>
    </row>
    <row r="12" spans="1:19" x14ac:dyDescent="0.25">
      <c r="B12" s="2" t="s">
        <v>656</v>
      </c>
      <c r="C12" s="101">
        <v>42067</v>
      </c>
      <c r="D12" s="101">
        <v>39869</v>
      </c>
      <c r="E12" s="2" t="s">
        <v>655</v>
      </c>
      <c r="F12" s="2" t="s">
        <v>657</v>
      </c>
      <c r="G12" s="89">
        <v>1250</v>
      </c>
      <c r="H12" s="100">
        <v>5.5E-2</v>
      </c>
      <c r="I12" s="2" t="s">
        <v>638</v>
      </c>
      <c r="J12">
        <v>107.8914</v>
      </c>
      <c r="K12" s="100">
        <v>3.6400000000000002E-2</v>
      </c>
      <c r="L12" s="2" t="s">
        <v>628</v>
      </c>
      <c r="M12" s="2" t="s">
        <v>627</v>
      </c>
      <c r="N12" s="100">
        <v>5.6730000000000003E-2</v>
      </c>
      <c r="O12" s="101">
        <v>39870</v>
      </c>
      <c r="P12" s="100">
        <v>3.6339999999999997E-2</v>
      </c>
      <c r="Q12" s="101">
        <v>40270</v>
      </c>
      <c r="R12" s="100">
        <v>2.4500000000000001E-2</v>
      </c>
      <c r="S12" s="100">
        <f t="shared" si="0"/>
        <v>1.1900000000000001E-2</v>
      </c>
    </row>
    <row r="13" spans="1:19" x14ac:dyDescent="0.25">
      <c r="B13" s="2" t="s">
        <v>654</v>
      </c>
      <c r="C13" s="101">
        <v>42433</v>
      </c>
      <c r="D13" s="101">
        <v>39869</v>
      </c>
      <c r="E13" s="2" t="s">
        <v>653</v>
      </c>
      <c r="F13" s="2" t="s">
        <v>655</v>
      </c>
      <c r="G13" s="89">
        <v>2750</v>
      </c>
      <c r="H13" s="100">
        <v>5.6250000000000001E-2</v>
      </c>
      <c r="I13" s="2" t="s">
        <v>641</v>
      </c>
      <c r="J13">
        <v>113.5855</v>
      </c>
      <c r="K13" s="100">
        <v>3.0300000000000001E-2</v>
      </c>
      <c r="L13" s="2" t="s">
        <v>628</v>
      </c>
      <c r="M13" s="2" t="s">
        <v>627</v>
      </c>
      <c r="N13" s="100">
        <v>5.5359999999999999E-2</v>
      </c>
      <c r="O13" s="101">
        <v>39870</v>
      </c>
      <c r="P13" s="100">
        <v>3.024E-2</v>
      </c>
      <c r="Q13" s="102">
        <v>40284</v>
      </c>
      <c r="R13" s="100">
        <f>AVERAGE(2.48%,3.19%)</f>
        <v>2.835E-2</v>
      </c>
      <c r="S13" s="100">
        <f t="shared" si="0"/>
        <v>1.9500000000000003E-3</v>
      </c>
    </row>
    <row r="14" spans="1:19" x14ac:dyDescent="0.25">
      <c r="B14" s="2" t="s">
        <v>650</v>
      </c>
      <c r="C14" s="101">
        <v>42817</v>
      </c>
      <c r="D14" s="101">
        <v>39876</v>
      </c>
      <c r="E14" s="2" t="s">
        <v>652</v>
      </c>
      <c r="F14" s="2" t="s">
        <v>653</v>
      </c>
      <c r="G14" s="89">
        <v>1500</v>
      </c>
      <c r="H14" s="100">
        <v>4.4999999999999998E-2</v>
      </c>
      <c r="I14" s="2" t="s">
        <v>651</v>
      </c>
      <c r="J14">
        <v>115.0825</v>
      </c>
      <c r="K14" s="100">
        <v>2.1499999999999998E-2</v>
      </c>
      <c r="L14" s="2" t="s">
        <v>628</v>
      </c>
      <c r="M14" s="2" t="s">
        <v>627</v>
      </c>
      <c r="N14" s="100">
        <v>4.4569999999999999E-2</v>
      </c>
      <c r="O14" s="101">
        <v>39876</v>
      </c>
      <c r="P14" s="100">
        <v>2.1149999999999999E-2</v>
      </c>
      <c r="Q14" s="101">
        <v>40274</v>
      </c>
      <c r="R14" s="100">
        <v>3.1899999999999998E-2</v>
      </c>
      <c r="S14" s="100">
        <f t="shared" si="0"/>
        <v>-1.04E-2</v>
      </c>
    </row>
    <row r="15" spans="1:19" x14ac:dyDescent="0.25">
      <c r="B15" s="2" t="s">
        <v>647</v>
      </c>
      <c r="C15" s="101">
        <v>43525</v>
      </c>
      <c r="D15" s="101">
        <v>39862</v>
      </c>
      <c r="E15" s="2" t="s">
        <v>649</v>
      </c>
      <c r="F15" s="2" t="s">
        <v>648</v>
      </c>
      <c r="G15" s="89">
        <v>4500</v>
      </c>
      <c r="H15" s="100">
        <v>0.06</v>
      </c>
      <c r="I15" s="2" t="s">
        <v>618</v>
      </c>
      <c r="J15">
        <v>110.85899999999999</v>
      </c>
      <c r="K15" s="100">
        <v>4.4499999999999998E-2</v>
      </c>
      <c r="L15" s="2" t="s">
        <v>628</v>
      </c>
      <c r="M15" s="2" t="s">
        <v>627</v>
      </c>
      <c r="N15" s="100">
        <v>5.9859999999999997E-2</v>
      </c>
      <c r="O15" s="101">
        <v>39889</v>
      </c>
      <c r="P15" s="100">
        <v>4.2569999999999997E-2</v>
      </c>
      <c r="Q15" s="101">
        <v>40147</v>
      </c>
      <c r="R15" s="100">
        <v>3.7499999999999999E-2</v>
      </c>
      <c r="S15" s="100">
        <f t="shared" si="0"/>
        <v>6.9999999999999993E-3</v>
      </c>
    </row>
    <row r="16" spans="1:19" x14ac:dyDescent="0.25">
      <c r="B16" s="2" t="s">
        <v>640</v>
      </c>
      <c r="C16" s="101">
        <v>44259</v>
      </c>
      <c r="D16" s="101">
        <v>39869</v>
      </c>
      <c r="E16" s="2" t="s">
        <v>642</v>
      </c>
      <c r="F16" s="2" t="s">
        <v>643</v>
      </c>
      <c r="G16" s="89">
        <v>1750</v>
      </c>
      <c r="H16" s="100">
        <v>6.5000000000000002E-2</v>
      </c>
      <c r="I16" s="2" t="s">
        <v>641</v>
      </c>
      <c r="J16">
        <v>122.0099</v>
      </c>
      <c r="K16" s="100">
        <v>3.95E-2</v>
      </c>
      <c r="L16" s="2" t="s">
        <v>628</v>
      </c>
      <c r="M16" s="2" t="s">
        <v>627</v>
      </c>
      <c r="N16" s="100">
        <v>6.4390000000000003E-2</v>
      </c>
      <c r="O16" s="101">
        <v>39870</v>
      </c>
      <c r="P16" s="100">
        <v>3.9410000000000001E-2</v>
      </c>
      <c r="Q16" s="101">
        <v>40260</v>
      </c>
      <c r="R16" s="100">
        <v>3.7499999999999999E-2</v>
      </c>
      <c r="S16" s="100">
        <f t="shared" si="0"/>
        <v>2.0000000000000018E-3</v>
      </c>
    </row>
    <row r="17" spans="2:19" x14ac:dyDescent="0.25">
      <c r="B17" s="2" t="s">
        <v>637</v>
      </c>
      <c r="C17" s="101">
        <v>45167</v>
      </c>
      <c r="D17" s="101">
        <v>37854</v>
      </c>
      <c r="E17" s="2" t="s">
        <v>639</v>
      </c>
      <c r="F17" s="2" t="s">
        <v>644</v>
      </c>
      <c r="G17" s="89">
        <v>250</v>
      </c>
      <c r="H17" s="100">
        <v>5.3749999999999999E-2</v>
      </c>
      <c r="I17" s="2" t="s">
        <v>638</v>
      </c>
      <c r="J17">
        <v>102.3557</v>
      </c>
      <c r="K17" s="100">
        <v>3.6999999999999998E-2</v>
      </c>
      <c r="L17" s="2" t="s">
        <v>628</v>
      </c>
      <c r="M17" s="2" t="s">
        <v>627</v>
      </c>
      <c r="N17" s="100">
        <v>7.0470000000000005E-2</v>
      </c>
      <c r="O17" s="101">
        <v>39756</v>
      </c>
      <c r="P17" s="100">
        <v>4.546E-2</v>
      </c>
      <c r="Q17" s="101">
        <v>38735</v>
      </c>
      <c r="R17" s="100">
        <v>2.1000000000000001E-2</v>
      </c>
      <c r="S17" s="100">
        <f t="shared" si="0"/>
        <v>1.5999999999999997E-2</v>
      </c>
    </row>
    <row r="18" spans="2:19" x14ac:dyDescent="0.25">
      <c r="B18" s="2" t="s">
        <v>632</v>
      </c>
      <c r="C18" s="101">
        <v>49505</v>
      </c>
      <c r="D18" s="101">
        <v>38551</v>
      </c>
      <c r="E18" s="2" t="s">
        <v>629</v>
      </c>
      <c r="F18" s="2" t="s">
        <v>645</v>
      </c>
      <c r="G18" s="89">
        <v>500</v>
      </c>
      <c r="H18" s="100">
        <v>5.2499999999999998E-2</v>
      </c>
      <c r="I18" s="2" t="s">
        <v>633</v>
      </c>
      <c r="J18">
        <v>98.950999999999993</v>
      </c>
      <c r="K18" s="100">
        <v>4.3900000000000002E-2</v>
      </c>
      <c r="L18" s="2" t="s">
        <v>634</v>
      </c>
      <c r="M18" s="2" t="s">
        <v>627</v>
      </c>
      <c r="N18" s="100">
        <v>7.2969999999999993E-2</v>
      </c>
      <c r="O18" s="101">
        <v>39735</v>
      </c>
      <c r="P18" s="100">
        <v>5.135E-2</v>
      </c>
      <c r="Q18" s="101">
        <v>40147</v>
      </c>
      <c r="R18" s="100">
        <v>0.03</v>
      </c>
      <c r="S18" s="100">
        <f t="shared" si="0"/>
        <v>1.3900000000000003E-2</v>
      </c>
    </row>
    <row r="19" spans="2:19" x14ac:dyDescent="0.25">
      <c r="B19" s="2" t="s">
        <v>630</v>
      </c>
      <c r="C19" s="101">
        <v>50830</v>
      </c>
      <c r="D19" s="101">
        <v>39862</v>
      </c>
      <c r="E19" s="2" t="s">
        <v>629</v>
      </c>
      <c r="F19" s="2" t="s">
        <v>646</v>
      </c>
      <c r="G19" s="89">
        <v>2500</v>
      </c>
      <c r="H19" s="100">
        <v>7.0000000000000007E-2</v>
      </c>
      <c r="I19" s="2" t="s">
        <v>618</v>
      </c>
      <c r="J19">
        <v>125.7942</v>
      </c>
      <c r="K19" s="100">
        <v>4.5999999999999999E-2</v>
      </c>
      <c r="L19" s="2" t="s">
        <v>628</v>
      </c>
      <c r="M19" s="2" t="s">
        <v>627</v>
      </c>
      <c r="N19" s="100">
        <v>6.8470000000000003E-2</v>
      </c>
      <c r="O19" s="101">
        <v>39863</v>
      </c>
      <c r="P19" s="100">
        <v>4.5159999999999999E-2</v>
      </c>
      <c r="Q19" s="101">
        <v>40416</v>
      </c>
      <c r="R19" s="100">
        <v>3.4799999999999998E-2</v>
      </c>
      <c r="S19" s="100">
        <f t="shared" si="0"/>
        <v>1.1200000000000002E-2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0731-3B1A-4265-8D07-A9072AED03E3}">
  <dimension ref="A1:H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  <col min="3" max="3" width="11.453125" customWidth="1"/>
    <col min="6" max="6" width="10.1796875" customWidth="1"/>
    <col min="7" max="7" width="13.1796875" customWidth="1"/>
  </cols>
  <sheetData>
    <row r="1" spans="1:8" x14ac:dyDescent="0.25">
      <c r="A1" s="39" t="s">
        <v>55</v>
      </c>
    </row>
    <row r="2" spans="1:8" x14ac:dyDescent="0.25">
      <c r="B2" s="2" t="s">
        <v>813</v>
      </c>
      <c r="C2" s="2" t="s">
        <v>814</v>
      </c>
      <c r="D2" s="2" t="s">
        <v>44</v>
      </c>
      <c r="E2" s="2" t="s">
        <v>87</v>
      </c>
      <c r="F2" s="2" t="s">
        <v>65</v>
      </c>
      <c r="G2" s="2" t="s">
        <v>817</v>
      </c>
    </row>
    <row r="3" spans="1:8" x14ac:dyDescent="0.25">
      <c r="B3" s="2" t="s">
        <v>33</v>
      </c>
      <c r="C3" s="2" t="s">
        <v>818</v>
      </c>
      <c r="D3" s="2" t="s">
        <v>86</v>
      </c>
      <c r="E3">
        <v>1999</v>
      </c>
      <c r="F3" s="2" t="s">
        <v>819</v>
      </c>
      <c r="G3" s="2" t="s">
        <v>399</v>
      </c>
    </row>
    <row r="4" spans="1:8" x14ac:dyDescent="0.25">
      <c r="B4" s="2" t="s">
        <v>113</v>
      </c>
      <c r="C4" s="2" t="s">
        <v>821</v>
      </c>
      <c r="D4" s="2" t="s">
        <v>206</v>
      </c>
      <c r="E4" s="101">
        <v>36959</v>
      </c>
    </row>
    <row r="6" spans="1:8" x14ac:dyDescent="0.25">
      <c r="B6" s="3" t="s">
        <v>704</v>
      </c>
    </row>
    <row r="7" spans="1:8" x14ac:dyDescent="0.25">
      <c r="B7" s="3" t="s">
        <v>731</v>
      </c>
    </row>
    <row r="8" spans="1:8" x14ac:dyDescent="0.25">
      <c r="B8" s="3" t="s">
        <v>750</v>
      </c>
    </row>
    <row r="9" spans="1:8" x14ac:dyDescent="0.25">
      <c r="B9" s="4"/>
    </row>
    <row r="10" spans="1:8" x14ac:dyDescent="0.25">
      <c r="B10" s="4"/>
    </row>
    <row r="11" spans="1:8" x14ac:dyDescent="0.25">
      <c r="B11" s="4"/>
    </row>
    <row r="12" spans="1:8" x14ac:dyDescent="0.25">
      <c r="B12" s="3" t="s">
        <v>745</v>
      </c>
    </row>
    <row r="13" spans="1:8" x14ac:dyDescent="0.25">
      <c r="B13" s="3" t="s">
        <v>744</v>
      </c>
    </row>
    <row r="14" spans="1:8" x14ac:dyDescent="0.25">
      <c r="B14" s="53" t="s">
        <v>404</v>
      </c>
      <c r="C14" s="11" t="s">
        <v>67</v>
      </c>
      <c r="D14" s="11" t="s">
        <v>80</v>
      </c>
      <c r="E14" s="14">
        <v>1</v>
      </c>
      <c r="F14" s="11" t="s">
        <v>68</v>
      </c>
      <c r="G14" s="86"/>
      <c r="H14" s="42" t="s">
        <v>253</v>
      </c>
    </row>
    <row r="15" spans="1:8" x14ac:dyDescent="0.25">
      <c r="B15" s="53" t="s">
        <v>348</v>
      </c>
      <c r="C15" s="10" t="s">
        <v>280</v>
      </c>
      <c r="D15" s="11" t="s">
        <v>80</v>
      </c>
      <c r="E15" s="14">
        <v>1</v>
      </c>
      <c r="F15" s="11" t="s">
        <v>281</v>
      </c>
      <c r="G15" s="86"/>
      <c r="H15" s="35" t="s">
        <v>253</v>
      </c>
    </row>
    <row r="16" spans="1:8" x14ac:dyDescent="0.25">
      <c r="B16" s="53" t="s">
        <v>364</v>
      </c>
      <c r="C16" s="10" t="s">
        <v>586</v>
      </c>
      <c r="D16" s="10" t="s">
        <v>80</v>
      </c>
      <c r="E16" s="14">
        <v>1</v>
      </c>
      <c r="F16" s="10" t="s">
        <v>363</v>
      </c>
      <c r="G16" s="86"/>
      <c r="H16" s="35" t="s">
        <v>253</v>
      </c>
    </row>
    <row r="17" spans="2:8" x14ac:dyDescent="0.25">
      <c r="B17" s="53" t="s">
        <v>392</v>
      </c>
      <c r="C17" s="10" t="s">
        <v>393</v>
      </c>
      <c r="D17" s="10" t="s">
        <v>80</v>
      </c>
      <c r="E17" s="14">
        <v>1</v>
      </c>
      <c r="F17" s="10" t="s">
        <v>394</v>
      </c>
      <c r="G17" s="86"/>
      <c r="H17" s="35" t="s">
        <v>395</v>
      </c>
    </row>
    <row r="18" spans="2:8" x14ac:dyDescent="0.25">
      <c r="B18" s="8" t="s">
        <v>109</v>
      </c>
      <c r="C18" s="11" t="s">
        <v>79</v>
      </c>
      <c r="D18" s="10" t="s">
        <v>80</v>
      </c>
      <c r="E18" s="14" t="s">
        <v>270</v>
      </c>
      <c r="F18" s="11" t="s">
        <v>254</v>
      </c>
      <c r="G18" s="87" t="s">
        <v>610</v>
      </c>
      <c r="H18" s="35" t="s">
        <v>253</v>
      </c>
    </row>
    <row r="19" spans="2:8" x14ac:dyDescent="0.25">
      <c r="B19" s="8" t="s">
        <v>111</v>
      </c>
      <c r="C19" s="11" t="s">
        <v>79</v>
      </c>
      <c r="D19" s="10" t="s">
        <v>110</v>
      </c>
      <c r="E19" s="14" t="s">
        <v>112</v>
      </c>
      <c r="F19" s="11" t="s">
        <v>269</v>
      </c>
      <c r="G19" s="87" t="s">
        <v>530</v>
      </c>
      <c r="H19" s="35" t="s">
        <v>253</v>
      </c>
    </row>
    <row r="20" spans="2:8" x14ac:dyDescent="0.25">
      <c r="B20" s="8" t="s">
        <v>271</v>
      </c>
      <c r="C20" s="11" t="s">
        <v>67</v>
      </c>
      <c r="D20" s="11" t="s">
        <v>110</v>
      </c>
      <c r="E20" s="14">
        <v>1</v>
      </c>
      <c r="F20" s="10" t="s">
        <v>468</v>
      </c>
      <c r="G20" s="86"/>
      <c r="H20" s="35" t="s">
        <v>253</v>
      </c>
    </row>
    <row r="21" spans="2:8" x14ac:dyDescent="0.25">
      <c r="B21" s="8" t="s">
        <v>272</v>
      </c>
      <c r="C21" s="11" t="s">
        <v>67</v>
      </c>
      <c r="D21" s="11" t="s">
        <v>110</v>
      </c>
      <c r="E21" s="14">
        <v>1</v>
      </c>
      <c r="F21" s="10" t="s">
        <v>468</v>
      </c>
      <c r="G21" s="86"/>
      <c r="H21" s="35" t="s">
        <v>253</v>
      </c>
    </row>
    <row r="22" spans="2:8" x14ac:dyDescent="0.25">
      <c r="B22" s="53" t="s">
        <v>355</v>
      </c>
      <c r="C22" s="10" t="s">
        <v>67</v>
      </c>
      <c r="D22" s="10" t="s">
        <v>110</v>
      </c>
      <c r="E22" s="14">
        <v>1</v>
      </c>
      <c r="F22" s="10" t="s">
        <v>469</v>
      </c>
      <c r="G22" s="86"/>
      <c r="H22" s="35" t="s">
        <v>253</v>
      </c>
    </row>
    <row r="23" spans="2:8" x14ac:dyDescent="0.25">
      <c r="B23" s="53" t="s">
        <v>357</v>
      </c>
      <c r="C23" s="10" t="s">
        <v>358</v>
      </c>
      <c r="D23" s="10" t="s">
        <v>110</v>
      </c>
      <c r="E23" s="14">
        <v>1</v>
      </c>
      <c r="F23" s="10"/>
      <c r="G23" s="86"/>
      <c r="H23" s="35" t="s">
        <v>253</v>
      </c>
    </row>
    <row r="24" spans="2:8" x14ac:dyDescent="0.25">
      <c r="B24" s="53" t="s">
        <v>609</v>
      </c>
      <c r="C24" s="10" t="s">
        <v>67</v>
      </c>
      <c r="D24" s="10" t="s">
        <v>80</v>
      </c>
      <c r="E24" s="14">
        <v>1</v>
      </c>
      <c r="F24" s="10"/>
      <c r="G24" s="86"/>
      <c r="H24" s="35" t="s">
        <v>253</v>
      </c>
    </row>
    <row r="25" spans="2:8" x14ac:dyDescent="0.25">
      <c r="B25" s="43" t="s">
        <v>322</v>
      </c>
      <c r="C25" s="33" t="s">
        <v>323</v>
      </c>
      <c r="D25" s="33" t="s">
        <v>80</v>
      </c>
      <c r="E25" s="14">
        <v>1</v>
      </c>
      <c r="F25" s="10" t="s">
        <v>585</v>
      </c>
      <c r="H25" s="35" t="s">
        <v>299</v>
      </c>
    </row>
    <row r="26" spans="2:8" x14ac:dyDescent="0.25">
      <c r="B26" s="53" t="s">
        <v>879</v>
      </c>
      <c r="C26" s="10" t="s">
        <v>587</v>
      </c>
      <c r="D26" s="10" t="s">
        <v>80</v>
      </c>
      <c r="E26" s="41">
        <v>1</v>
      </c>
      <c r="F26" s="10" t="s">
        <v>588</v>
      </c>
      <c r="G26" s="10" t="s">
        <v>878</v>
      </c>
      <c r="H26" s="35" t="s">
        <v>253</v>
      </c>
    </row>
    <row r="27" spans="2:8" x14ac:dyDescent="0.25">
      <c r="B27" s="53" t="s">
        <v>880</v>
      </c>
      <c r="C27" s="11" t="s">
        <v>67</v>
      </c>
      <c r="D27" s="33" t="s">
        <v>80</v>
      </c>
      <c r="E27" s="37" t="s">
        <v>19</v>
      </c>
      <c r="F27" s="10" t="s">
        <v>356</v>
      </c>
      <c r="G27" s="35" t="s">
        <v>253</v>
      </c>
    </row>
    <row r="28" spans="2:8" x14ac:dyDescent="0.25">
      <c r="B28" s="53" t="s">
        <v>387</v>
      </c>
      <c r="C28" s="10" t="s">
        <v>115</v>
      </c>
      <c r="D28" s="10" t="s">
        <v>80</v>
      </c>
      <c r="E28" s="41">
        <v>1</v>
      </c>
      <c r="F28" s="10" t="s">
        <v>342</v>
      </c>
      <c r="G28" s="35" t="s">
        <v>253</v>
      </c>
    </row>
    <row r="29" spans="2:8" x14ac:dyDescent="0.25">
      <c r="B29" s="53" t="s">
        <v>346</v>
      </c>
      <c r="C29" s="10" t="s">
        <v>283</v>
      </c>
      <c r="D29" s="10" t="s">
        <v>80</v>
      </c>
      <c r="E29" s="41" t="s">
        <v>881</v>
      </c>
      <c r="F29" s="10" t="s">
        <v>347</v>
      </c>
      <c r="G29" s="36" t="s">
        <v>161</v>
      </c>
    </row>
    <row r="30" spans="2:8" x14ac:dyDescent="0.25">
      <c r="B30" s="53" t="s">
        <v>712</v>
      </c>
      <c r="C30" s="10" t="s">
        <v>115</v>
      </c>
      <c r="D30" s="10" t="s">
        <v>114</v>
      </c>
      <c r="E30" s="37">
        <v>1</v>
      </c>
      <c r="F30" s="10" t="s">
        <v>589</v>
      </c>
      <c r="G30" s="35" t="s">
        <v>161</v>
      </c>
    </row>
    <row r="31" spans="2:8" x14ac:dyDescent="0.25">
      <c r="B31" s="53" t="s">
        <v>381</v>
      </c>
      <c r="C31" s="10" t="s">
        <v>115</v>
      </c>
      <c r="D31" s="10" t="s">
        <v>80</v>
      </c>
      <c r="E31" s="41" t="s">
        <v>376</v>
      </c>
      <c r="F31" s="10" t="s">
        <v>382</v>
      </c>
      <c r="G31" s="35" t="s">
        <v>211</v>
      </c>
    </row>
    <row r="32" spans="2:8" x14ac:dyDescent="0.25">
      <c r="B32" s="43" t="s">
        <v>319</v>
      </c>
      <c r="C32" s="33" t="s">
        <v>320</v>
      </c>
      <c r="D32" s="33" t="s">
        <v>80</v>
      </c>
      <c r="E32" s="37" t="s">
        <v>321</v>
      </c>
      <c r="F32" s="10" t="s">
        <v>325</v>
      </c>
      <c r="G32" s="35" t="s">
        <v>253</v>
      </c>
    </row>
    <row r="33" spans="2:7" x14ac:dyDescent="0.25">
      <c r="B33" s="8" t="s">
        <v>275</v>
      </c>
      <c r="C33" s="11" t="s">
        <v>276</v>
      </c>
      <c r="D33" s="11" t="s">
        <v>110</v>
      </c>
      <c r="E33" s="41" t="s">
        <v>354</v>
      </c>
      <c r="F33" s="10" t="s">
        <v>467</v>
      </c>
      <c r="G33" s="35" t="s">
        <v>161</v>
      </c>
    </row>
    <row r="34" spans="2:7" x14ac:dyDescent="0.25">
      <c r="B34" s="53" t="s">
        <v>729</v>
      </c>
      <c r="C34" s="10" t="s">
        <v>698</v>
      </c>
      <c r="D34" s="10" t="s">
        <v>80</v>
      </c>
      <c r="E34" s="41" t="s">
        <v>573</v>
      </c>
      <c r="F34" s="10" t="s">
        <v>699</v>
      </c>
      <c r="G34" s="35" t="s">
        <v>253</v>
      </c>
    </row>
    <row r="35" spans="2:7" x14ac:dyDescent="0.25">
      <c r="B35" s="53" t="s">
        <v>892</v>
      </c>
      <c r="C35" s="10" t="s">
        <v>313</v>
      </c>
      <c r="D35" s="10" t="s">
        <v>110</v>
      </c>
      <c r="E35" s="41">
        <v>1</v>
      </c>
      <c r="F35" s="10" t="s">
        <v>470</v>
      </c>
      <c r="G35" s="35" t="s">
        <v>253</v>
      </c>
    </row>
    <row r="36" spans="2:7" x14ac:dyDescent="0.25">
      <c r="B36" s="53" t="s">
        <v>581</v>
      </c>
      <c r="C36" s="10" t="s">
        <v>70</v>
      </c>
      <c r="D36" s="10" t="s">
        <v>110</v>
      </c>
      <c r="E36" s="41">
        <v>1</v>
      </c>
      <c r="F36" s="10" t="s">
        <v>582</v>
      </c>
      <c r="G36" s="35" t="s">
        <v>253</v>
      </c>
    </row>
    <row r="37" spans="2:7" x14ac:dyDescent="0.25">
      <c r="B37" s="53" t="s">
        <v>1020</v>
      </c>
      <c r="C37" s="10" t="s">
        <v>268</v>
      </c>
      <c r="D37" s="10" t="s">
        <v>80</v>
      </c>
      <c r="F37" s="10" t="s">
        <v>1021</v>
      </c>
    </row>
  </sheetData>
  <hyperlinks>
    <hyperlink ref="A1" location="Main!A1" display="Main" xr:uid="{32DF19F5-FDF1-4641-B108-B96FB56A52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12"/>
  <sheetViews>
    <sheetView tabSelected="1" zoomScale="130" zoomScaleNormal="130" workbookViewId="0"/>
  </sheetViews>
  <sheetFormatPr defaultColWidth="9.1796875" defaultRowHeight="12.5" x14ac:dyDescent="0.25"/>
  <cols>
    <col min="1" max="1" width="2.453125" style="4" customWidth="1"/>
    <col min="2" max="2" width="28.1796875" style="4" customWidth="1"/>
    <col min="3" max="3" width="32.26953125" style="11" customWidth="1"/>
    <col min="4" max="4" width="11.1796875" style="11" customWidth="1"/>
    <col min="5" max="5" width="11" style="11" bestFit="1" customWidth="1"/>
    <col min="6" max="6" width="22.1796875" style="11" customWidth="1"/>
    <col min="7" max="7" width="9.1796875" style="4"/>
    <col min="8" max="8" width="3.26953125" style="4" customWidth="1"/>
    <col min="9" max="9" width="12.7265625" style="4" customWidth="1"/>
    <col min="10" max="10" width="8.453125" style="4" customWidth="1"/>
    <col min="11" max="11" width="6.81640625" style="4" customWidth="1"/>
    <col min="12" max="12" width="8.1796875" style="4" bestFit="1" customWidth="1"/>
    <col min="13" max="13" width="7.1796875" style="4" customWidth="1"/>
    <col min="14" max="16384" width="9.1796875" style="4"/>
  </cols>
  <sheetData>
    <row r="1" spans="1:13" x14ac:dyDescent="0.25">
      <c r="A1" s="3"/>
    </row>
    <row r="2" spans="1:13" s="3" customFormat="1" x14ac:dyDescent="0.25">
      <c r="B2" s="6" t="s">
        <v>43</v>
      </c>
      <c r="C2" s="9" t="s">
        <v>44</v>
      </c>
      <c r="D2" s="9" t="s">
        <v>87</v>
      </c>
      <c r="E2" s="9" t="s">
        <v>95</v>
      </c>
      <c r="F2" s="9" t="s">
        <v>66</v>
      </c>
      <c r="G2" s="12" t="s">
        <v>74</v>
      </c>
      <c r="I2" s="3" t="s">
        <v>284</v>
      </c>
      <c r="J2" s="19">
        <v>285</v>
      </c>
      <c r="K2" s="19"/>
    </row>
    <row r="3" spans="1:13" s="3" customFormat="1" x14ac:dyDescent="0.25">
      <c r="B3" s="7" t="s">
        <v>48</v>
      </c>
      <c r="C3" s="33" t="s">
        <v>327</v>
      </c>
      <c r="D3" s="10">
        <v>2004</v>
      </c>
      <c r="E3" s="41">
        <v>1</v>
      </c>
      <c r="F3" s="10" t="s">
        <v>71</v>
      </c>
      <c r="G3" s="35" t="s">
        <v>161</v>
      </c>
      <c r="I3" s="3" t="s">
        <v>42</v>
      </c>
      <c r="J3" s="20">
        <v>800.40300000000002</v>
      </c>
      <c r="K3" s="54" t="s">
        <v>876</v>
      </c>
    </row>
    <row r="4" spans="1:13" x14ac:dyDescent="0.25">
      <c r="B4" s="7" t="s">
        <v>94</v>
      </c>
      <c r="C4" s="11" t="s">
        <v>146</v>
      </c>
      <c r="D4" s="11">
        <v>1998</v>
      </c>
      <c r="E4" s="14">
        <v>1</v>
      </c>
      <c r="F4" s="11" t="s">
        <v>163</v>
      </c>
      <c r="G4" s="36" t="s">
        <v>161</v>
      </c>
      <c r="I4" s="4" t="s">
        <v>107</v>
      </c>
      <c r="J4" s="21">
        <f>J3*J2+J12</f>
        <v>228114.85500000001</v>
      </c>
      <c r="K4" s="20"/>
    </row>
    <row r="5" spans="1:13" x14ac:dyDescent="0.25">
      <c r="B5" s="7" t="s">
        <v>172</v>
      </c>
      <c r="C5" s="33" t="s">
        <v>328</v>
      </c>
      <c r="D5" s="11">
        <v>1997</v>
      </c>
      <c r="E5" s="33" t="s">
        <v>297</v>
      </c>
      <c r="F5" s="11" t="s">
        <v>82</v>
      </c>
      <c r="G5" s="36" t="s">
        <v>161</v>
      </c>
      <c r="I5" s="3" t="s">
        <v>182</v>
      </c>
      <c r="J5" s="21">
        <f>+J6-17337</f>
        <v>16862</v>
      </c>
      <c r="K5" s="54" t="s">
        <v>928</v>
      </c>
    </row>
    <row r="6" spans="1:13" x14ac:dyDescent="0.25">
      <c r="B6" s="38" t="s">
        <v>948</v>
      </c>
      <c r="C6" s="10" t="s">
        <v>820</v>
      </c>
      <c r="D6" s="116">
        <v>43055</v>
      </c>
      <c r="E6" s="10" t="s">
        <v>949</v>
      </c>
      <c r="F6" s="10"/>
      <c r="G6" s="35" t="s">
        <v>161</v>
      </c>
      <c r="I6" s="3" t="s">
        <v>577</v>
      </c>
      <c r="J6" s="21">
        <v>34199</v>
      </c>
      <c r="K6" s="54" t="s">
        <v>928</v>
      </c>
      <c r="L6" s="3"/>
      <c r="M6" s="3"/>
    </row>
    <row r="7" spans="1:13" x14ac:dyDescent="0.25">
      <c r="B7" s="38" t="s">
        <v>810</v>
      </c>
      <c r="C7" s="10" t="s">
        <v>811</v>
      </c>
      <c r="D7" s="116">
        <v>42508</v>
      </c>
      <c r="E7" s="14">
        <v>1</v>
      </c>
      <c r="F7" s="10" t="s">
        <v>812</v>
      </c>
      <c r="G7" s="35" t="s">
        <v>161</v>
      </c>
      <c r="I7" s="4" t="s">
        <v>108</v>
      </c>
      <c r="J7" s="21">
        <f>J4-J5+J6</f>
        <v>245451.85500000001</v>
      </c>
      <c r="L7" s="3"/>
      <c r="M7" s="3"/>
    </row>
    <row r="8" spans="1:13" x14ac:dyDescent="0.25">
      <c r="B8" s="38" t="s">
        <v>703</v>
      </c>
      <c r="C8" s="10" t="s">
        <v>405</v>
      </c>
      <c r="E8" s="14">
        <v>1</v>
      </c>
      <c r="F8" s="10" t="s">
        <v>163</v>
      </c>
      <c r="G8" s="36" t="s">
        <v>161</v>
      </c>
      <c r="J8" s="21"/>
      <c r="K8" s="110"/>
      <c r="L8" s="3"/>
      <c r="M8" s="3"/>
    </row>
    <row r="9" spans="1:13" x14ac:dyDescent="0.25">
      <c r="B9" s="38" t="s">
        <v>822</v>
      </c>
      <c r="C9" s="10" t="s">
        <v>123</v>
      </c>
      <c r="E9" s="41" t="s">
        <v>297</v>
      </c>
      <c r="F9" s="10" t="s">
        <v>82</v>
      </c>
      <c r="G9" s="35" t="s">
        <v>161</v>
      </c>
      <c r="I9" s="3"/>
      <c r="J9" s="3"/>
      <c r="K9" s="21"/>
      <c r="L9" s="3"/>
      <c r="M9" s="3"/>
    </row>
    <row r="10" spans="1:13" x14ac:dyDescent="0.25">
      <c r="B10" s="38" t="s">
        <v>265</v>
      </c>
      <c r="C10" s="11" t="s">
        <v>147</v>
      </c>
      <c r="D10" s="11">
        <v>2004</v>
      </c>
      <c r="E10" s="33" t="s">
        <v>298</v>
      </c>
      <c r="F10" s="11" t="s">
        <v>164</v>
      </c>
      <c r="G10" s="85" t="s">
        <v>315</v>
      </c>
    </row>
    <row r="11" spans="1:13" x14ac:dyDescent="0.25">
      <c r="B11" s="38" t="s">
        <v>312</v>
      </c>
      <c r="C11" s="33" t="s">
        <v>313</v>
      </c>
      <c r="E11" s="37" t="s">
        <v>314</v>
      </c>
      <c r="F11" s="33" t="s">
        <v>71</v>
      </c>
      <c r="G11" s="85" t="s">
        <v>161</v>
      </c>
      <c r="I11" s="3"/>
      <c r="J11" s="3"/>
      <c r="K11" s="21"/>
      <c r="L11" s="3"/>
      <c r="M11" s="3"/>
    </row>
    <row r="12" spans="1:13" x14ac:dyDescent="0.25">
      <c r="B12" s="7" t="s">
        <v>244</v>
      </c>
      <c r="C12" s="11" t="s">
        <v>79</v>
      </c>
      <c r="D12" s="11">
        <v>2002</v>
      </c>
      <c r="E12" s="14">
        <v>1</v>
      </c>
      <c r="F12" s="11" t="s">
        <v>240</v>
      </c>
      <c r="G12" s="84" t="s">
        <v>211</v>
      </c>
      <c r="J12" s="21"/>
      <c r="K12" s="21"/>
      <c r="L12" s="3"/>
      <c r="M12" s="3"/>
    </row>
    <row r="13" spans="1:13" x14ac:dyDescent="0.25">
      <c r="B13" s="38" t="s">
        <v>730</v>
      </c>
      <c r="C13" s="33" t="s">
        <v>317</v>
      </c>
      <c r="D13" s="10" t="s">
        <v>114</v>
      </c>
      <c r="E13" s="33" t="s">
        <v>318</v>
      </c>
      <c r="F13" s="10" t="s">
        <v>163</v>
      </c>
      <c r="G13" s="35" t="s">
        <v>529</v>
      </c>
      <c r="I13" s="60" t="s">
        <v>41</v>
      </c>
      <c r="J13" s="21"/>
      <c r="K13" s="21"/>
    </row>
    <row r="14" spans="1:13" s="3" customFormat="1" x14ac:dyDescent="0.25">
      <c r="B14" s="38" t="s">
        <v>751</v>
      </c>
      <c r="C14" s="11" t="s">
        <v>84</v>
      </c>
      <c r="D14" s="10">
        <v>2009</v>
      </c>
      <c r="E14" s="14">
        <v>1</v>
      </c>
      <c r="F14" s="11" t="s">
        <v>83</v>
      </c>
      <c r="G14" s="36" t="s">
        <v>161</v>
      </c>
      <c r="I14" s="60" t="s">
        <v>471</v>
      </c>
      <c r="K14" s="21"/>
      <c r="L14" s="4"/>
      <c r="M14" s="4"/>
    </row>
    <row r="15" spans="1:13" x14ac:dyDescent="0.25">
      <c r="B15" s="8" t="s">
        <v>267</v>
      </c>
      <c r="C15" s="11" t="s">
        <v>207</v>
      </c>
      <c r="D15" s="11">
        <v>1995</v>
      </c>
      <c r="E15" s="14">
        <v>1</v>
      </c>
      <c r="F15" s="10" t="s">
        <v>345</v>
      </c>
      <c r="G15" s="83" t="s">
        <v>464</v>
      </c>
    </row>
    <row r="16" spans="1:13" x14ac:dyDescent="0.25">
      <c r="B16" s="38" t="s">
        <v>845</v>
      </c>
      <c r="C16" s="10" t="s">
        <v>849</v>
      </c>
      <c r="E16" s="41" t="s">
        <v>846</v>
      </c>
      <c r="F16" s="10" t="s">
        <v>848</v>
      </c>
      <c r="G16" s="83" t="s">
        <v>847</v>
      </c>
    </row>
    <row r="17" spans="2:11" x14ac:dyDescent="0.25">
      <c r="B17" s="53" t="s">
        <v>711</v>
      </c>
      <c r="C17" s="10" t="s">
        <v>377</v>
      </c>
      <c r="D17" s="10"/>
      <c r="E17" s="41" t="s">
        <v>378</v>
      </c>
      <c r="F17" s="10" t="s">
        <v>379</v>
      </c>
      <c r="G17" s="35" t="s">
        <v>253</v>
      </c>
    </row>
    <row r="18" spans="2:11" x14ac:dyDescent="0.25">
      <c r="B18" s="53" t="s">
        <v>752</v>
      </c>
      <c r="C18" s="10" t="s">
        <v>572</v>
      </c>
      <c r="D18" s="10">
        <v>2013</v>
      </c>
      <c r="E18" s="41">
        <v>1</v>
      </c>
      <c r="F18" s="10" t="s">
        <v>82</v>
      </c>
      <c r="G18" s="35" t="s">
        <v>161</v>
      </c>
    </row>
    <row r="19" spans="2:11" x14ac:dyDescent="0.25">
      <c r="B19" s="38" t="s">
        <v>798</v>
      </c>
      <c r="C19" s="10" t="s">
        <v>1003</v>
      </c>
      <c r="D19" s="10"/>
      <c r="E19" s="41" t="s">
        <v>1004</v>
      </c>
      <c r="F19" s="10"/>
      <c r="G19" s="35"/>
    </row>
    <row r="20" spans="2:11" x14ac:dyDescent="0.25">
      <c r="B20" s="53" t="s">
        <v>908</v>
      </c>
      <c r="C20" s="10" t="s">
        <v>86</v>
      </c>
      <c r="D20" s="120">
        <v>43397</v>
      </c>
      <c r="E20" s="41">
        <v>1</v>
      </c>
      <c r="F20" s="10"/>
      <c r="G20" s="35"/>
    </row>
    <row r="21" spans="2:11" x14ac:dyDescent="0.25">
      <c r="B21" s="53" t="s">
        <v>906</v>
      </c>
      <c r="C21" s="10" t="s">
        <v>907</v>
      </c>
      <c r="D21" s="120">
        <v>44057</v>
      </c>
      <c r="E21" s="41">
        <v>1</v>
      </c>
      <c r="F21" s="10" t="s">
        <v>83</v>
      </c>
      <c r="G21" s="35" t="s">
        <v>161</v>
      </c>
      <c r="I21" s="3" t="s">
        <v>972</v>
      </c>
    </row>
    <row r="22" spans="2:11" x14ac:dyDescent="0.25">
      <c r="B22" s="53" t="s">
        <v>963</v>
      </c>
      <c r="C22" s="10" t="s">
        <v>146</v>
      </c>
      <c r="D22" s="120"/>
      <c r="E22" s="41"/>
      <c r="F22" s="10"/>
      <c r="G22" s="35"/>
    </row>
    <row r="23" spans="2:11" x14ac:dyDescent="0.25">
      <c r="B23" s="53" t="s">
        <v>902</v>
      </c>
      <c r="C23" s="10" t="s">
        <v>903</v>
      </c>
      <c r="D23" s="120">
        <v>44917</v>
      </c>
      <c r="E23" s="41">
        <v>1</v>
      </c>
      <c r="F23" s="10" t="s">
        <v>883</v>
      </c>
      <c r="G23" s="35" t="s">
        <v>890</v>
      </c>
    </row>
    <row r="24" spans="2:11" x14ac:dyDescent="0.25">
      <c r="B24" s="38" t="s">
        <v>904</v>
      </c>
      <c r="C24" s="10" t="s">
        <v>313</v>
      </c>
      <c r="D24" s="120">
        <v>44589</v>
      </c>
      <c r="E24" s="41">
        <v>1</v>
      </c>
      <c r="F24" s="10" t="s">
        <v>905</v>
      </c>
      <c r="G24" s="35" t="s">
        <v>890</v>
      </c>
    </row>
    <row r="25" spans="2:11" x14ac:dyDescent="0.25">
      <c r="B25" s="38" t="s">
        <v>994</v>
      </c>
      <c r="C25" s="10" t="s">
        <v>146</v>
      </c>
      <c r="D25" s="120">
        <v>44011</v>
      </c>
      <c r="E25" s="41" t="s">
        <v>995</v>
      </c>
      <c r="F25" s="10" t="s">
        <v>163</v>
      </c>
      <c r="G25" s="35"/>
      <c r="I25" s="3" t="s">
        <v>1000</v>
      </c>
    </row>
    <row r="26" spans="2:11" x14ac:dyDescent="0.25">
      <c r="B26" s="38" t="s">
        <v>266</v>
      </c>
      <c r="C26" s="11" t="s">
        <v>239</v>
      </c>
      <c r="D26" s="11">
        <v>1998</v>
      </c>
      <c r="E26" s="14">
        <v>1</v>
      </c>
      <c r="F26" s="10" t="s">
        <v>400</v>
      </c>
      <c r="G26" s="83" t="s">
        <v>512</v>
      </c>
      <c r="I26" s="3" t="s">
        <v>950</v>
      </c>
      <c r="K26" s="21"/>
    </row>
    <row r="27" spans="2:11" x14ac:dyDescent="0.25">
      <c r="B27" s="53" t="s">
        <v>728</v>
      </c>
      <c r="C27" s="10" t="s">
        <v>324</v>
      </c>
      <c r="D27" s="10"/>
      <c r="E27" s="37" t="s">
        <v>321</v>
      </c>
      <c r="F27" s="33" t="s">
        <v>325</v>
      </c>
      <c r="G27" s="35" t="s">
        <v>253</v>
      </c>
      <c r="I27" s="3" t="s">
        <v>951</v>
      </c>
    </row>
    <row r="28" spans="2:11" x14ac:dyDescent="0.25">
      <c r="B28" s="7" t="s">
        <v>47</v>
      </c>
      <c r="C28" s="11" t="s">
        <v>45</v>
      </c>
      <c r="D28" s="11">
        <v>2007</v>
      </c>
      <c r="E28" s="11" t="s">
        <v>73</v>
      </c>
      <c r="F28" s="11" t="s">
        <v>72</v>
      </c>
      <c r="G28" s="84" t="s">
        <v>211</v>
      </c>
      <c r="I28" s="3" t="s">
        <v>953</v>
      </c>
    </row>
    <row r="29" spans="2:11" x14ac:dyDescent="0.25">
      <c r="B29" s="6"/>
      <c r="C29" s="9"/>
      <c r="D29" s="9" t="s">
        <v>46</v>
      </c>
      <c r="E29" s="9"/>
      <c r="F29" s="9"/>
      <c r="G29" s="12"/>
      <c r="I29" s="3" t="s">
        <v>854</v>
      </c>
    </row>
    <row r="30" spans="2:11" x14ac:dyDescent="0.25">
      <c r="B30" s="117" t="s">
        <v>897</v>
      </c>
      <c r="C30" s="10" t="s">
        <v>877</v>
      </c>
      <c r="D30" s="10" t="s">
        <v>114</v>
      </c>
      <c r="E30" s="41" t="s">
        <v>898</v>
      </c>
      <c r="G30" s="36"/>
      <c r="I30" s="3" t="s">
        <v>952</v>
      </c>
    </row>
    <row r="31" spans="2:11" x14ac:dyDescent="0.25">
      <c r="B31" s="53" t="s">
        <v>882</v>
      </c>
      <c r="C31" s="10" t="s">
        <v>849</v>
      </c>
      <c r="D31" s="10" t="s">
        <v>114</v>
      </c>
      <c r="F31" s="10" t="s">
        <v>883</v>
      </c>
      <c r="G31" s="118" t="s">
        <v>890</v>
      </c>
    </row>
    <row r="32" spans="2:11" x14ac:dyDescent="0.25">
      <c r="B32" s="38" t="s">
        <v>896</v>
      </c>
      <c r="C32" s="10" t="s">
        <v>961</v>
      </c>
      <c r="D32" s="10" t="s">
        <v>114</v>
      </c>
      <c r="E32" s="14">
        <v>1</v>
      </c>
      <c r="F32" s="10" t="s">
        <v>884</v>
      </c>
      <c r="G32" s="118" t="s">
        <v>161</v>
      </c>
    </row>
    <row r="33" spans="2:9" x14ac:dyDescent="0.25">
      <c r="B33" s="53" t="s">
        <v>899</v>
      </c>
      <c r="C33" s="10" t="s">
        <v>123</v>
      </c>
      <c r="D33" s="10" t="s">
        <v>114</v>
      </c>
      <c r="F33" s="10" t="s">
        <v>900</v>
      </c>
      <c r="G33" s="118"/>
    </row>
    <row r="34" spans="2:9" x14ac:dyDescent="0.25">
      <c r="B34" s="53" t="s">
        <v>909</v>
      </c>
      <c r="C34" s="10"/>
      <c r="D34" s="10" t="s">
        <v>114</v>
      </c>
      <c r="F34" s="10" t="s">
        <v>910</v>
      </c>
      <c r="G34" s="118"/>
      <c r="I34" s="3"/>
    </row>
    <row r="35" spans="2:9" x14ac:dyDescent="0.25">
      <c r="B35" s="53" t="s">
        <v>885</v>
      </c>
      <c r="C35" s="10" t="s">
        <v>887</v>
      </c>
      <c r="F35" s="10" t="s">
        <v>886</v>
      </c>
      <c r="G35" s="118" t="s">
        <v>529</v>
      </c>
    </row>
    <row r="36" spans="2:9" x14ac:dyDescent="0.25">
      <c r="B36" s="53" t="s">
        <v>888</v>
      </c>
      <c r="C36" s="10" t="s">
        <v>891</v>
      </c>
      <c r="F36" s="10" t="s">
        <v>889</v>
      </c>
      <c r="G36" s="118" t="s">
        <v>890</v>
      </c>
    </row>
    <row r="37" spans="2:9" x14ac:dyDescent="0.25">
      <c r="B37" s="53" t="s">
        <v>894</v>
      </c>
      <c r="C37" s="10"/>
      <c r="F37" s="10" t="s">
        <v>895</v>
      </c>
      <c r="G37" s="118" t="s">
        <v>890</v>
      </c>
    </row>
    <row r="38" spans="2:9" x14ac:dyDescent="0.25">
      <c r="B38" s="53" t="s">
        <v>901</v>
      </c>
      <c r="C38" s="10" t="s">
        <v>359</v>
      </c>
      <c r="D38" s="10" t="s">
        <v>114</v>
      </c>
      <c r="E38" s="41" t="s">
        <v>360</v>
      </c>
      <c r="F38" s="10" t="s">
        <v>361</v>
      </c>
      <c r="G38" s="35" t="s">
        <v>161</v>
      </c>
    </row>
    <row r="39" spans="2:9" x14ac:dyDescent="0.25">
      <c r="B39" s="53" t="s">
        <v>968</v>
      </c>
      <c r="C39" s="10" t="s">
        <v>969</v>
      </c>
      <c r="D39" s="10" t="s">
        <v>80</v>
      </c>
      <c r="E39" s="41" t="s">
        <v>970</v>
      </c>
      <c r="F39" s="10" t="s">
        <v>971</v>
      </c>
      <c r="G39" s="35" t="s">
        <v>161</v>
      </c>
    </row>
    <row r="40" spans="2:9" x14ac:dyDescent="0.25">
      <c r="B40" s="53" t="s">
        <v>1014</v>
      </c>
      <c r="C40" s="10" t="s">
        <v>1022</v>
      </c>
      <c r="D40" s="10" t="s">
        <v>80</v>
      </c>
      <c r="E40" s="41"/>
      <c r="F40" s="10" t="s">
        <v>1015</v>
      </c>
      <c r="G40" s="35" t="s">
        <v>161</v>
      </c>
    </row>
    <row r="41" spans="2:9" x14ac:dyDescent="0.25">
      <c r="B41" s="53" t="s">
        <v>1016</v>
      </c>
      <c r="C41" s="10" t="s">
        <v>349</v>
      </c>
      <c r="D41" s="10" t="s">
        <v>110</v>
      </c>
      <c r="E41" s="41"/>
      <c r="F41" s="10" t="s">
        <v>1017</v>
      </c>
      <c r="G41" s="35"/>
    </row>
    <row r="42" spans="2:9" x14ac:dyDescent="0.25">
      <c r="B42" s="53" t="s">
        <v>733</v>
      </c>
      <c r="C42" s="10" t="s">
        <v>359</v>
      </c>
      <c r="D42" s="10"/>
      <c r="E42" s="41"/>
      <c r="F42" s="10" t="s">
        <v>361</v>
      </c>
      <c r="G42" s="35" t="s">
        <v>161</v>
      </c>
    </row>
    <row r="43" spans="2:9" ht="13" x14ac:dyDescent="0.3">
      <c r="B43" s="53" t="s">
        <v>737</v>
      </c>
      <c r="C43" s="10" t="s">
        <v>734</v>
      </c>
      <c r="D43" s="10" t="s">
        <v>110</v>
      </c>
      <c r="E43" s="41">
        <v>1</v>
      </c>
      <c r="F43" s="10" t="s">
        <v>735</v>
      </c>
      <c r="G43" s="35" t="s">
        <v>253</v>
      </c>
      <c r="I43" s="16" t="s">
        <v>1044</v>
      </c>
    </row>
    <row r="44" spans="2:9" x14ac:dyDescent="0.25">
      <c r="B44" s="53" t="s">
        <v>740</v>
      </c>
      <c r="C44" s="10" t="s">
        <v>359</v>
      </c>
      <c r="D44" s="10" t="s">
        <v>110</v>
      </c>
      <c r="E44" s="41">
        <v>1</v>
      </c>
      <c r="F44" s="10" t="s">
        <v>741</v>
      </c>
      <c r="G44" s="35"/>
      <c r="I44" s="3" t="s">
        <v>1045</v>
      </c>
    </row>
    <row r="45" spans="2:9" x14ac:dyDescent="0.25">
      <c r="B45" s="53" t="s">
        <v>736</v>
      </c>
      <c r="C45" s="10" t="s">
        <v>359</v>
      </c>
      <c r="D45" s="10" t="s">
        <v>110</v>
      </c>
      <c r="E45" s="41" t="s">
        <v>738</v>
      </c>
      <c r="F45" s="10" t="s">
        <v>739</v>
      </c>
      <c r="G45" s="35" t="s">
        <v>253</v>
      </c>
      <c r="I45" s="3" t="s">
        <v>1046</v>
      </c>
    </row>
    <row r="46" spans="2:9" x14ac:dyDescent="0.25">
      <c r="B46" s="53" t="s">
        <v>742</v>
      </c>
      <c r="C46" s="10" t="s">
        <v>268</v>
      </c>
      <c r="D46" s="10" t="s">
        <v>110</v>
      </c>
      <c r="E46" s="41">
        <v>1</v>
      </c>
      <c r="F46" s="10" t="s">
        <v>743</v>
      </c>
      <c r="G46" s="35"/>
    </row>
    <row r="47" spans="2:9" x14ac:dyDescent="0.25">
      <c r="B47" s="53" t="s">
        <v>708</v>
      </c>
      <c r="C47" s="10" t="s">
        <v>359</v>
      </c>
      <c r="D47" s="10" t="s">
        <v>110</v>
      </c>
      <c r="E47" s="41">
        <v>1</v>
      </c>
      <c r="F47" s="10" t="s">
        <v>709</v>
      </c>
      <c r="G47" s="35" t="s">
        <v>253</v>
      </c>
      <c r="I47" s="3" t="s">
        <v>1047</v>
      </c>
    </row>
    <row r="48" spans="2:9" s="17" customFormat="1" ht="13" x14ac:dyDescent="0.3">
      <c r="B48" s="53" t="s">
        <v>705</v>
      </c>
      <c r="C48" s="10" t="s">
        <v>706</v>
      </c>
      <c r="D48" s="10" t="s">
        <v>110</v>
      </c>
      <c r="E48" s="41">
        <v>1</v>
      </c>
      <c r="F48" s="10" t="s">
        <v>707</v>
      </c>
      <c r="G48" s="35" t="s">
        <v>253</v>
      </c>
      <c r="I48" s="3" t="s">
        <v>1048</v>
      </c>
    </row>
    <row r="49" spans="2:9" s="17" customFormat="1" ht="13" x14ac:dyDescent="0.3">
      <c r="B49" s="8" t="s">
        <v>278</v>
      </c>
      <c r="C49" s="11" t="s">
        <v>115</v>
      </c>
      <c r="D49" s="11" t="s">
        <v>110</v>
      </c>
      <c r="E49" s="14">
        <v>1</v>
      </c>
      <c r="F49" s="10" t="s">
        <v>383</v>
      </c>
      <c r="G49" s="35" t="s">
        <v>253</v>
      </c>
    </row>
    <row r="50" spans="2:9" x14ac:dyDescent="0.25">
      <c r="B50" s="53" t="s">
        <v>691</v>
      </c>
      <c r="C50" s="10" t="s">
        <v>115</v>
      </c>
      <c r="D50" s="10" t="s">
        <v>110</v>
      </c>
      <c r="E50" s="41">
        <v>1</v>
      </c>
      <c r="F50" s="10" t="s">
        <v>474</v>
      </c>
      <c r="G50" s="35" t="s">
        <v>161</v>
      </c>
    </row>
    <row r="51" spans="2:9" x14ac:dyDescent="0.25">
      <c r="B51" s="53" t="s">
        <v>279</v>
      </c>
      <c r="C51" s="10" t="s">
        <v>115</v>
      </c>
      <c r="D51" s="10" t="s">
        <v>110</v>
      </c>
      <c r="E51" s="41">
        <v>1</v>
      </c>
      <c r="F51" s="10" t="s">
        <v>606</v>
      </c>
      <c r="G51" s="35"/>
    </row>
    <row r="52" spans="2:9" x14ac:dyDescent="0.25">
      <c r="B52" s="53" t="s">
        <v>370</v>
      </c>
      <c r="C52" s="10" t="s">
        <v>115</v>
      </c>
      <c r="D52" s="10" t="s">
        <v>110</v>
      </c>
      <c r="E52" s="41">
        <v>1</v>
      </c>
      <c r="F52" s="10" t="s">
        <v>473</v>
      </c>
      <c r="G52" s="35" t="s">
        <v>253</v>
      </c>
    </row>
    <row r="53" spans="2:9" x14ac:dyDescent="0.25">
      <c r="B53" s="53" t="s">
        <v>384</v>
      </c>
      <c r="C53" s="10" t="s">
        <v>115</v>
      </c>
      <c r="D53" s="10" t="s">
        <v>110</v>
      </c>
      <c r="E53" s="41">
        <v>1</v>
      </c>
      <c r="F53" s="10" t="s">
        <v>385</v>
      </c>
      <c r="G53" s="35" t="s">
        <v>161</v>
      </c>
    </row>
    <row r="54" spans="2:9" x14ac:dyDescent="0.25">
      <c r="B54" s="53" t="s">
        <v>670</v>
      </c>
      <c r="C54" s="10" t="s">
        <v>115</v>
      </c>
      <c r="D54" s="10" t="s">
        <v>110</v>
      </c>
      <c r="E54" s="41">
        <v>1</v>
      </c>
      <c r="F54" s="10" t="s">
        <v>386</v>
      </c>
      <c r="G54" s="35" t="s">
        <v>253</v>
      </c>
    </row>
    <row r="55" spans="2:9" x14ac:dyDescent="0.25">
      <c r="B55" s="53" t="s">
        <v>371</v>
      </c>
      <c r="C55" s="10" t="s">
        <v>115</v>
      </c>
      <c r="D55" s="10" t="s">
        <v>110</v>
      </c>
      <c r="E55" s="41">
        <v>1</v>
      </c>
      <c r="G55" s="35" t="s">
        <v>253</v>
      </c>
    </row>
    <row r="56" spans="2:9" x14ac:dyDescent="0.25">
      <c r="B56" s="53" t="s">
        <v>368</v>
      </c>
      <c r="C56" s="11" t="s">
        <v>115</v>
      </c>
      <c r="D56" s="11" t="s">
        <v>110</v>
      </c>
      <c r="E56" s="14">
        <v>1</v>
      </c>
      <c r="F56" s="10" t="s">
        <v>369</v>
      </c>
      <c r="G56" s="35" t="s">
        <v>253</v>
      </c>
    </row>
    <row r="57" spans="2:9" x14ac:dyDescent="0.25">
      <c r="B57" s="53" t="s">
        <v>918</v>
      </c>
      <c r="C57" s="10" t="s">
        <v>919</v>
      </c>
      <c r="D57" s="10" t="s">
        <v>110</v>
      </c>
      <c r="E57" s="14">
        <v>1</v>
      </c>
      <c r="F57" s="10" t="s">
        <v>920</v>
      </c>
      <c r="G57" s="35"/>
    </row>
    <row r="58" spans="2:9" x14ac:dyDescent="0.25">
      <c r="B58" s="53" t="s">
        <v>921</v>
      </c>
      <c r="C58" s="10" t="s">
        <v>919</v>
      </c>
      <c r="D58" s="10" t="s">
        <v>110</v>
      </c>
      <c r="E58" s="14">
        <v>1</v>
      </c>
      <c r="F58" s="10" t="s">
        <v>922</v>
      </c>
      <c r="G58" s="35"/>
    </row>
    <row r="59" spans="2:9" x14ac:dyDescent="0.25">
      <c r="B59" s="53" t="s">
        <v>607</v>
      </c>
      <c r="C59" s="10" t="s">
        <v>115</v>
      </c>
      <c r="D59" s="10" t="s">
        <v>110</v>
      </c>
      <c r="E59" s="14">
        <v>1</v>
      </c>
      <c r="F59" s="10"/>
      <c r="G59" s="35" t="s">
        <v>253</v>
      </c>
    </row>
    <row r="60" spans="2:9" x14ac:dyDescent="0.25">
      <c r="B60" s="53" t="s">
        <v>574</v>
      </c>
      <c r="C60" s="10" t="s">
        <v>115</v>
      </c>
      <c r="D60" s="10" t="s">
        <v>110</v>
      </c>
      <c r="E60" s="41" t="s">
        <v>575</v>
      </c>
      <c r="F60" s="10"/>
      <c r="G60" s="35" t="s">
        <v>253</v>
      </c>
    </row>
    <row r="61" spans="2:9" x14ac:dyDescent="0.25">
      <c r="B61" s="53" t="s">
        <v>671</v>
      </c>
      <c r="C61" s="10" t="s">
        <v>605</v>
      </c>
      <c r="D61" s="10" t="s">
        <v>110</v>
      </c>
      <c r="E61" s="41">
        <v>1</v>
      </c>
      <c r="F61" s="10" t="s">
        <v>386</v>
      </c>
      <c r="G61" s="35" t="s">
        <v>253</v>
      </c>
    </row>
    <row r="62" spans="2:9" x14ac:dyDescent="0.25">
      <c r="B62" s="53" t="s">
        <v>375</v>
      </c>
      <c r="C62" s="10" t="s">
        <v>115</v>
      </c>
      <c r="D62" s="10" t="s">
        <v>110</v>
      </c>
      <c r="E62" s="41">
        <v>1</v>
      </c>
      <c r="F62" s="10" t="s">
        <v>472</v>
      </c>
      <c r="G62" s="35" t="s">
        <v>253</v>
      </c>
    </row>
    <row r="63" spans="2:9" x14ac:dyDescent="0.25">
      <c r="B63" s="53" t="s">
        <v>365</v>
      </c>
      <c r="C63" s="10" t="s">
        <v>366</v>
      </c>
      <c r="D63" s="10" t="s">
        <v>110</v>
      </c>
      <c r="E63" s="14">
        <v>1</v>
      </c>
      <c r="F63" s="10" t="s">
        <v>367</v>
      </c>
      <c r="G63" s="35" t="s">
        <v>211</v>
      </c>
    </row>
    <row r="64" spans="2:9" x14ac:dyDescent="0.25">
      <c r="B64" s="53" t="s">
        <v>590</v>
      </c>
      <c r="C64" s="10" t="s">
        <v>115</v>
      </c>
      <c r="D64" s="10" t="s">
        <v>110</v>
      </c>
      <c r="E64" s="14">
        <v>1</v>
      </c>
      <c r="F64" s="10" t="s">
        <v>591</v>
      </c>
      <c r="G64" s="35" t="s">
        <v>253</v>
      </c>
      <c r="I64" s="3" t="s">
        <v>959</v>
      </c>
    </row>
    <row r="65" spans="2:7" ht="13" x14ac:dyDescent="0.3">
      <c r="B65" s="96" t="s">
        <v>732</v>
      </c>
      <c r="C65" s="119" t="s">
        <v>349</v>
      </c>
      <c r="D65" s="119" t="s">
        <v>110</v>
      </c>
      <c r="E65" s="97">
        <v>1</v>
      </c>
      <c r="F65" s="119" t="s">
        <v>350</v>
      </c>
      <c r="G65" s="98" t="s">
        <v>161</v>
      </c>
    </row>
    <row r="66" spans="2:7" s="17" customFormat="1" ht="13" x14ac:dyDescent="0.3">
      <c r="B66" s="53" t="s">
        <v>576</v>
      </c>
      <c r="C66" s="10" t="s">
        <v>465</v>
      </c>
      <c r="D66" s="10" t="s">
        <v>80</v>
      </c>
      <c r="E66" s="14">
        <v>1</v>
      </c>
      <c r="F66" s="10" t="s">
        <v>466</v>
      </c>
      <c r="G66" s="35" t="s">
        <v>161</v>
      </c>
    </row>
    <row r="67" spans="2:7" x14ac:dyDescent="0.25">
      <c r="B67" s="53" t="s">
        <v>351</v>
      </c>
      <c r="C67" s="10" t="s">
        <v>352</v>
      </c>
      <c r="D67" s="10" t="s">
        <v>110</v>
      </c>
      <c r="E67" s="14">
        <v>1</v>
      </c>
      <c r="F67" s="10" t="s">
        <v>353</v>
      </c>
      <c r="G67" s="35" t="s">
        <v>161</v>
      </c>
    </row>
    <row r="68" spans="2:7" x14ac:dyDescent="0.25">
      <c r="B68" s="53" t="s">
        <v>372</v>
      </c>
      <c r="C68" s="10" t="s">
        <v>115</v>
      </c>
      <c r="D68" s="10" t="s">
        <v>110</v>
      </c>
      <c r="E68" s="41" t="s">
        <v>373</v>
      </c>
      <c r="F68" s="10" t="s">
        <v>374</v>
      </c>
      <c r="G68" s="35" t="s">
        <v>161</v>
      </c>
    </row>
    <row r="69" spans="2:7" x14ac:dyDescent="0.25">
      <c r="B69" s="53" t="s">
        <v>1018</v>
      </c>
      <c r="C69" s="10" t="s">
        <v>811</v>
      </c>
      <c r="D69" s="10" t="s">
        <v>110</v>
      </c>
      <c r="E69" s="41"/>
      <c r="F69" s="10" t="s">
        <v>1019</v>
      </c>
      <c r="G69" s="35" t="s">
        <v>253</v>
      </c>
    </row>
    <row r="70" spans="2:7" x14ac:dyDescent="0.25">
      <c r="B70" s="53" t="s">
        <v>584</v>
      </c>
      <c r="C70" s="10" t="s">
        <v>413</v>
      </c>
      <c r="D70" s="10" t="s">
        <v>110</v>
      </c>
      <c r="E70" s="41" t="s">
        <v>414</v>
      </c>
      <c r="F70" s="10" t="s">
        <v>583</v>
      </c>
      <c r="G70" s="35" t="s">
        <v>253</v>
      </c>
    </row>
    <row r="71" spans="2:7" x14ac:dyDescent="0.25">
      <c r="B71" s="53"/>
      <c r="C71" s="10" t="s">
        <v>388</v>
      </c>
      <c r="D71" s="10" t="s">
        <v>110</v>
      </c>
      <c r="E71" s="41">
        <v>1</v>
      </c>
      <c r="F71" s="10" t="s">
        <v>390</v>
      </c>
      <c r="G71" s="35" t="s">
        <v>253</v>
      </c>
    </row>
    <row r="72" spans="2:7" x14ac:dyDescent="0.25">
      <c r="B72" s="53"/>
      <c r="C72" s="10" t="s">
        <v>389</v>
      </c>
      <c r="D72" s="10" t="s">
        <v>110</v>
      </c>
      <c r="E72" s="41">
        <v>1</v>
      </c>
      <c r="F72" s="10" t="s">
        <v>391</v>
      </c>
      <c r="G72" s="35" t="s">
        <v>161</v>
      </c>
    </row>
    <row r="73" spans="2:7" x14ac:dyDescent="0.25">
      <c r="B73" s="61" t="s">
        <v>343</v>
      </c>
      <c r="C73" s="62" t="s">
        <v>283</v>
      </c>
      <c r="D73" s="62" t="s">
        <v>80</v>
      </c>
      <c r="E73" s="22">
        <v>1</v>
      </c>
      <c r="F73" s="62" t="s">
        <v>344</v>
      </c>
      <c r="G73" s="63" t="s">
        <v>161</v>
      </c>
    </row>
    <row r="75" spans="2:7" ht="13" x14ac:dyDescent="0.3">
      <c r="B75" s="3"/>
      <c r="F75" s="18" t="s">
        <v>103</v>
      </c>
    </row>
    <row r="76" spans="2:7" ht="13" x14ac:dyDescent="0.3">
      <c r="B76" s="3"/>
      <c r="F76" s="18" t="s">
        <v>120</v>
      </c>
    </row>
    <row r="77" spans="2:7" ht="13" x14ac:dyDescent="0.3">
      <c r="B77" s="3"/>
      <c r="F77" s="18" t="s">
        <v>243</v>
      </c>
    </row>
    <row r="78" spans="2:7" ht="13" x14ac:dyDescent="0.3">
      <c r="F78" s="18" t="s">
        <v>241</v>
      </c>
    </row>
    <row r="79" spans="2:7" ht="13" x14ac:dyDescent="0.3">
      <c r="F79" s="18" t="s">
        <v>333</v>
      </c>
    </row>
    <row r="80" spans="2:7" ht="13" x14ac:dyDescent="0.3">
      <c r="F80" s="18" t="s">
        <v>331</v>
      </c>
    </row>
    <row r="81" spans="6:6" ht="13" x14ac:dyDescent="0.3">
      <c r="F81" s="18" t="s">
        <v>330</v>
      </c>
    </row>
    <row r="82" spans="6:6" ht="13" x14ac:dyDescent="0.3">
      <c r="F82" s="18" t="s">
        <v>306</v>
      </c>
    </row>
    <row r="83" spans="6:6" ht="13" x14ac:dyDescent="0.3">
      <c r="F83" s="18" t="s">
        <v>329</v>
      </c>
    </row>
    <row r="84" spans="6:6" ht="13" x14ac:dyDescent="0.3">
      <c r="F84" s="18" t="s">
        <v>326</v>
      </c>
    </row>
    <row r="85" spans="6:6" ht="13" x14ac:dyDescent="0.3">
      <c r="F85" s="18" t="s">
        <v>458</v>
      </c>
    </row>
    <row r="86" spans="6:6" ht="13" x14ac:dyDescent="0.3">
      <c r="F86" s="18" t="s">
        <v>398</v>
      </c>
    </row>
    <row r="87" spans="6:6" ht="13" x14ac:dyDescent="0.3">
      <c r="F87" s="18" t="s">
        <v>505</v>
      </c>
    </row>
    <row r="88" spans="6:6" ht="13" x14ac:dyDescent="0.3">
      <c r="F88" s="18" t="s">
        <v>515</v>
      </c>
    </row>
    <row r="89" spans="6:6" ht="13" x14ac:dyDescent="0.3">
      <c r="F89" s="18" t="s">
        <v>503</v>
      </c>
    </row>
    <row r="90" spans="6:6" ht="13" x14ac:dyDescent="0.3">
      <c r="F90" s="18" t="s">
        <v>431</v>
      </c>
    </row>
    <row r="91" spans="6:6" ht="13" x14ac:dyDescent="0.3">
      <c r="F91" s="18" t="s">
        <v>595</v>
      </c>
    </row>
    <row r="92" spans="6:6" ht="13" x14ac:dyDescent="0.3">
      <c r="F92" s="18" t="s">
        <v>692</v>
      </c>
    </row>
    <row r="93" spans="6:6" ht="13" x14ac:dyDescent="0.3">
      <c r="F93" s="18" t="s">
        <v>475</v>
      </c>
    </row>
    <row r="94" spans="6:6" ht="13" x14ac:dyDescent="0.3">
      <c r="F94" s="18" t="s">
        <v>710</v>
      </c>
    </row>
    <row r="96" spans="6:6" x14ac:dyDescent="0.25">
      <c r="F96" s="115" t="s">
        <v>833</v>
      </c>
    </row>
    <row r="97" spans="6:6" x14ac:dyDescent="0.25">
      <c r="F97" s="115" t="s">
        <v>834</v>
      </c>
    </row>
    <row r="98" spans="6:6" x14ac:dyDescent="0.25">
      <c r="F98" s="115"/>
    </row>
    <row r="99" spans="6:6" x14ac:dyDescent="0.25">
      <c r="F99" s="3" t="s">
        <v>855</v>
      </c>
    </row>
    <row r="100" spans="6:6" x14ac:dyDescent="0.25">
      <c r="F100" s="115" t="s">
        <v>841</v>
      </c>
    </row>
    <row r="101" spans="6:6" x14ac:dyDescent="0.25">
      <c r="F101" s="3" t="s">
        <v>946</v>
      </c>
    </row>
    <row r="102" spans="6:6" ht="13" x14ac:dyDescent="0.3">
      <c r="F102" s="17" t="s">
        <v>947</v>
      </c>
    </row>
    <row r="103" spans="6:6" x14ac:dyDescent="0.25">
      <c r="F103" s="115" t="s">
        <v>923</v>
      </c>
    </row>
    <row r="104" spans="6:6" x14ac:dyDescent="0.25">
      <c r="F104" s="115" t="s">
        <v>924</v>
      </c>
    </row>
    <row r="105" spans="6:6" x14ac:dyDescent="0.25">
      <c r="F105" s="115" t="s">
        <v>1002</v>
      </c>
    </row>
    <row r="106" spans="6:6" ht="13" x14ac:dyDescent="0.3">
      <c r="F106" s="121" t="s">
        <v>1001</v>
      </c>
    </row>
    <row r="107" spans="6:6" x14ac:dyDescent="0.25">
      <c r="F107" s="115"/>
    </row>
    <row r="108" spans="6:6" x14ac:dyDescent="0.25">
      <c r="F108" s="115"/>
    </row>
    <row r="109" spans="6:6" x14ac:dyDescent="0.25">
      <c r="F109" s="115"/>
    </row>
    <row r="110" spans="6:6" x14ac:dyDescent="0.25">
      <c r="F110" s="115"/>
    </row>
    <row r="111" spans="6:6" x14ac:dyDescent="0.25">
      <c r="F111" s="115"/>
    </row>
    <row r="112" spans="6:6" x14ac:dyDescent="0.25">
      <c r="F112" s="115"/>
    </row>
  </sheetData>
  <phoneticPr fontId="17" type="noConversion"/>
  <hyperlinks>
    <hyperlink ref="B28" location="Mircera!A1" display="Mircera (CERA)" xr:uid="{00000000-0004-0000-0200-000000000000}"/>
    <hyperlink ref="B14" location="Actemra!A1" display="Actemra" xr:uid="{00000000-0004-0000-0200-000001000000}"/>
    <hyperlink ref="B3" location="Avastin!A1" display="Avastin (bevacizumab)" xr:uid="{00000000-0004-0000-0200-000002000000}"/>
    <hyperlink ref="B5" location="MabThera!A1" display="MabThera/Rituxan" xr:uid="{00000000-0004-0000-0200-000003000000}"/>
    <hyperlink ref="B4" location="Herceptin!A1" display="Herceptin (trastuzumab)" xr:uid="{00000000-0004-0000-0200-000004000000}"/>
    <hyperlink ref="B12" location="Pegasys!A1" display="Pegasys (peginterferon alfa-2a)" xr:uid="{00000000-0004-0000-0200-000005000000}"/>
    <hyperlink ref="B10" location="Tarceva!A1" display="Tarceva (erlotinib)" xr:uid="{00000000-0004-0000-0200-000006000000}"/>
    <hyperlink ref="I13" location="Diagnostics!A1" display="Diagnostics" xr:uid="{00000000-0004-0000-0200-000009000000}"/>
    <hyperlink ref="I14" location="Failures!A1" display="Failures" xr:uid="{00000000-0004-0000-0200-00000A000000}"/>
    <hyperlink ref="B7" location="Tecentriq!A1" display="Tecentriq (atezolizumab)" xr:uid="{C7FB439F-D96B-4A7C-A1A3-DEBF4D4B91A8}"/>
    <hyperlink ref="B11" location="Lucentis!A1" display="Lucentis (ranibizumab)" xr:uid="{98F1104D-A5E2-4615-843A-9BC0949A0E4F}"/>
    <hyperlink ref="B26" location="Xeloda!A1" display="Xeloda (capecitabine)" xr:uid="{8F2B063A-3A15-4B1A-884E-2E99BF7876ED}"/>
    <hyperlink ref="B8" location="pertuzumab!A1" display="pertuzumab" xr:uid="{2102BCC2-8611-491C-B597-7B5693B26690}"/>
    <hyperlink ref="B13" location="Kadcyla!A1" display="Kadcyla (trastuzumab-DM1)" xr:uid="{0181DD6A-FC19-4133-B47A-15F0C3075EB5}"/>
    <hyperlink ref="B9" location="Ocrevus!A1" display="Ocrevus (ocrelizumab)" xr:uid="{04ABF57F-9F2D-412F-9F21-BE805E3FE321}"/>
    <hyperlink ref="B16" location="Polivy!A1" display="Polivy (polatuzumab vedotin)" xr:uid="{6AF5067F-A358-4F13-A8ED-CEB4A668A3F6}"/>
    <hyperlink ref="B6" location="Hemlibra!A1" display="Hemlibra" xr:uid="{057E581E-A1F4-5642-9D1B-72A6704C2D09}"/>
    <hyperlink ref="B32" location="tiragolumab!A1" display="RG6058 (tiragolumab)" xr:uid="{1AD505D8-4B83-4C31-819B-4E2178915B14}"/>
    <hyperlink ref="B24" location="Vabysmo!A1" display="Vabysmo (faricimab)" xr:uid="{13BD768C-4C0B-4B51-93F3-17E7B55F8F81}"/>
    <hyperlink ref="B25" location="Phesgo!A1" display="Phesgo (pertuzumab/trastuzumab)" xr:uid="{020C13B7-88D5-45D0-BDE0-EE2F16A3AB57}"/>
    <hyperlink ref="B19" location="Evrysdi!A1" display="Evrysdi" xr:uid="{9B8D2AE7-9267-451E-8A6C-2364E87F9B21}"/>
  </hyperlinks>
  <pageMargins left="0.18" right="0.17" top="0.33" bottom="0.31" header="0.17" footer="0.35"/>
  <pageSetup scale="55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D197"/>
  <sheetViews>
    <sheetView zoomScale="130" zoomScaleNormal="130" zoomScaleSheetLayoutView="100" workbookViewId="0">
      <pane xSplit="2" ySplit="2" topLeftCell="FF3" activePane="bottomRight" state="frozen"/>
      <selection activeCell="AT9" sqref="AT9"/>
      <selection pane="topRight" activeCell="AT9" sqref="AT9"/>
      <selection pane="bottomLeft" activeCell="AT9" sqref="AT9"/>
      <selection pane="bottomRight" activeCell="FG10" sqref="FG10"/>
    </sheetView>
  </sheetViews>
  <sheetFormatPr defaultColWidth="9.1796875" defaultRowHeight="12.5" x14ac:dyDescent="0.25"/>
  <cols>
    <col min="1" max="1" width="5" style="15" bestFit="1" customWidth="1"/>
    <col min="2" max="2" width="28.81640625" style="15" customWidth="1"/>
    <col min="3" max="6" width="7.81640625" style="23" customWidth="1"/>
    <col min="7" max="24" width="7.81640625" style="67" customWidth="1"/>
    <col min="25" max="25" width="7.81640625" style="25" customWidth="1"/>
    <col min="26" max="48" width="7.81640625" style="67" customWidth="1"/>
    <col min="49" max="49" width="9.1796875" style="93" customWidth="1"/>
    <col min="50" max="140" width="7.1796875" style="93" customWidth="1"/>
    <col min="141" max="141" width="1.7265625" style="5" customWidth="1"/>
    <col min="142" max="142" width="9.1796875" style="23" customWidth="1"/>
    <col min="143" max="147" width="8.26953125" style="23" bestFit="1" customWidth="1"/>
    <col min="148" max="155" width="8" style="23" customWidth="1"/>
    <col min="156" max="161" width="8" style="130" customWidth="1"/>
    <col min="162" max="162" width="7.81640625" style="131" customWidth="1" collapsed="1"/>
    <col min="163" max="163" width="7.81640625" style="1" customWidth="1" collapsed="1"/>
    <col min="164" max="165" width="7.81640625" style="131" customWidth="1" collapsed="1"/>
    <col min="166" max="168" width="9.1796875" style="15" collapsed="1"/>
    <col min="169" max="16384" width="9.1796875" style="15"/>
  </cols>
  <sheetData>
    <row r="1" spans="1:176" ht="13" x14ac:dyDescent="0.3">
      <c r="A1" s="34" t="s">
        <v>55</v>
      </c>
      <c r="B1" s="17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</row>
    <row r="2" spans="1:176" s="26" customFormat="1" ht="13" x14ac:dyDescent="0.3">
      <c r="B2" s="17" t="s">
        <v>340</v>
      </c>
      <c r="C2" s="23" t="s">
        <v>181</v>
      </c>
      <c r="D2" s="23" t="s">
        <v>180</v>
      </c>
      <c r="E2" s="23" t="s">
        <v>179</v>
      </c>
      <c r="F2" s="23" t="s">
        <v>178</v>
      </c>
      <c r="G2" s="23" t="s">
        <v>179</v>
      </c>
      <c r="H2" s="23" t="s">
        <v>178</v>
      </c>
      <c r="I2" s="25" t="s">
        <v>177</v>
      </c>
      <c r="J2" s="25" t="s">
        <v>176</v>
      </c>
      <c r="K2" s="25" t="s">
        <v>143</v>
      </c>
      <c r="L2" s="25" t="s">
        <v>144</v>
      </c>
      <c r="M2" s="25" t="s">
        <v>145</v>
      </c>
      <c r="N2" s="25" t="s">
        <v>159</v>
      </c>
      <c r="O2" s="25" t="s">
        <v>173</v>
      </c>
      <c r="P2" s="25" t="s">
        <v>174</v>
      </c>
      <c r="Q2" s="25" t="s">
        <v>334</v>
      </c>
      <c r="R2" s="25" t="s">
        <v>335</v>
      </c>
      <c r="S2" s="25" t="s">
        <v>592</v>
      </c>
      <c r="T2" s="25" t="s">
        <v>593</v>
      </c>
      <c r="U2" s="68" t="s">
        <v>694</v>
      </c>
      <c r="V2" s="68" t="s">
        <v>695</v>
      </c>
      <c r="W2" s="68" t="s">
        <v>713</v>
      </c>
      <c r="X2" s="68" t="s">
        <v>714</v>
      </c>
      <c r="Y2" s="68" t="s">
        <v>753</v>
      </c>
      <c r="Z2" s="68" t="s">
        <v>754</v>
      </c>
      <c r="AA2" s="68" t="s">
        <v>755</v>
      </c>
      <c r="AB2" s="68" t="s">
        <v>756</v>
      </c>
      <c r="AC2" s="68" t="s">
        <v>857</v>
      </c>
      <c r="AD2" s="68" t="s">
        <v>858</v>
      </c>
      <c r="AE2" s="68" t="s">
        <v>859</v>
      </c>
      <c r="AF2" s="68" t="s">
        <v>860</v>
      </c>
      <c r="AG2" s="68" t="s">
        <v>861</v>
      </c>
      <c r="AH2" s="68" t="s">
        <v>862</v>
      </c>
      <c r="AI2" s="68" t="s">
        <v>863</v>
      </c>
      <c r="AJ2" s="68" t="s">
        <v>864</v>
      </c>
      <c r="AK2" s="68" t="s">
        <v>865</v>
      </c>
      <c r="AL2" s="68" t="s">
        <v>866</v>
      </c>
      <c r="AM2" s="68" t="s">
        <v>867</v>
      </c>
      <c r="AN2" s="68" t="s">
        <v>868</v>
      </c>
      <c r="AO2" s="68" t="s">
        <v>869</v>
      </c>
      <c r="AP2" s="68" t="s">
        <v>870</v>
      </c>
      <c r="AQ2" s="68" t="s">
        <v>871</v>
      </c>
      <c r="AR2" s="68" t="s">
        <v>872</v>
      </c>
      <c r="AS2" s="68"/>
      <c r="AT2" s="68"/>
      <c r="AU2" s="68"/>
      <c r="AV2" s="68"/>
      <c r="AW2" s="93"/>
      <c r="AX2" s="93" t="s">
        <v>157</v>
      </c>
      <c r="AY2" s="93" t="s">
        <v>156</v>
      </c>
      <c r="AZ2" s="93" t="s">
        <v>155</v>
      </c>
      <c r="BA2" s="93" t="s">
        <v>154</v>
      </c>
      <c r="BB2" s="93" t="s">
        <v>153</v>
      </c>
      <c r="BC2" s="93" t="s">
        <v>152</v>
      </c>
      <c r="BD2" s="93" t="s">
        <v>151</v>
      </c>
      <c r="BE2" s="93" t="s">
        <v>150</v>
      </c>
      <c r="BF2" s="93" t="s">
        <v>131</v>
      </c>
      <c r="BG2" s="93" t="s">
        <v>160</v>
      </c>
      <c r="BH2" s="93" t="s">
        <v>132</v>
      </c>
      <c r="BI2" s="93" t="s">
        <v>133</v>
      </c>
      <c r="BJ2" s="93" t="s">
        <v>134</v>
      </c>
      <c r="BK2" s="93" t="s">
        <v>135</v>
      </c>
      <c r="BL2" s="93" t="s">
        <v>136</v>
      </c>
      <c r="BM2" s="93" t="s">
        <v>137</v>
      </c>
      <c r="BN2" s="93" t="s">
        <v>195</v>
      </c>
      <c r="BO2" s="93" t="s">
        <v>196</v>
      </c>
      <c r="BP2" s="93" t="s">
        <v>197</v>
      </c>
      <c r="BQ2" s="93" t="s">
        <v>198</v>
      </c>
      <c r="BR2" s="44" t="s">
        <v>301</v>
      </c>
      <c r="BS2" s="44" t="s">
        <v>302</v>
      </c>
      <c r="BT2" s="44" t="s">
        <v>303</v>
      </c>
      <c r="BU2" s="44" t="s">
        <v>304</v>
      </c>
      <c r="BV2" s="52" t="s">
        <v>578</v>
      </c>
      <c r="BW2" s="52" t="s">
        <v>678</v>
      </c>
      <c r="BX2" s="52" t="s">
        <v>683</v>
      </c>
      <c r="BY2" s="52" t="s">
        <v>684</v>
      </c>
      <c r="BZ2" s="52" t="s">
        <v>685</v>
      </c>
      <c r="CA2" s="52" t="s">
        <v>686</v>
      </c>
      <c r="CB2" s="52" t="s">
        <v>687</v>
      </c>
      <c r="CC2" s="52" t="s">
        <v>688</v>
      </c>
      <c r="CD2" s="52" t="s">
        <v>715</v>
      </c>
      <c r="CE2" s="52" t="s">
        <v>716</v>
      </c>
      <c r="CF2" s="52" t="s">
        <v>717</v>
      </c>
      <c r="CG2" s="52" t="s">
        <v>718</v>
      </c>
      <c r="CH2" s="52" t="s">
        <v>724</v>
      </c>
      <c r="CI2" s="52" t="s">
        <v>725</v>
      </c>
      <c r="CJ2" s="52" t="s">
        <v>726</v>
      </c>
      <c r="CK2" s="52" t="s">
        <v>727</v>
      </c>
      <c r="CL2" s="52" t="s">
        <v>746</v>
      </c>
      <c r="CM2" s="52" t="s">
        <v>747</v>
      </c>
      <c r="CN2" s="52" t="s">
        <v>748</v>
      </c>
      <c r="CO2" s="52" t="s">
        <v>749</v>
      </c>
      <c r="CP2" s="52" t="s">
        <v>760</v>
      </c>
      <c r="CQ2" s="52" t="s">
        <v>761</v>
      </c>
      <c r="CR2" s="52" t="s">
        <v>762</v>
      </c>
      <c r="CS2" s="52" t="s">
        <v>763</v>
      </c>
      <c r="CT2" s="52" t="s">
        <v>764</v>
      </c>
      <c r="CU2" s="52" t="s">
        <v>765</v>
      </c>
      <c r="CV2" s="52" t="s">
        <v>766</v>
      </c>
      <c r="CW2" s="52" t="s">
        <v>767</v>
      </c>
      <c r="CX2" s="52" t="s">
        <v>768</v>
      </c>
      <c r="CY2" s="52" t="s">
        <v>769</v>
      </c>
      <c r="CZ2" s="52" t="s">
        <v>770</v>
      </c>
      <c r="DA2" s="52" t="s">
        <v>771</v>
      </c>
      <c r="DB2" s="52" t="s">
        <v>772</v>
      </c>
      <c r="DC2" s="52" t="s">
        <v>773</v>
      </c>
      <c r="DD2" s="52" t="s">
        <v>774</v>
      </c>
      <c r="DE2" s="52" t="s">
        <v>775</v>
      </c>
      <c r="DF2" s="52" t="s">
        <v>776</v>
      </c>
      <c r="DG2" s="52" t="s">
        <v>777</v>
      </c>
      <c r="DH2" s="52" t="s">
        <v>778</v>
      </c>
      <c r="DI2" s="52" t="s">
        <v>779</v>
      </c>
      <c r="DJ2" s="52" t="s">
        <v>780</v>
      </c>
      <c r="DK2" s="52" t="s">
        <v>781</v>
      </c>
      <c r="DL2" s="52" t="s">
        <v>782</v>
      </c>
      <c r="DM2" s="52" t="s">
        <v>783</v>
      </c>
      <c r="DN2" s="52" t="s">
        <v>784</v>
      </c>
      <c r="DO2" s="52" t="s">
        <v>785</v>
      </c>
      <c r="DP2" s="52" t="s">
        <v>786</v>
      </c>
      <c r="DQ2" s="52" t="s">
        <v>787</v>
      </c>
      <c r="DR2" s="52" t="s">
        <v>788</v>
      </c>
      <c r="DS2" s="52" t="s">
        <v>789</v>
      </c>
      <c r="DT2" s="52" t="s">
        <v>790</v>
      </c>
      <c r="DU2" s="52" t="s">
        <v>791</v>
      </c>
      <c r="DV2" s="52" t="s">
        <v>873</v>
      </c>
      <c r="DW2" s="52" t="s">
        <v>874</v>
      </c>
      <c r="DX2" s="52" t="s">
        <v>875</v>
      </c>
      <c r="DY2" s="52" t="s">
        <v>876</v>
      </c>
      <c r="DZ2" s="52" t="s">
        <v>925</v>
      </c>
      <c r="EA2" s="52" t="s">
        <v>926</v>
      </c>
      <c r="EB2" s="52" t="s">
        <v>927</v>
      </c>
      <c r="EC2" s="52" t="s">
        <v>928</v>
      </c>
      <c r="ED2" s="52" t="s">
        <v>1023</v>
      </c>
      <c r="EE2" s="52" t="s">
        <v>1024</v>
      </c>
      <c r="EF2" s="52" t="s">
        <v>1025</v>
      </c>
      <c r="EG2" s="52" t="s">
        <v>1026</v>
      </c>
      <c r="EH2" s="52"/>
      <c r="EI2" s="52"/>
      <c r="EJ2" s="52"/>
      <c r="EK2" s="5"/>
      <c r="EL2" s="45">
        <v>2001</v>
      </c>
      <c r="EM2" s="45">
        <v>2002</v>
      </c>
      <c r="EN2" s="45">
        <v>2003</v>
      </c>
      <c r="EO2" s="45">
        <v>2004</v>
      </c>
      <c r="EP2" s="45">
        <v>2005</v>
      </c>
      <c r="EQ2" s="45">
        <v>2006</v>
      </c>
      <c r="ER2" s="45">
        <v>2007</v>
      </c>
      <c r="ES2" s="45">
        <f>ER2+1</f>
        <v>2008</v>
      </c>
      <c r="ET2" s="45">
        <f t="shared" ref="ET2:FE2" si="0">ES2+1</f>
        <v>2009</v>
      </c>
      <c r="EU2" s="45">
        <f t="shared" si="0"/>
        <v>2010</v>
      </c>
      <c r="EV2" s="45">
        <f t="shared" si="0"/>
        <v>2011</v>
      </c>
      <c r="EW2" s="45">
        <f t="shared" si="0"/>
        <v>2012</v>
      </c>
      <c r="EX2" s="45">
        <f t="shared" si="0"/>
        <v>2013</v>
      </c>
      <c r="EY2" s="45">
        <f t="shared" si="0"/>
        <v>2014</v>
      </c>
      <c r="EZ2" s="132">
        <f t="shared" si="0"/>
        <v>2015</v>
      </c>
      <c r="FA2" s="132">
        <f t="shared" si="0"/>
        <v>2016</v>
      </c>
      <c r="FB2" s="132">
        <f t="shared" si="0"/>
        <v>2017</v>
      </c>
      <c r="FC2" s="132">
        <f t="shared" si="0"/>
        <v>2018</v>
      </c>
      <c r="FD2" s="132">
        <f t="shared" si="0"/>
        <v>2019</v>
      </c>
      <c r="FE2" s="132">
        <f t="shared" si="0"/>
        <v>2020</v>
      </c>
      <c r="FF2" s="132">
        <f t="shared" ref="FF2" si="1">FE2+1</f>
        <v>2021</v>
      </c>
      <c r="FG2" s="132">
        <f t="shared" ref="FG2" si="2">FF2+1</f>
        <v>2022</v>
      </c>
      <c r="FH2" s="132">
        <f t="shared" ref="FH2" si="3">FG2+1</f>
        <v>2023</v>
      </c>
      <c r="FI2" s="132">
        <f t="shared" ref="FI2" si="4">FH2+1</f>
        <v>2024</v>
      </c>
      <c r="FJ2" s="45">
        <f t="shared" ref="FJ2" si="5">FI2+1</f>
        <v>2025</v>
      </c>
      <c r="FK2" s="45">
        <f t="shared" ref="FK2" si="6">FJ2+1</f>
        <v>2026</v>
      </c>
      <c r="FL2" s="45">
        <f t="shared" ref="FL2" si="7">FK2+1</f>
        <v>2027</v>
      </c>
      <c r="FM2" s="45">
        <f t="shared" ref="FM2" si="8">FL2+1</f>
        <v>2028</v>
      </c>
      <c r="FN2" s="45">
        <f t="shared" ref="FN2" si="9">FM2+1</f>
        <v>2029</v>
      </c>
      <c r="FO2" s="45">
        <f t="shared" ref="FO2" si="10">FN2+1</f>
        <v>2030</v>
      </c>
      <c r="FP2" s="45">
        <f t="shared" ref="FP2:FT2" si="11">FO2+1</f>
        <v>2031</v>
      </c>
      <c r="FQ2" s="45">
        <f t="shared" si="11"/>
        <v>2032</v>
      </c>
      <c r="FR2" s="45">
        <f t="shared" si="11"/>
        <v>2033</v>
      </c>
      <c r="FS2" s="45">
        <f t="shared" si="11"/>
        <v>2034</v>
      </c>
      <c r="FT2" s="45">
        <f t="shared" si="11"/>
        <v>2035</v>
      </c>
    </row>
    <row r="3" spans="1:176" s="26" customFormat="1" ht="13" x14ac:dyDescent="0.3">
      <c r="B3" s="17" t="s">
        <v>484</v>
      </c>
      <c r="C3" s="23"/>
      <c r="D3" s="23"/>
      <c r="E3" s="23"/>
      <c r="F3" s="23"/>
      <c r="G3" s="23"/>
      <c r="H3" s="23"/>
      <c r="I3" s="25"/>
      <c r="J3" s="25"/>
      <c r="K3" s="25"/>
      <c r="L3" s="25"/>
      <c r="M3" s="25"/>
      <c r="N3" s="25"/>
      <c r="O3" s="25"/>
      <c r="P3" s="25"/>
      <c r="Q3" s="66">
        <f>SUM(Q22:Q69)</f>
        <v>19477</v>
      </c>
      <c r="R3" s="25">
        <f>BT3+BU3</f>
        <v>20063</v>
      </c>
      <c r="S3" s="25">
        <f>BU3+BV3</f>
        <v>15303</v>
      </c>
      <c r="T3" s="25">
        <f>37058-S3</f>
        <v>21755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93"/>
      <c r="AX3" s="66">
        <f t="shared" ref="AX3:BK3" si="12">SUM(AX22:AX69)</f>
        <v>4069.9046424090338</v>
      </c>
      <c r="AY3" s="66">
        <f t="shared" si="12"/>
        <v>4173.6097867001254</v>
      </c>
      <c r="AZ3" s="66">
        <f t="shared" si="12"/>
        <v>4166.2823086574654</v>
      </c>
      <c r="BA3" s="66">
        <f t="shared" si="12"/>
        <v>4238</v>
      </c>
      <c r="BB3" s="66">
        <f t="shared" si="12"/>
        <v>4755</v>
      </c>
      <c r="BC3" s="66">
        <f t="shared" si="12"/>
        <v>4932.7282626022334</v>
      </c>
      <c r="BD3" s="66">
        <f t="shared" si="12"/>
        <v>5009.2717373977657</v>
      </c>
      <c r="BE3" s="66">
        <f t="shared" si="12"/>
        <v>5887</v>
      </c>
      <c r="BF3" s="66">
        <f t="shared" si="12"/>
        <v>5602</v>
      </c>
      <c r="BG3" s="66">
        <f t="shared" si="12"/>
        <v>5550</v>
      </c>
      <c r="BH3" s="66">
        <f t="shared" si="12"/>
        <v>6038.2578675886843</v>
      </c>
      <c r="BI3" s="66">
        <f t="shared" si="12"/>
        <v>6461.146521744965</v>
      </c>
      <c r="BJ3" s="66">
        <f t="shared" si="12"/>
        <v>5116</v>
      </c>
      <c r="BK3" s="66">
        <f t="shared" si="12"/>
        <v>4939</v>
      </c>
      <c r="BL3" s="66">
        <f t="shared" ref="BL3:BU3" si="13">SUM(BL22:BL70)</f>
        <v>9212</v>
      </c>
      <c r="BM3" s="66">
        <f t="shared" si="13"/>
        <v>10011</v>
      </c>
      <c r="BN3" s="66">
        <f t="shared" si="13"/>
        <v>8795</v>
      </c>
      <c r="BO3" s="66">
        <f t="shared" si="13"/>
        <v>8902</v>
      </c>
      <c r="BP3" s="66">
        <f t="shared" si="13"/>
        <v>9138</v>
      </c>
      <c r="BQ3" s="66">
        <f t="shared" si="13"/>
        <v>9972</v>
      </c>
      <c r="BR3" s="66">
        <f t="shared" si="13"/>
        <v>9396</v>
      </c>
      <c r="BS3" s="66">
        <f t="shared" si="13"/>
        <v>10081</v>
      </c>
      <c r="BT3" s="66">
        <f t="shared" si="13"/>
        <v>10101</v>
      </c>
      <c r="BU3" s="66">
        <f t="shared" si="13"/>
        <v>9962</v>
      </c>
      <c r="BV3" s="66">
        <f>SUM(BV22:BV69)</f>
        <v>5341</v>
      </c>
      <c r="BW3" s="66">
        <f t="shared" ref="BW3:CC3" si="14">SUM(BW22:BW70)</f>
        <v>9659</v>
      </c>
      <c r="BX3" s="66">
        <f t="shared" si="14"/>
        <v>9009</v>
      </c>
      <c r="BY3" s="66">
        <f t="shared" si="14"/>
        <v>8663</v>
      </c>
      <c r="BZ3" s="66">
        <f t="shared" si="14"/>
        <v>8712</v>
      </c>
      <c r="CA3" s="66">
        <f t="shared" si="14"/>
        <v>8103</v>
      </c>
      <c r="CB3" s="66">
        <f t="shared" si="14"/>
        <v>7582</v>
      </c>
      <c r="CC3" s="66">
        <f t="shared" si="14"/>
        <v>8397</v>
      </c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>
        <f t="shared" ref="DN3:DZ3" si="15">SUM(DN9:DN69)</f>
        <v>9557</v>
      </c>
      <c r="DO3" s="66">
        <f t="shared" si="15"/>
        <v>10001</v>
      </c>
      <c r="DP3" s="66">
        <f t="shared" si="15"/>
        <v>10547</v>
      </c>
      <c r="DQ3" s="66">
        <f t="shared" si="15"/>
        <v>10511</v>
      </c>
      <c r="DR3" s="66">
        <f t="shared" si="15"/>
        <v>11159</v>
      </c>
      <c r="DS3" s="66">
        <f t="shared" si="15"/>
        <v>10082</v>
      </c>
      <c r="DT3" s="66">
        <f t="shared" si="15"/>
        <v>9636</v>
      </c>
      <c r="DU3" s="66">
        <f t="shared" si="15"/>
        <v>11088</v>
      </c>
      <c r="DV3" s="66">
        <f t="shared" si="15"/>
        <v>10573</v>
      </c>
      <c r="DW3" s="66">
        <f t="shared" si="15"/>
        <v>9974</v>
      </c>
      <c r="DX3" s="66">
        <f t="shared" si="15"/>
        <v>9893</v>
      </c>
      <c r="DY3" s="66">
        <f t="shared" si="15"/>
        <v>10085</v>
      </c>
      <c r="DZ3" s="66">
        <f t="shared" si="15"/>
        <v>10921</v>
      </c>
      <c r="EA3" s="66">
        <v>11716</v>
      </c>
      <c r="EB3" s="66">
        <v>11620</v>
      </c>
      <c r="EC3" s="66">
        <v>11914</v>
      </c>
      <c r="ED3" s="66"/>
      <c r="EE3" s="66"/>
      <c r="EF3" s="66"/>
      <c r="EG3" s="66"/>
      <c r="EH3" s="66"/>
      <c r="EI3" s="66"/>
      <c r="EJ3" s="66"/>
      <c r="EK3" s="5"/>
      <c r="EL3" s="66">
        <f t="shared" ref="EL3:ES3" si="16">SUM(EL22:EL69)</f>
        <v>14673</v>
      </c>
      <c r="EM3" s="66">
        <f t="shared" si="16"/>
        <v>14294</v>
      </c>
      <c r="EN3" s="66">
        <f t="shared" si="16"/>
        <v>15796</v>
      </c>
      <c r="EO3" s="66">
        <f t="shared" si="16"/>
        <v>16647.796737766625</v>
      </c>
      <c r="EP3" s="66">
        <f t="shared" si="16"/>
        <v>20584</v>
      </c>
      <c r="EQ3" s="66">
        <f t="shared" si="16"/>
        <v>22785.404389333649</v>
      </c>
      <c r="ER3" s="66">
        <f t="shared" si="16"/>
        <v>20074</v>
      </c>
      <c r="ES3" s="66">
        <f t="shared" si="16"/>
        <v>19186</v>
      </c>
      <c r="ET3" s="66">
        <f>SUM(ET22:ET70)</f>
        <v>39540</v>
      </c>
      <c r="EU3" s="66">
        <f>SUM(EU22:EU70)</f>
        <v>36911</v>
      </c>
      <c r="EV3" s="68">
        <f t="shared" ref="EV3:EV8" si="17">SUM(BZ3:CC3)</f>
        <v>32794</v>
      </c>
      <c r="EW3" s="66">
        <f t="shared" ref="EW3:FD3" si="18">SUM(EW22:EW70)</f>
        <v>17131</v>
      </c>
      <c r="EX3" s="66">
        <f t="shared" si="18"/>
        <v>20887</v>
      </c>
      <c r="EY3" s="66">
        <f t="shared" si="18"/>
        <v>19868</v>
      </c>
      <c r="EZ3" s="129">
        <f t="shared" si="18"/>
        <v>18825</v>
      </c>
      <c r="FA3" s="129">
        <f t="shared" si="18"/>
        <v>19149</v>
      </c>
      <c r="FB3" s="129">
        <f t="shared" si="18"/>
        <v>18322</v>
      </c>
      <c r="FC3" s="129">
        <f t="shared" si="18"/>
        <v>18423</v>
      </c>
      <c r="FD3" s="129">
        <f t="shared" si="18"/>
        <v>18966</v>
      </c>
      <c r="FE3" s="129">
        <f>SUM(FE9:FE70)</f>
        <v>44532</v>
      </c>
      <c r="FF3" s="129">
        <f>SUM(FF9:FF70)</f>
        <v>45041</v>
      </c>
      <c r="FG3" s="129">
        <f>SUM(FG9:FG70)</f>
        <v>42549</v>
      </c>
      <c r="FH3" s="129">
        <f>SUM(FH9:FH70)</f>
        <v>45711</v>
      </c>
      <c r="FI3" s="129">
        <f>SUM(FI9:FI70)</f>
        <v>47329</v>
      </c>
    </row>
    <row r="4" spans="1:176" s="26" customFormat="1" ht="13" x14ac:dyDescent="0.3">
      <c r="B4" s="17" t="s">
        <v>579</v>
      </c>
      <c r="C4" s="46"/>
      <c r="D4" s="46"/>
      <c r="E4" s="24">
        <v>2051</v>
      </c>
      <c r="F4" s="24">
        <v>2470</v>
      </c>
      <c r="G4" s="24"/>
      <c r="H4" s="24"/>
      <c r="I4" s="27">
        <v>2867</v>
      </c>
      <c r="J4" s="27">
        <f>6614-I4</f>
        <v>3747</v>
      </c>
      <c r="K4" s="27">
        <v>4223</v>
      </c>
      <c r="L4" s="27">
        <f>9125-K4</f>
        <v>4902</v>
      </c>
      <c r="M4" s="27">
        <v>5227</v>
      </c>
      <c r="N4" s="27">
        <f>10414-M4</f>
        <v>5187</v>
      </c>
      <c r="O4" s="27">
        <v>4867</v>
      </c>
      <c r="P4" s="27">
        <f>10461-O4</f>
        <v>5594</v>
      </c>
      <c r="Q4" s="27">
        <v>7516</v>
      </c>
      <c r="R4" s="27">
        <f>BT4+BU4</f>
        <v>7289</v>
      </c>
      <c r="S4" s="27">
        <v>7372</v>
      </c>
      <c r="T4" s="27">
        <f>14071-S4</f>
        <v>6699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48"/>
      <c r="AX4" s="46"/>
      <c r="AY4" s="46"/>
      <c r="AZ4" s="46"/>
      <c r="BA4" s="46"/>
      <c r="BB4" s="24"/>
      <c r="BC4" s="24"/>
      <c r="BD4" s="24"/>
      <c r="BE4" s="24">
        <v>1982</v>
      </c>
      <c r="BF4" s="24">
        <v>2056</v>
      </c>
      <c r="BG4" s="24">
        <v>2167</v>
      </c>
      <c r="BH4" s="24">
        <v>2299</v>
      </c>
      <c r="BI4" s="24">
        <v>2603</v>
      </c>
      <c r="BJ4" s="24">
        <v>2547</v>
      </c>
      <c r="BK4" s="24">
        <v>2680</v>
      </c>
      <c r="BL4" s="24">
        <v>2623</v>
      </c>
      <c r="BM4" s="24">
        <v>2564</v>
      </c>
      <c r="BN4" s="24">
        <v>3326</v>
      </c>
      <c r="BO4" s="24">
        <v>2468</v>
      </c>
      <c r="BP4" s="24">
        <v>2669</v>
      </c>
      <c r="BQ4" s="24">
        <v>2925</v>
      </c>
      <c r="BR4" s="24">
        <v>3586</v>
      </c>
      <c r="BS4" s="24">
        <f>7516-BR4</f>
        <v>3930</v>
      </c>
      <c r="BT4" s="24">
        <f>11157-BS4-BR4</f>
        <v>3641</v>
      </c>
      <c r="BU4" s="24">
        <v>3648</v>
      </c>
      <c r="BV4" s="24">
        <v>3647</v>
      </c>
      <c r="BW4" s="24">
        <v>3725</v>
      </c>
      <c r="BX4" s="24">
        <v>3506</v>
      </c>
      <c r="BY4" s="24">
        <v>3193</v>
      </c>
      <c r="BZ4" s="24">
        <v>3322</v>
      </c>
      <c r="CA4" s="24">
        <v>2963</v>
      </c>
      <c r="CB4" s="24">
        <v>2819</v>
      </c>
      <c r="CC4" s="24">
        <v>3119</v>
      </c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17"/>
      <c r="EL4" s="27">
        <v>2866</v>
      </c>
      <c r="EM4" s="27">
        <v>3250</v>
      </c>
      <c r="EN4" s="27">
        <v>3382</v>
      </c>
      <c r="EO4" s="27">
        <v>4521</v>
      </c>
      <c r="EP4" s="27">
        <v>6614</v>
      </c>
      <c r="EQ4" s="27">
        <f>SUM(K4:L4)</f>
        <v>9125</v>
      </c>
      <c r="ER4" s="27">
        <f>SUM(M4:N4)</f>
        <v>10414</v>
      </c>
      <c r="ES4" s="27">
        <f>SUM(O4:P4)</f>
        <v>10461</v>
      </c>
      <c r="ET4" s="27">
        <f t="shared" ref="ET4:ET22" si="19">SUM(BR4:BU4)</f>
        <v>14805</v>
      </c>
      <c r="EU4" s="27">
        <f t="shared" ref="EU4:EU52" si="20">SUM(BV4:BY4)</f>
        <v>14071</v>
      </c>
      <c r="EV4" s="27">
        <f t="shared" si="17"/>
        <v>12223</v>
      </c>
      <c r="EW4" s="27"/>
      <c r="EX4" s="27"/>
      <c r="EY4" s="27"/>
      <c r="EZ4" s="125"/>
      <c r="FA4" s="125"/>
      <c r="FB4" s="125"/>
      <c r="FC4" s="125"/>
      <c r="FD4" s="125"/>
      <c r="FE4" s="125"/>
      <c r="FF4" s="64"/>
      <c r="FG4" s="40"/>
      <c r="FH4" s="133">
        <v>23259</v>
      </c>
      <c r="FI4" s="133">
        <v>24774</v>
      </c>
    </row>
    <row r="5" spans="1:176" s="26" customFormat="1" ht="13" x14ac:dyDescent="0.3">
      <c r="B5" s="17" t="s">
        <v>19</v>
      </c>
      <c r="C5" s="24"/>
      <c r="D5" s="24"/>
      <c r="E5" s="24"/>
      <c r="F5" s="24"/>
      <c r="G5" s="24"/>
      <c r="H5" s="24"/>
      <c r="I5" s="27">
        <v>1807</v>
      </c>
      <c r="J5" s="27">
        <f>3699-I5</f>
        <v>1892</v>
      </c>
      <c r="K5" s="27">
        <v>1684</v>
      </c>
      <c r="L5" s="27">
        <f>3503-K5</f>
        <v>1819</v>
      </c>
      <c r="M5" s="27">
        <v>1674</v>
      </c>
      <c r="N5" s="27">
        <f>3399-M5</f>
        <v>1725</v>
      </c>
      <c r="O5" s="27">
        <v>1452</v>
      </c>
      <c r="P5" s="27">
        <f>3336-O5</f>
        <v>1884</v>
      </c>
      <c r="Q5" s="27">
        <v>2184</v>
      </c>
      <c r="R5" s="27">
        <f t="shared" ref="R5:R6" si="21">BT5+BU5</f>
        <v>2581</v>
      </c>
      <c r="S5" s="27">
        <v>2061</v>
      </c>
      <c r="T5" s="27">
        <f>4319-S5</f>
        <v>2258</v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48"/>
      <c r="AX5" s="24">
        <v>748</v>
      </c>
      <c r="AY5" s="24">
        <v>807</v>
      </c>
      <c r="AZ5" s="24">
        <v>767</v>
      </c>
      <c r="BA5" s="24">
        <v>881</v>
      </c>
      <c r="BB5" s="24">
        <v>955</v>
      </c>
      <c r="BC5" s="24">
        <v>852</v>
      </c>
      <c r="BD5" s="24">
        <v>826</v>
      </c>
      <c r="BE5" s="24">
        <v>1066</v>
      </c>
      <c r="BF5" s="24">
        <v>862</v>
      </c>
      <c r="BG5" s="24">
        <v>822</v>
      </c>
      <c r="BH5" s="24">
        <v>841.78159705624148</v>
      </c>
      <c r="BI5" s="24">
        <v>1017.5078900940982</v>
      </c>
      <c r="BJ5" s="24">
        <v>893</v>
      </c>
      <c r="BK5" s="24">
        <v>781</v>
      </c>
      <c r="BL5" s="24">
        <v>808</v>
      </c>
      <c r="BM5" s="24">
        <v>917</v>
      </c>
      <c r="BN5" s="24">
        <v>671</v>
      </c>
      <c r="BO5" s="24">
        <v>781</v>
      </c>
      <c r="BP5" s="24">
        <v>782</v>
      </c>
      <c r="BQ5" s="24">
        <v>1102</v>
      </c>
      <c r="BR5" s="24">
        <v>1139</v>
      </c>
      <c r="BS5" s="24">
        <f>2184-BR5</f>
        <v>1045</v>
      </c>
      <c r="BT5" s="24">
        <f>3490-BS5-BR5</f>
        <v>1306</v>
      </c>
      <c r="BU5" s="24">
        <v>1275</v>
      </c>
      <c r="BV5" s="24">
        <v>988</v>
      </c>
      <c r="BW5" s="24">
        <v>1073</v>
      </c>
      <c r="BX5" s="24">
        <v>1076</v>
      </c>
      <c r="BY5" s="24">
        <v>1182</v>
      </c>
      <c r="BZ5" s="24">
        <v>903</v>
      </c>
      <c r="CA5" s="24">
        <v>928</v>
      </c>
      <c r="CB5" s="24">
        <v>881</v>
      </c>
      <c r="CC5" s="24">
        <v>1105</v>
      </c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17"/>
      <c r="EL5" s="27">
        <v>1000</v>
      </c>
      <c r="EM5" s="27">
        <v>1585</v>
      </c>
      <c r="EN5" s="27">
        <v>3156</v>
      </c>
      <c r="EO5" s="27">
        <f>SUM(AX5:BA5)</f>
        <v>3203</v>
      </c>
      <c r="EP5" s="27">
        <f>SUM(BB5:BE5)</f>
        <v>3699</v>
      </c>
      <c r="EQ5" s="27">
        <f>SUM(K5:L5)</f>
        <v>3503</v>
      </c>
      <c r="ER5" s="27">
        <f t="shared" ref="ER5:ER51" si="22">SUM(M5:N5)</f>
        <v>3399</v>
      </c>
      <c r="ES5" s="27">
        <f>SUM(O5:P5)</f>
        <v>3336</v>
      </c>
      <c r="ET5" s="27">
        <f t="shared" si="19"/>
        <v>4765</v>
      </c>
      <c r="EU5" s="27">
        <f t="shared" si="20"/>
        <v>4319</v>
      </c>
      <c r="EV5" s="27">
        <f t="shared" si="17"/>
        <v>3817</v>
      </c>
      <c r="EW5" s="27"/>
      <c r="EX5" s="27"/>
      <c r="EY5" s="27"/>
      <c r="EZ5" s="125"/>
      <c r="FA5" s="125"/>
      <c r="FB5" s="125"/>
      <c r="FC5" s="125"/>
      <c r="FD5" s="125"/>
      <c r="FE5" s="125"/>
      <c r="FF5" s="64"/>
      <c r="FG5" s="40"/>
      <c r="FH5" s="133">
        <v>3745</v>
      </c>
      <c r="FI5" s="133">
        <v>2874</v>
      </c>
    </row>
    <row r="6" spans="1:176" s="26" customFormat="1" ht="13" x14ac:dyDescent="0.3">
      <c r="B6" s="17" t="s">
        <v>41</v>
      </c>
      <c r="C6" s="24"/>
      <c r="D6" s="24"/>
      <c r="E6" s="24"/>
      <c r="F6" s="24"/>
      <c r="G6" s="24"/>
      <c r="H6" s="24"/>
      <c r="I6" s="27">
        <v>3970</v>
      </c>
      <c r="J6" s="27">
        <f>8243-I6</f>
        <v>4273</v>
      </c>
      <c r="K6" s="27">
        <v>4272</v>
      </c>
      <c r="L6" s="27">
        <f>8747-K6</f>
        <v>4475</v>
      </c>
      <c r="M6" s="27">
        <v>4559</v>
      </c>
      <c r="N6" s="27">
        <f>9350-M6</f>
        <v>4791</v>
      </c>
      <c r="O6" s="27">
        <v>4747</v>
      </c>
      <c r="P6" s="27">
        <f>9656-O6</f>
        <v>4909</v>
      </c>
      <c r="Q6" s="27">
        <v>4902</v>
      </c>
      <c r="R6" s="27">
        <f t="shared" si="21"/>
        <v>5153</v>
      </c>
      <c r="S6" s="27">
        <v>5250</v>
      </c>
      <c r="T6" s="27">
        <f>10415-S6</f>
        <v>5165</v>
      </c>
      <c r="U6" s="27">
        <v>4856</v>
      </c>
      <c r="V6" s="27">
        <f>9737-U6</f>
        <v>4881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48"/>
      <c r="AX6" s="48"/>
      <c r="AY6" s="24"/>
      <c r="AZ6" s="24"/>
      <c r="BA6" s="24"/>
      <c r="BB6" s="24"/>
      <c r="BC6" s="24"/>
      <c r="BD6" s="24"/>
      <c r="BE6" s="24">
        <v>2235</v>
      </c>
      <c r="BF6" s="24">
        <v>2091</v>
      </c>
      <c r="BG6" s="24">
        <v>2181</v>
      </c>
      <c r="BH6" s="24">
        <v>2143</v>
      </c>
      <c r="BI6" s="24">
        <v>2332</v>
      </c>
      <c r="BJ6" s="24">
        <v>2216</v>
      </c>
      <c r="BK6" s="24">
        <v>2343</v>
      </c>
      <c r="BL6" s="24">
        <v>2264</v>
      </c>
      <c r="BM6" s="24">
        <v>2527</v>
      </c>
      <c r="BN6" s="24">
        <v>2287</v>
      </c>
      <c r="BO6" s="24">
        <v>2460</v>
      </c>
      <c r="BP6" s="24">
        <v>2365</v>
      </c>
      <c r="BQ6" s="24">
        <v>2544</v>
      </c>
      <c r="BR6" s="24">
        <v>2361</v>
      </c>
      <c r="BS6" s="24">
        <f>4902-BR6</f>
        <v>2541</v>
      </c>
      <c r="BT6" s="24">
        <f>7365-BS6-BR6</f>
        <v>2463</v>
      </c>
      <c r="BU6" s="24">
        <v>2690</v>
      </c>
      <c r="BV6" s="24">
        <v>2518</v>
      </c>
      <c r="BW6" s="24">
        <v>2732</v>
      </c>
      <c r="BX6" s="24">
        <v>2482</v>
      </c>
      <c r="BY6" s="24">
        <v>2683</v>
      </c>
      <c r="BZ6" s="24">
        <v>2408</v>
      </c>
      <c r="CA6" s="24">
        <v>2448</v>
      </c>
      <c r="CB6" s="24">
        <v>2239</v>
      </c>
      <c r="CC6" s="24">
        <v>2642</v>
      </c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>
        <v>4330</v>
      </c>
      <c r="DO6" s="24"/>
      <c r="DP6" s="24">
        <v>4263</v>
      </c>
      <c r="DQ6" s="24">
        <v>4455</v>
      </c>
      <c r="DR6" s="24">
        <v>5286</v>
      </c>
      <c r="DS6" s="24">
        <v>4662</v>
      </c>
      <c r="DT6" s="24">
        <v>3900</v>
      </c>
      <c r="DU6" s="24">
        <v>3882</v>
      </c>
      <c r="DV6" s="24">
        <v>3623</v>
      </c>
      <c r="DW6" s="24">
        <v>3475</v>
      </c>
      <c r="DX6" s="24">
        <v>3333</v>
      </c>
      <c r="DY6" s="24">
        <v>3770</v>
      </c>
      <c r="DZ6" s="24">
        <v>3478</v>
      </c>
      <c r="EA6" s="24">
        <v>3733</v>
      </c>
      <c r="EB6" s="24">
        <v>3516</v>
      </c>
      <c r="EC6" s="24">
        <v>3597</v>
      </c>
      <c r="ED6" s="24">
        <f>+DZ6</f>
        <v>3478</v>
      </c>
      <c r="EE6" s="24">
        <f>+EA6</f>
        <v>3733</v>
      </c>
      <c r="EF6" s="24">
        <f>+EB6</f>
        <v>3516</v>
      </c>
      <c r="EG6" s="24">
        <f>+EC6</f>
        <v>3597</v>
      </c>
      <c r="EH6" s="24"/>
      <c r="EI6" s="24"/>
      <c r="EJ6" s="24"/>
      <c r="EK6" s="17"/>
      <c r="EL6" s="27">
        <f>17200-EL8-EL5</f>
        <v>2866</v>
      </c>
      <c r="EM6" s="27">
        <f>17703-EM8-EM5</f>
        <v>3250</v>
      </c>
      <c r="EN6" s="27">
        <f>19781-EN5-EN8</f>
        <v>3382</v>
      </c>
      <c r="EO6" s="27">
        <f>21695-EO8-EO5</f>
        <v>4522</v>
      </c>
      <c r="EP6" s="27">
        <f>27268-EP8-EP5</f>
        <v>6614</v>
      </c>
      <c r="EQ6" s="27">
        <f>SUM(K6:L6)</f>
        <v>8747</v>
      </c>
      <c r="ER6" s="27">
        <f>SUM(M6:N6)</f>
        <v>9350</v>
      </c>
      <c r="ES6" s="27">
        <f>SUM(O6:P6)</f>
        <v>9656</v>
      </c>
      <c r="ET6" s="27">
        <f t="shared" si="19"/>
        <v>10055</v>
      </c>
      <c r="EU6" s="27">
        <f t="shared" si="20"/>
        <v>10415</v>
      </c>
      <c r="EV6" s="27">
        <f t="shared" si="17"/>
        <v>9737</v>
      </c>
      <c r="EW6" s="27"/>
      <c r="EX6" s="68">
        <v>10476</v>
      </c>
      <c r="EY6" s="68">
        <v>10766</v>
      </c>
      <c r="EZ6" s="126">
        <v>10814</v>
      </c>
      <c r="FA6" s="126">
        <v>11473</v>
      </c>
      <c r="FB6" s="126">
        <v>12079</v>
      </c>
      <c r="FC6" s="126">
        <v>12879</v>
      </c>
      <c r="FD6" s="126">
        <v>12950</v>
      </c>
      <c r="FE6" s="126">
        <v>13791</v>
      </c>
      <c r="FF6" s="126">
        <v>17760</v>
      </c>
      <c r="FG6" s="134">
        <f>SUM(DR6:DU6)</f>
        <v>17730</v>
      </c>
      <c r="FH6" s="133">
        <f>SUM(DV6:DY6)</f>
        <v>14201</v>
      </c>
      <c r="FI6" s="133">
        <v>14324</v>
      </c>
      <c r="FJ6" s="133">
        <f>SUM(ED6:EG6)</f>
        <v>14324</v>
      </c>
    </row>
    <row r="7" spans="1:176" s="26" customFormat="1" ht="13" x14ac:dyDescent="0.3">
      <c r="B7" s="17" t="s">
        <v>693</v>
      </c>
      <c r="C7" s="24"/>
      <c r="D7" s="24"/>
      <c r="E7" s="24"/>
      <c r="F7" s="24"/>
      <c r="G7" s="24"/>
      <c r="H7" s="24"/>
      <c r="I7" s="27"/>
      <c r="J7" s="27"/>
      <c r="K7" s="27"/>
      <c r="L7" s="27"/>
      <c r="M7" s="27"/>
      <c r="N7" s="27"/>
      <c r="O7" s="27"/>
      <c r="P7" s="27"/>
      <c r="Q7" s="27"/>
      <c r="R7" s="27"/>
      <c r="S7" s="27">
        <f>BV7+BW7</f>
        <v>4909</v>
      </c>
      <c r="T7" s="27">
        <f>9201-S7</f>
        <v>4292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48"/>
      <c r="AX7" s="48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>
        <v>2238</v>
      </c>
      <c r="BV7" s="24">
        <v>2495</v>
      </c>
      <c r="BW7" s="24">
        <v>2414</v>
      </c>
      <c r="BX7" s="24">
        <v>2176</v>
      </c>
      <c r="BY7" s="24">
        <v>2116</v>
      </c>
      <c r="BZ7" s="24">
        <v>2278</v>
      </c>
      <c r="CA7" s="24">
        <v>2122</v>
      </c>
      <c r="CB7" s="24">
        <v>1971</v>
      </c>
      <c r="CC7" s="24">
        <v>2162</v>
      </c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17"/>
      <c r="EL7" s="27"/>
      <c r="EM7" s="27"/>
      <c r="EN7" s="27"/>
      <c r="EO7" s="27"/>
      <c r="EP7" s="27"/>
      <c r="EQ7" s="27"/>
      <c r="ER7" s="27"/>
      <c r="ES7" s="27"/>
      <c r="ET7" s="27">
        <f t="shared" si="19"/>
        <v>2238</v>
      </c>
      <c r="EU7" s="27">
        <f t="shared" si="20"/>
        <v>9201</v>
      </c>
      <c r="EV7" s="27">
        <f t="shared" si="17"/>
        <v>8533</v>
      </c>
      <c r="EW7" s="27"/>
      <c r="EX7" s="27"/>
      <c r="EY7" s="27"/>
      <c r="EZ7" s="125"/>
      <c r="FA7" s="125"/>
      <c r="FB7" s="125"/>
      <c r="FC7" s="125"/>
      <c r="FD7" s="125"/>
      <c r="FE7" s="125"/>
      <c r="FF7" s="64"/>
      <c r="FG7" s="40"/>
      <c r="FH7" s="133">
        <v>8955</v>
      </c>
      <c r="FI7" s="133">
        <v>9691</v>
      </c>
    </row>
    <row r="8" spans="1:176" s="26" customFormat="1" ht="13" x14ac:dyDescent="0.3">
      <c r="B8" s="17" t="s">
        <v>696</v>
      </c>
      <c r="C8" s="24"/>
      <c r="D8" s="24"/>
      <c r="E8" s="24"/>
      <c r="F8" s="24"/>
      <c r="G8" s="24"/>
      <c r="H8" s="24"/>
      <c r="I8" s="27">
        <v>7978</v>
      </c>
      <c r="J8" s="27">
        <f>16955-I8</f>
        <v>8977</v>
      </c>
      <c r="K8" s="27">
        <v>9670</v>
      </c>
      <c r="L8" s="27">
        <f>20666-K8</f>
        <v>10996</v>
      </c>
      <c r="M8" s="27">
        <f>SUM(BJ8:BK8)</f>
        <v>11367</v>
      </c>
      <c r="N8" s="27">
        <f>22970-M8</f>
        <v>11603</v>
      </c>
      <c r="O8" s="27">
        <v>10938</v>
      </c>
      <c r="P8" s="27">
        <f>22164-O8</f>
        <v>11226</v>
      </c>
      <c r="Q8" s="27">
        <f>5182+1647+1099+950+526</f>
        <v>9404</v>
      </c>
      <c r="R8" s="27">
        <f>BT8+BU8</f>
        <v>7784</v>
      </c>
      <c r="S8" s="27">
        <f>BV8+BW8</f>
        <v>5044</v>
      </c>
      <c r="T8" s="27">
        <f>9467-S8</f>
        <v>4423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48"/>
      <c r="AX8" s="24">
        <v>3546</v>
      </c>
      <c r="AY8" s="24">
        <v>3494</v>
      </c>
      <c r="AZ8" s="24">
        <v>3483</v>
      </c>
      <c r="BA8" s="24">
        <v>3447</v>
      </c>
      <c r="BB8" s="24">
        <v>3859</v>
      </c>
      <c r="BC8" s="24">
        <v>4119</v>
      </c>
      <c r="BD8" s="24">
        <v>4191</v>
      </c>
      <c r="BE8" s="24">
        <v>4786</v>
      </c>
      <c r="BF8" s="24">
        <v>4821</v>
      </c>
      <c r="BG8" s="24">
        <v>4849</v>
      </c>
      <c r="BH8" s="24">
        <v>5017.1291249999995</v>
      </c>
      <c r="BI8" s="24">
        <v>5572.7543856047305</v>
      </c>
      <c r="BJ8" s="24">
        <v>5702</v>
      </c>
      <c r="BK8" s="24">
        <v>5665</v>
      </c>
      <c r="BL8" s="24">
        <v>5425</v>
      </c>
      <c r="BM8" s="24">
        <v>6178</v>
      </c>
      <c r="BN8" s="24">
        <v>4571</v>
      </c>
      <c r="BO8" s="24">
        <v>5440</v>
      </c>
      <c r="BP8" s="24">
        <v>5485</v>
      </c>
      <c r="BQ8" s="24">
        <v>5741</v>
      </c>
      <c r="BR8" s="24">
        <v>4491</v>
      </c>
      <c r="BS8" s="24">
        <f>9404-BR8</f>
        <v>4913</v>
      </c>
      <c r="BT8" s="24">
        <f>14387-BS8-BR8</f>
        <v>4983</v>
      </c>
      <c r="BU8" s="24">
        <f>5039-BU7</f>
        <v>2801</v>
      </c>
      <c r="BV8" s="24">
        <v>2597</v>
      </c>
      <c r="BW8" s="24">
        <v>2447</v>
      </c>
      <c r="BX8" s="24">
        <v>2251</v>
      </c>
      <c r="BY8" s="24">
        <v>2172</v>
      </c>
      <c r="BZ8" s="24">
        <v>2209</v>
      </c>
      <c r="CA8" s="24">
        <v>2090</v>
      </c>
      <c r="CB8" s="24">
        <v>1911</v>
      </c>
      <c r="CC8" s="24">
        <v>2011</v>
      </c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17"/>
      <c r="EL8" s="27">
        <v>13334</v>
      </c>
      <c r="EM8" s="27">
        <v>12868</v>
      </c>
      <c r="EN8" s="27">
        <v>13243</v>
      </c>
      <c r="EO8" s="27">
        <f>SUM(AX8:BA8)</f>
        <v>13970</v>
      </c>
      <c r="EP8" s="27">
        <f>SUM(BB8:BE8)</f>
        <v>16955</v>
      </c>
      <c r="EQ8" s="27">
        <f t="shared" ref="EQ8:EQ47" si="23">SUM(K8:L8)</f>
        <v>20666</v>
      </c>
      <c r="ER8" s="27">
        <f t="shared" si="22"/>
        <v>22970</v>
      </c>
      <c r="ES8" s="27">
        <f>SUM(O8:P8)</f>
        <v>22164</v>
      </c>
      <c r="ET8" s="27">
        <f t="shared" si="19"/>
        <v>17188</v>
      </c>
      <c r="EU8" s="27">
        <f t="shared" si="20"/>
        <v>9467</v>
      </c>
      <c r="EV8" s="27">
        <f t="shared" si="17"/>
        <v>8221</v>
      </c>
      <c r="EW8" s="27"/>
      <c r="EX8" s="27"/>
      <c r="EY8" s="27"/>
      <c r="EZ8" s="125"/>
      <c r="FA8" s="125"/>
      <c r="FB8" s="125"/>
      <c r="FC8" s="125"/>
      <c r="FD8" s="125"/>
      <c r="FE8" s="125"/>
      <c r="FF8" s="64"/>
      <c r="FG8" s="40"/>
      <c r="FH8" s="133">
        <v>8306</v>
      </c>
      <c r="FI8" s="133">
        <v>8832</v>
      </c>
    </row>
    <row r="9" spans="1:176" s="114" customFormat="1" x14ac:dyDescent="0.25">
      <c r="B9" s="3" t="s">
        <v>792</v>
      </c>
      <c r="C9" s="54"/>
      <c r="D9" s="54"/>
      <c r="E9" s="54"/>
      <c r="F9" s="54"/>
      <c r="G9" s="54"/>
      <c r="H9" s="54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52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>
        <v>1226</v>
      </c>
      <c r="DO9" s="54">
        <v>1212</v>
      </c>
      <c r="DP9" s="54">
        <v>1283</v>
      </c>
      <c r="DQ9" s="54">
        <v>1334</v>
      </c>
      <c r="DR9" s="54">
        <v>1449</v>
      </c>
      <c r="DS9" s="54">
        <v>1461</v>
      </c>
      <c r="DT9" s="54">
        <v>1517</v>
      </c>
      <c r="DU9" s="54">
        <v>1609</v>
      </c>
      <c r="DV9" s="54">
        <v>1636</v>
      </c>
      <c r="DW9" s="54">
        <v>1564</v>
      </c>
      <c r="DX9" s="54">
        <v>1567</v>
      </c>
      <c r="DY9" s="54">
        <f>6381-DX9-DW9-DV9</f>
        <v>1614</v>
      </c>
      <c r="DZ9" s="54">
        <v>1658</v>
      </c>
      <c r="EA9" s="54">
        <f>3359-DZ9</f>
        <v>1701</v>
      </c>
      <c r="EB9" s="54">
        <f>5056-EA9-DZ9</f>
        <v>1697</v>
      </c>
      <c r="EC9" s="54">
        <f>+FI9-EB9-EA9-DZ9</f>
        <v>1688</v>
      </c>
      <c r="ED9" s="124">
        <v>1778</v>
      </c>
      <c r="EE9" s="54">
        <f>+EA9*1.05</f>
        <v>1786.0500000000002</v>
      </c>
      <c r="EF9" s="54">
        <f>+EB9*1.05</f>
        <v>1781.8500000000001</v>
      </c>
      <c r="EG9" s="54">
        <f>+EC9*1.05</f>
        <v>1772.4</v>
      </c>
      <c r="EH9" s="54"/>
      <c r="EI9" s="54"/>
      <c r="EJ9" s="54"/>
      <c r="EK9" s="3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126"/>
      <c r="FA9" s="126"/>
      <c r="FB9" s="127">
        <v>869</v>
      </c>
      <c r="FC9" s="126">
        <v>2353</v>
      </c>
      <c r="FD9" s="126">
        <v>3708</v>
      </c>
      <c r="FE9" s="126">
        <v>4326</v>
      </c>
      <c r="FF9" s="133">
        <v>5055</v>
      </c>
      <c r="FG9" s="134">
        <f>SUM(DR9:DU9)</f>
        <v>6036</v>
      </c>
      <c r="FH9" s="133">
        <f t="shared" ref="FH9:FH62" si="24">SUM(DV9:DY9)</f>
        <v>6381</v>
      </c>
      <c r="FI9" s="133">
        <v>6744</v>
      </c>
      <c r="FJ9" s="133">
        <f t="shared" ref="FJ9:FJ20" si="25">SUM(ED9:EG9)</f>
        <v>7118.3000000000011</v>
      </c>
    </row>
    <row r="10" spans="1:176" s="26" customFormat="1" ht="13" x14ac:dyDescent="0.3">
      <c r="B10" s="3" t="s">
        <v>793</v>
      </c>
      <c r="C10" s="23"/>
      <c r="D10" s="23"/>
      <c r="E10" s="23"/>
      <c r="F10" s="23"/>
      <c r="G10" s="23"/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93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>
        <v>661</v>
      </c>
      <c r="DO10" s="66">
        <v>732</v>
      </c>
      <c r="DP10" s="66">
        <v>779</v>
      </c>
      <c r="DQ10" s="66">
        <v>850</v>
      </c>
      <c r="DR10" s="66">
        <v>853</v>
      </c>
      <c r="DS10" s="66">
        <v>973</v>
      </c>
      <c r="DT10" s="66">
        <v>952</v>
      </c>
      <c r="DU10" s="54">
        <v>1045</v>
      </c>
      <c r="DV10" s="66">
        <v>1034</v>
      </c>
      <c r="DW10" s="66">
        <v>1053</v>
      </c>
      <c r="DX10" s="66">
        <v>1025</v>
      </c>
      <c r="DY10" s="66">
        <f>4147-DX10-DW10-DV10</f>
        <v>1035</v>
      </c>
      <c r="DZ10" s="66">
        <v>1040</v>
      </c>
      <c r="EA10" s="66">
        <f>2143-DZ10</f>
        <v>1103</v>
      </c>
      <c r="EB10" s="66">
        <f>3280-EA10-DZ10</f>
        <v>1137</v>
      </c>
      <c r="EC10" s="54">
        <f t="shared" ref="EC10:EC69" si="26">+FI10-EB10-EA10-DZ10</f>
        <v>1223</v>
      </c>
      <c r="ED10" s="124">
        <v>1165</v>
      </c>
      <c r="EE10" s="54">
        <f>+EA10*1.03</f>
        <v>1136.0899999999999</v>
      </c>
      <c r="EF10" s="54">
        <f>+EB10*1.03</f>
        <v>1171.1100000000001</v>
      </c>
      <c r="EG10" s="54">
        <f>+EC10*1.03</f>
        <v>1259.69</v>
      </c>
      <c r="EH10" s="54"/>
      <c r="EI10" s="66"/>
      <c r="EJ10" s="66"/>
      <c r="EK10" s="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127"/>
      <c r="FA10" s="127"/>
      <c r="FB10" s="127"/>
      <c r="FC10" s="127">
        <v>224</v>
      </c>
      <c r="FD10" s="127">
        <v>1380</v>
      </c>
      <c r="FE10" s="127">
        <v>2190</v>
      </c>
      <c r="FF10" s="133">
        <v>3022</v>
      </c>
      <c r="FG10" s="134">
        <f>SUM(DR10:DU10)</f>
        <v>3823</v>
      </c>
      <c r="FH10" s="133">
        <f t="shared" si="24"/>
        <v>4147</v>
      </c>
      <c r="FI10" s="133">
        <v>4503</v>
      </c>
      <c r="FJ10" s="133">
        <f t="shared" si="25"/>
        <v>4731.8900000000003</v>
      </c>
    </row>
    <row r="11" spans="1:176" s="26" customFormat="1" ht="13" x14ac:dyDescent="0.3">
      <c r="B11" s="3" t="s">
        <v>723</v>
      </c>
      <c r="C11" s="23"/>
      <c r="D11" s="23"/>
      <c r="E11" s="23"/>
      <c r="F11" s="23"/>
      <c r="G11" s="23"/>
      <c r="H11" s="2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>
        <v>388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93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>
        <v>30</v>
      </c>
      <c r="CH11" s="66">
        <v>50</v>
      </c>
      <c r="CI11" s="66">
        <v>58</v>
      </c>
      <c r="CJ11" s="66">
        <v>78</v>
      </c>
      <c r="CK11" s="66">
        <v>140</v>
      </c>
      <c r="CL11" s="66">
        <v>178</v>
      </c>
      <c r="CM11" s="66">
        <v>210</v>
      </c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>
        <v>988</v>
      </c>
      <c r="DO11" s="66">
        <v>980</v>
      </c>
      <c r="DP11" s="66">
        <v>1006</v>
      </c>
      <c r="DQ11" s="66">
        <v>981</v>
      </c>
      <c r="DR11" s="66">
        <v>993</v>
      </c>
      <c r="DS11" s="66">
        <v>1068</v>
      </c>
      <c r="DT11" s="66">
        <v>1029</v>
      </c>
      <c r="DU11" s="54">
        <v>997</v>
      </c>
      <c r="DV11" s="66">
        <v>1049</v>
      </c>
      <c r="DW11" s="66">
        <v>1033</v>
      </c>
      <c r="DX11" s="66">
        <v>913</v>
      </c>
      <c r="DY11" s="66">
        <f>3768-DX11-DW11-DV11</f>
        <v>773</v>
      </c>
      <c r="DZ11" s="66">
        <v>936</v>
      </c>
      <c r="EA11" s="66">
        <f>1921-DZ11</f>
        <v>985</v>
      </c>
      <c r="EB11" s="66">
        <f>2809-EA11-DZ11</f>
        <v>888</v>
      </c>
      <c r="EC11" s="54">
        <f t="shared" si="26"/>
        <v>807</v>
      </c>
      <c r="ED11" s="124">
        <v>840</v>
      </c>
      <c r="EE11" s="54">
        <f>+EA11*0.9</f>
        <v>886.5</v>
      </c>
      <c r="EF11" s="54">
        <f>+EB11*0.9</f>
        <v>799.2</v>
      </c>
      <c r="EG11" s="54">
        <f>+EC11*0.9</f>
        <v>726.30000000000007</v>
      </c>
      <c r="EH11" s="54"/>
      <c r="EI11" s="66"/>
      <c r="EJ11" s="66"/>
      <c r="EK11" s="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>
        <f>SUM(CD11:CG11)</f>
        <v>30</v>
      </c>
      <c r="EX11" s="25">
        <f>SUM(CH11:CK11)</f>
        <v>326</v>
      </c>
      <c r="EY11" s="25">
        <v>918</v>
      </c>
      <c r="EZ11" s="127">
        <v>1445</v>
      </c>
      <c r="FA11" s="127">
        <v>1846</v>
      </c>
      <c r="FB11" s="127">
        <v>2196</v>
      </c>
      <c r="FC11" s="127">
        <v>2773</v>
      </c>
      <c r="FD11" s="127">
        <v>3522</v>
      </c>
      <c r="FE11" s="127">
        <v>3883</v>
      </c>
      <c r="FF11" s="133">
        <v>3955</v>
      </c>
      <c r="FG11" s="134">
        <f t="shared" ref="FG11:FG30" si="27">SUM(DR11:DU11)</f>
        <v>4087</v>
      </c>
      <c r="FH11" s="133">
        <f t="shared" si="24"/>
        <v>3768</v>
      </c>
      <c r="FI11" s="133">
        <v>3616</v>
      </c>
      <c r="FJ11" s="133">
        <f t="shared" si="25"/>
        <v>3252</v>
      </c>
    </row>
    <row r="12" spans="1:176" s="26" customFormat="1" ht="13" x14ac:dyDescent="0.3">
      <c r="B12" s="3" t="s">
        <v>794</v>
      </c>
      <c r="C12" s="23"/>
      <c r="D12" s="23"/>
      <c r="E12" s="23"/>
      <c r="F12" s="23"/>
      <c r="G12" s="23"/>
      <c r="H12" s="2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93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>
        <v>775</v>
      </c>
      <c r="DO12" s="66">
        <v>824</v>
      </c>
      <c r="DP12" s="66">
        <v>878</v>
      </c>
      <c r="DQ12" s="66">
        <v>838</v>
      </c>
      <c r="DR12" s="66">
        <v>825</v>
      </c>
      <c r="DS12" s="66">
        <v>933</v>
      </c>
      <c r="DT12" s="66">
        <v>934</v>
      </c>
      <c r="DU12" s="54">
        <v>1025</v>
      </c>
      <c r="DV12" s="66">
        <v>920</v>
      </c>
      <c r="DW12" s="66">
        <v>933</v>
      </c>
      <c r="DX12" s="66">
        <v>938</v>
      </c>
      <c r="DY12" s="66">
        <f>3766-DX12-DW12-DV12</f>
        <v>975</v>
      </c>
      <c r="DZ12" s="66">
        <v>865</v>
      </c>
      <c r="EA12" s="66">
        <f>1798-DZ12</f>
        <v>933</v>
      </c>
      <c r="EB12" s="66">
        <f>2703-EA12-DZ12</f>
        <v>905</v>
      </c>
      <c r="EC12" s="54">
        <f t="shared" si="26"/>
        <v>937</v>
      </c>
      <c r="ED12" s="124">
        <v>870</v>
      </c>
      <c r="EE12" s="54">
        <f>+EA12*1.03</f>
        <v>960.99</v>
      </c>
      <c r="EF12" s="54">
        <f>+EB12*1.03</f>
        <v>932.15</v>
      </c>
      <c r="EG12" s="54">
        <f>+EC12*1.03</f>
        <v>965.11</v>
      </c>
      <c r="EH12" s="54"/>
      <c r="EI12" s="66"/>
      <c r="EJ12" s="66"/>
      <c r="EK12" s="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127"/>
      <c r="FA12" s="127"/>
      <c r="FB12" s="127">
        <v>487</v>
      </c>
      <c r="FC12" s="127">
        <v>772</v>
      </c>
      <c r="FD12" s="127">
        <v>1875</v>
      </c>
      <c r="FE12" s="127">
        <v>2738</v>
      </c>
      <c r="FF12" s="133">
        <v>3315</v>
      </c>
      <c r="FG12" s="134">
        <f t="shared" si="27"/>
        <v>3717</v>
      </c>
      <c r="FH12" s="133">
        <f t="shared" si="24"/>
        <v>3766</v>
      </c>
      <c r="FI12" s="133">
        <v>3640</v>
      </c>
      <c r="FJ12" s="133">
        <f t="shared" si="25"/>
        <v>3728.25</v>
      </c>
    </row>
    <row r="13" spans="1:176" s="26" customFormat="1" ht="13" x14ac:dyDescent="0.3">
      <c r="B13" s="3" t="s">
        <v>802</v>
      </c>
      <c r="C13" s="23"/>
      <c r="D13" s="23"/>
      <c r="E13" s="23"/>
      <c r="F13" s="23"/>
      <c r="G13" s="23"/>
      <c r="H13" s="23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93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>
        <v>21</v>
      </c>
      <c r="DS13" s="66"/>
      <c r="DT13" s="66"/>
      <c r="DU13" s="66">
        <v>309</v>
      </c>
      <c r="DV13" s="66">
        <v>432</v>
      </c>
      <c r="DW13" s="66">
        <v>525</v>
      </c>
      <c r="DX13" s="66">
        <v>656</v>
      </c>
      <c r="DY13" s="66">
        <f>2357-DX13-DW13-DV13</f>
        <v>744</v>
      </c>
      <c r="DZ13" s="66">
        <v>847</v>
      </c>
      <c r="EA13" s="66">
        <f>1794-DZ13</f>
        <v>947</v>
      </c>
      <c r="EB13" s="66">
        <f>2816-EA13-DZ13</f>
        <v>1022</v>
      </c>
      <c r="EC13" s="54">
        <f t="shared" si="26"/>
        <v>1048</v>
      </c>
      <c r="ED13" s="124">
        <v>1018</v>
      </c>
      <c r="EE13" s="54">
        <f>+EA13*1.1</f>
        <v>1041.7</v>
      </c>
      <c r="EF13" s="54">
        <f>+EB13*1.1</f>
        <v>1124.2</v>
      </c>
      <c r="EG13" s="54">
        <f>+EC13*1.1</f>
        <v>1152.8000000000002</v>
      </c>
      <c r="EH13" s="54"/>
      <c r="EI13" s="66"/>
      <c r="EJ13" s="66"/>
      <c r="EK13" s="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127"/>
      <c r="FA13" s="127"/>
      <c r="FB13" s="127"/>
      <c r="FC13" s="127"/>
      <c r="FD13" s="127"/>
      <c r="FE13" s="127"/>
      <c r="FF13" s="64"/>
      <c r="FG13" s="2">
        <v>591</v>
      </c>
      <c r="FH13" s="133">
        <f t="shared" si="24"/>
        <v>2357</v>
      </c>
      <c r="FI13" s="133">
        <v>3864</v>
      </c>
      <c r="FJ13" s="133">
        <f t="shared" si="25"/>
        <v>4336.7</v>
      </c>
    </row>
    <row r="14" spans="1:176" s="26" customFormat="1" ht="13" x14ac:dyDescent="0.3">
      <c r="B14" s="15" t="s">
        <v>300</v>
      </c>
      <c r="C14" s="23"/>
      <c r="D14" s="23"/>
      <c r="E14" s="23"/>
      <c r="F14" s="23"/>
      <c r="G14" s="23"/>
      <c r="H14" s="23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v>155</v>
      </c>
      <c r="T14" s="25">
        <f t="shared" ref="T14" si="28">+BY14+BX14</f>
        <v>242</v>
      </c>
      <c r="U14" s="25">
        <f>SUM(BZ14:CA14)</f>
        <v>277</v>
      </c>
      <c r="V14" s="25">
        <f>CC14+CB14</f>
        <v>341</v>
      </c>
      <c r="W14" s="25"/>
      <c r="X14" s="25"/>
      <c r="Y14" s="25"/>
      <c r="Z14" s="25"/>
      <c r="AA14" s="25">
        <v>568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93"/>
      <c r="AX14" s="93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>
        <v>66</v>
      </c>
      <c r="BW14" s="66">
        <f t="shared" ref="BW14" si="29">+S14-BV14</f>
        <v>89</v>
      </c>
      <c r="BX14" s="66">
        <v>107</v>
      </c>
      <c r="BY14" s="66">
        <v>135</v>
      </c>
      <c r="BZ14" s="66">
        <v>129</v>
      </c>
      <c r="CA14" s="66">
        <f>277-BZ14</f>
        <v>148</v>
      </c>
      <c r="CB14" s="66">
        <v>156</v>
      </c>
      <c r="CC14" s="66">
        <v>185</v>
      </c>
      <c r="CD14" s="66">
        <v>184</v>
      </c>
      <c r="CE14" s="66">
        <v>201</v>
      </c>
      <c r="CF14" s="66">
        <v>216</v>
      </c>
      <c r="CG14" s="66">
        <v>241</v>
      </c>
      <c r="CH14" s="66">
        <v>238</v>
      </c>
      <c r="CI14" s="66">
        <v>258</v>
      </c>
      <c r="CJ14" s="66">
        <v>267</v>
      </c>
      <c r="CK14" s="66">
        <v>274</v>
      </c>
      <c r="CL14" s="66">
        <v>273</v>
      </c>
      <c r="CM14" s="66">
        <v>295</v>
      </c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>
        <v>779</v>
      </c>
      <c r="DO14" s="66">
        <v>863</v>
      </c>
      <c r="DP14" s="66">
        <v>1048</v>
      </c>
      <c r="DQ14" s="66">
        <v>872</v>
      </c>
      <c r="DR14" s="66">
        <v>792</v>
      </c>
      <c r="DS14" s="66">
        <v>663</v>
      </c>
      <c r="DT14" s="66">
        <v>584</v>
      </c>
      <c r="DU14" s="54">
        <v>662</v>
      </c>
      <c r="DV14" s="66">
        <v>676</v>
      </c>
      <c r="DW14" s="66">
        <v>620</v>
      </c>
      <c r="DX14" s="66">
        <v>647</v>
      </c>
      <c r="DY14" s="66">
        <f>2630-DX14-DW14-DV14</f>
        <v>687</v>
      </c>
      <c r="DZ14" s="66">
        <v>618</v>
      </c>
      <c r="EA14" s="66">
        <f>1276-DZ14</f>
        <v>658</v>
      </c>
      <c r="EB14" s="66">
        <f>1948-EA14-DZ14</f>
        <v>672</v>
      </c>
      <c r="EC14" s="54">
        <f t="shared" si="26"/>
        <v>697</v>
      </c>
      <c r="ED14" s="124">
        <v>619</v>
      </c>
      <c r="EE14" s="54">
        <f>+EA14*1.01</f>
        <v>664.58</v>
      </c>
      <c r="EF14" s="54">
        <f>+EB14*1.01</f>
        <v>678.72</v>
      </c>
      <c r="EG14" s="54">
        <f>+EC14*1.01</f>
        <v>703.97</v>
      </c>
      <c r="EH14" s="54"/>
      <c r="EI14" s="66"/>
      <c r="EJ14" s="66"/>
      <c r="EK14" s="5"/>
      <c r="EL14" s="25"/>
      <c r="EM14" s="25"/>
      <c r="EN14" s="25"/>
      <c r="EO14" s="25"/>
      <c r="EP14" s="25"/>
      <c r="EQ14" s="25"/>
      <c r="ER14" s="25"/>
      <c r="ES14" s="25"/>
      <c r="ET14" s="25"/>
      <c r="EU14" s="25">
        <f>SUM(BV14:BY14)</f>
        <v>397</v>
      </c>
      <c r="EV14" s="25">
        <f>SUM(BZ14:CC14)</f>
        <v>618</v>
      </c>
      <c r="EW14" s="25">
        <f>SUM(CD14:CG14)</f>
        <v>842</v>
      </c>
      <c r="EX14" s="25">
        <f>SUM(CH14:CK14)</f>
        <v>1037</v>
      </c>
      <c r="EY14" s="25">
        <v>1224</v>
      </c>
      <c r="EZ14" s="127">
        <v>1432</v>
      </c>
      <c r="FA14" s="127">
        <v>1697</v>
      </c>
      <c r="FB14" s="127">
        <v>1926</v>
      </c>
      <c r="FC14" s="127">
        <v>2160</v>
      </c>
      <c r="FD14" s="127">
        <v>2311</v>
      </c>
      <c r="FE14" s="126">
        <v>2858</v>
      </c>
      <c r="FF14" s="133">
        <v>3562</v>
      </c>
      <c r="FG14" s="134">
        <f t="shared" si="27"/>
        <v>2701</v>
      </c>
      <c r="FH14" s="133">
        <f t="shared" si="24"/>
        <v>2630</v>
      </c>
      <c r="FI14" s="133">
        <v>2645</v>
      </c>
      <c r="FJ14" s="133">
        <f t="shared" si="25"/>
        <v>2666.27</v>
      </c>
    </row>
    <row r="15" spans="1:176" s="26" customFormat="1" ht="13" x14ac:dyDescent="0.3">
      <c r="B15" s="15" t="s">
        <v>28</v>
      </c>
      <c r="C15" s="23"/>
      <c r="D15" s="23"/>
      <c r="E15" s="23"/>
      <c r="F15" s="23"/>
      <c r="G15" s="23"/>
      <c r="H15" s="23"/>
      <c r="I15" s="25">
        <v>181</v>
      </c>
      <c r="J15" s="25">
        <f>408-I15</f>
        <v>227</v>
      </c>
      <c r="K15" s="25">
        <v>257</v>
      </c>
      <c r="L15" s="25">
        <f>537-K15</f>
        <v>280</v>
      </c>
      <c r="M15" s="25">
        <v>284</v>
      </c>
      <c r="N15" s="25">
        <f>567-M15</f>
        <v>283</v>
      </c>
      <c r="O15" s="25">
        <v>259</v>
      </c>
      <c r="P15" s="25">
        <f>SUM(BP15:BQ15)</f>
        <v>301</v>
      </c>
      <c r="Q15" s="25">
        <f>SUM(BR15:BS15)</f>
        <v>313</v>
      </c>
      <c r="R15" s="25">
        <f>BT15+BU15</f>
        <v>307</v>
      </c>
      <c r="S15" s="25">
        <v>324</v>
      </c>
      <c r="T15" s="25">
        <f>+BY15+BX15</f>
        <v>317</v>
      </c>
      <c r="U15" s="25">
        <f>SUM(BZ15:CA15)</f>
        <v>300</v>
      </c>
      <c r="V15" s="25">
        <f>CC15+CB15</f>
        <v>303</v>
      </c>
      <c r="W15" s="25"/>
      <c r="X15" s="25"/>
      <c r="Y15" s="25"/>
      <c r="Z15" s="25"/>
      <c r="AA15" s="25">
        <v>437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93"/>
      <c r="AX15" s="66">
        <v>38</v>
      </c>
      <c r="AY15" s="66">
        <v>55</v>
      </c>
      <c r="AZ15" s="66">
        <v>68</v>
      </c>
      <c r="BA15" s="66">
        <v>73</v>
      </c>
      <c r="BB15" s="66">
        <v>81</v>
      </c>
      <c r="BC15" s="66">
        <v>100</v>
      </c>
      <c r="BD15" s="66">
        <v>104</v>
      </c>
      <c r="BE15" s="66">
        <v>123</v>
      </c>
      <c r="BF15" s="66">
        <v>124</v>
      </c>
      <c r="BG15" s="66">
        <v>133</v>
      </c>
      <c r="BH15" s="66">
        <v>135</v>
      </c>
      <c r="BI15" s="66">
        <v>145</v>
      </c>
      <c r="BJ15" s="66">
        <v>136</v>
      </c>
      <c r="BK15" s="66">
        <v>148</v>
      </c>
      <c r="BL15" s="66">
        <v>145</v>
      </c>
      <c r="BM15" s="66">
        <v>138</v>
      </c>
      <c r="BN15" s="66">
        <v>125</v>
      </c>
      <c r="BO15" s="66">
        <v>134</v>
      </c>
      <c r="BP15" s="66">
        <v>145</v>
      </c>
      <c r="BQ15" s="66">
        <v>156</v>
      </c>
      <c r="BR15" s="66">
        <v>152</v>
      </c>
      <c r="BS15" s="66">
        <v>161</v>
      </c>
      <c r="BT15" s="66">
        <v>157</v>
      </c>
      <c r="BU15" s="66">
        <v>150</v>
      </c>
      <c r="BV15" s="66">
        <v>148</v>
      </c>
      <c r="BW15" s="66">
        <f>+S15-BV15</f>
        <v>176</v>
      </c>
      <c r="BX15" s="66">
        <f>491-BW15-BV15</f>
        <v>167</v>
      </c>
      <c r="BY15" s="66">
        <v>150</v>
      </c>
      <c r="BZ15" s="66">
        <v>149</v>
      </c>
      <c r="CA15" s="66">
        <f>300-BZ15</f>
        <v>151</v>
      </c>
      <c r="CB15" s="66">
        <v>146</v>
      </c>
      <c r="CC15" s="66">
        <v>157</v>
      </c>
      <c r="CD15" s="66">
        <v>164</v>
      </c>
      <c r="CE15" s="66">
        <v>181</v>
      </c>
      <c r="CF15" s="66">
        <v>185</v>
      </c>
      <c r="CG15" s="66">
        <v>175</v>
      </c>
      <c r="CH15" s="66">
        <v>185</v>
      </c>
      <c r="CI15" s="66">
        <v>201</v>
      </c>
      <c r="CJ15" s="66">
        <v>204</v>
      </c>
      <c r="CK15" s="66">
        <v>200</v>
      </c>
      <c r="CL15" s="66">
        <v>205</v>
      </c>
      <c r="CM15" s="66">
        <v>232</v>
      </c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>
        <v>409</v>
      </c>
      <c r="DO15" s="66">
        <v>478</v>
      </c>
      <c r="DP15" s="66">
        <v>529</v>
      </c>
      <c r="DQ15" s="66">
        <v>526</v>
      </c>
      <c r="DR15" s="66">
        <v>456</v>
      </c>
      <c r="DS15" s="66">
        <v>569</v>
      </c>
      <c r="DT15" s="66">
        <v>600</v>
      </c>
      <c r="DU15" s="54">
        <v>583</v>
      </c>
      <c r="DV15" s="66">
        <v>479</v>
      </c>
      <c r="DW15" s="66">
        <v>552</v>
      </c>
      <c r="DX15" s="66">
        <v>570</v>
      </c>
      <c r="DY15" s="66">
        <f>2176-DX15-DW15-DV15</f>
        <v>575</v>
      </c>
      <c r="DZ15" s="66">
        <v>496</v>
      </c>
      <c r="EA15" s="66">
        <f>1110-DZ15</f>
        <v>614</v>
      </c>
      <c r="EB15" s="66">
        <f>1737-EA15-DZ15</f>
        <v>627</v>
      </c>
      <c r="EC15" s="54">
        <f t="shared" si="26"/>
        <v>733</v>
      </c>
      <c r="ED15" s="124">
        <v>645</v>
      </c>
      <c r="EE15" s="54">
        <f>+EA15*1.1</f>
        <v>675.40000000000009</v>
      </c>
      <c r="EF15" s="54">
        <f>+EB15*1.1</f>
        <v>689.7</v>
      </c>
      <c r="EG15" s="54">
        <f>+EC15*1.1</f>
        <v>806.30000000000007</v>
      </c>
      <c r="EH15" s="54"/>
      <c r="EI15" s="66"/>
      <c r="EJ15" s="66"/>
      <c r="EK15" s="5"/>
      <c r="EL15" s="25">
        <v>0</v>
      </c>
      <c r="EM15" s="25">
        <v>0</v>
      </c>
      <c r="EN15" s="25">
        <v>33</v>
      </c>
      <c r="EO15" s="25">
        <f>SUM(AX15:BA15)</f>
        <v>234</v>
      </c>
      <c r="EP15" s="25">
        <f>SUM(BB15:BE15)</f>
        <v>408</v>
      </c>
      <c r="EQ15" s="25">
        <f>SUM(K15:L15)</f>
        <v>537</v>
      </c>
      <c r="ER15" s="25">
        <f>SUM(M15:N15)</f>
        <v>567</v>
      </c>
      <c r="ES15" s="25">
        <f>SUM(BN15:BQ15)</f>
        <v>560</v>
      </c>
      <c r="ET15" s="25">
        <f>SUM(BR15:BU15)</f>
        <v>620</v>
      </c>
      <c r="EU15" s="25">
        <f>SUM(BV15:BY15)</f>
        <v>641</v>
      </c>
      <c r="EV15" s="25">
        <f>SUM(BZ15:CC15)</f>
        <v>603</v>
      </c>
      <c r="EW15" s="25">
        <f>SUM(CD15:CG15)</f>
        <v>705</v>
      </c>
      <c r="EX15" s="25">
        <f>SUM(CH15:CK15)</f>
        <v>790</v>
      </c>
      <c r="EY15" s="25">
        <v>975</v>
      </c>
      <c r="EZ15" s="127">
        <v>1277</v>
      </c>
      <c r="FA15" s="127">
        <v>1498</v>
      </c>
      <c r="FB15" s="127">
        <v>1742</v>
      </c>
      <c r="FC15" s="127">
        <v>1912</v>
      </c>
      <c r="FD15" s="127">
        <v>1969</v>
      </c>
      <c r="FE15" s="127">
        <v>1904</v>
      </c>
      <c r="FF15" s="127">
        <v>1942</v>
      </c>
      <c r="FG15" s="134">
        <f t="shared" ref="FG15:FG21" si="30">SUM(DR15:DU15)</f>
        <v>2208</v>
      </c>
      <c r="FH15" s="133">
        <f t="shared" si="24"/>
        <v>2176</v>
      </c>
      <c r="FI15" s="133">
        <v>2470</v>
      </c>
      <c r="FJ15" s="133">
        <f t="shared" si="25"/>
        <v>2816.4</v>
      </c>
    </row>
    <row r="16" spans="1:176" s="26" customFormat="1" ht="13" x14ac:dyDescent="0.3">
      <c r="B16" s="3" t="s">
        <v>757</v>
      </c>
      <c r="C16" s="23"/>
      <c r="D16" s="23"/>
      <c r="E16" s="23"/>
      <c r="F16" s="23"/>
      <c r="G16" s="23"/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>
        <v>227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93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>
        <v>65</v>
      </c>
      <c r="CJ16" s="66">
        <v>73</v>
      </c>
      <c r="CK16" s="66">
        <v>78</v>
      </c>
      <c r="CL16" s="66">
        <v>102</v>
      </c>
      <c r="CM16" s="66">
        <v>125</v>
      </c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>
        <v>478</v>
      </c>
      <c r="DO16" s="66">
        <v>481</v>
      </c>
      <c r="DP16" s="66">
        <v>501</v>
      </c>
      <c r="DQ16" s="66">
        <v>522</v>
      </c>
      <c r="DR16" s="66">
        <v>511</v>
      </c>
      <c r="DS16" s="66">
        <v>563</v>
      </c>
      <c r="DT16" s="66">
        <v>516</v>
      </c>
      <c r="DU16" s="54">
        <v>490</v>
      </c>
      <c r="DV16" s="66">
        <v>509</v>
      </c>
      <c r="DW16" s="66">
        <v>492</v>
      </c>
      <c r="DX16" s="66">
        <v>485</v>
      </c>
      <c r="DY16" s="66">
        <f>1966-DX16-DW16-DV16</f>
        <v>480</v>
      </c>
      <c r="DZ16" s="66">
        <v>483</v>
      </c>
      <c r="EA16" s="66">
        <f>999-DZ16</f>
        <v>516</v>
      </c>
      <c r="EB16" s="66">
        <f>1494-EA16-DZ16</f>
        <v>495</v>
      </c>
      <c r="EC16" s="54">
        <f t="shared" si="26"/>
        <v>504</v>
      </c>
      <c r="ED16" s="124">
        <v>506</v>
      </c>
      <c r="EE16" s="54">
        <f>+EA16*1.03</f>
        <v>531.48</v>
      </c>
      <c r="EF16" s="54">
        <f>+EB16*1.03</f>
        <v>509.85</v>
      </c>
      <c r="EG16" s="54">
        <f>+EC16*1.03</f>
        <v>519.12</v>
      </c>
      <c r="EH16" s="54"/>
      <c r="EI16" s="66"/>
      <c r="EJ16" s="66"/>
      <c r="EK16" s="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>
        <v>234</v>
      </c>
      <c r="EY16" s="25">
        <v>536</v>
      </c>
      <c r="EZ16" s="127">
        <v>769</v>
      </c>
      <c r="FA16" s="127">
        <v>831</v>
      </c>
      <c r="FB16" s="127">
        <v>914</v>
      </c>
      <c r="FC16" s="127">
        <v>979</v>
      </c>
      <c r="FD16" s="127">
        <v>1393</v>
      </c>
      <c r="FE16" s="127">
        <v>1745</v>
      </c>
      <c r="FF16" s="127">
        <v>1982</v>
      </c>
      <c r="FG16" s="134">
        <f t="shared" si="30"/>
        <v>2080</v>
      </c>
      <c r="FH16" s="133">
        <f t="shared" si="24"/>
        <v>1966</v>
      </c>
      <c r="FI16" s="133">
        <v>1998</v>
      </c>
      <c r="FJ16" s="133">
        <f t="shared" si="25"/>
        <v>2066.4499999999998</v>
      </c>
    </row>
    <row r="17" spans="2:176" s="26" customFormat="1" ht="13" x14ac:dyDescent="0.3">
      <c r="B17" s="3" t="s">
        <v>799</v>
      </c>
      <c r="C17" s="23"/>
      <c r="D17" s="23"/>
      <c r="E17" s="23"/>
      <c r="F17" s="23"/>
      <c r="G17" s="23"/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93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>
        <v>29</v>
      </c>
      <c r="DO17" s="66">
        <v>67</v>
      </c>
      <c r="DP17" s="66">
        <v>117</v>
      </c>
      <c r="DQ17" s="66">
        <v>127</v>
      </c>
      <c r="DR17" s="66">
        <v>146</v>
      </c>
      <c r="DS17" s="66">
        <v>179</v>
      </c>
      <c r="DT17" s="66">
        <v>201</v>
      </c>
      <c r="DU17" s="54">
        <v>214</v>
      </c>
      <c r="DV17" s="66">
        <v>241</v>
      </c>
      <c r="DW17" s="66">
        <v>276</v>
      </c>
      <c r="DX17" s="66">
        <v>300</v>
      </c>
      <c r="DY17" s="66">
        <f>1120-DX17-DW17-DV17</f>
        <v>303</v>
      </c>
      <c r="DZ17" s="66">
        <v>388</v>
      </c>
      <c r="EA17" s="66">
        <f>799-DZ17</f>
        <v>411</v>
      </c>
      <c r="EB17" s="66">
        <f>1244-EA17-DZ17</f>
        <v>445</v>
      </c>
      <c r="EC17" s="54">
        <f t="shared" si="26"/>
        <v>496</v>
      </c>
      <c r="ED17" s="124">
        <v>593</v>
      </c>
      <c r="EE17" s="54">
        <f>+EA17*1.2</f>
        <v>493.2</v>
      </c>
      <c r="EF17" s="54">
        <f>+EB17*1.2</f>
        <v>534</v>
      </c>
      <c r="EG17" s="54">
        <f>+EC17*1.2</f>
        <v>595.19999999999993</v>
      </c>
      <c r="EH17" s="54"/>
      <c r="EI17" s="66"/>
      <c r="EJ17" s="66"/>
      <c r="EK17" s="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127"/>
      <c r="FA17" s="127"/>
      <c r="FB17" s="127"/>
      <c r="FC17" s="127"/>
      <c r="FD17" s="127"/>
      <c r="FE17" s="127">
        <v>23</v>
      </c>
      <c r="FF17" s="127">
        <v>340</v>
      </c>
      <c r="FG17" s="134">
        <f t="shared" si="30"/>
        <v>740</v>
      </c>
      <c r="FH17" s="133">
        <f t="shared" si="24"/>
        <v>1120</v>
      </c>
      <c r="FI17" s="133">
        <v>1740</v>
      </c>
      <c r="FJ17" s="133">
        <f t="shared" si="25"/>
        <v>2215.4</v>
      </c>
    </row>
    <row r="18" spans="2:176" s="26" customFormat="1" ht="13" x14ac:dyDescent="0.3">
      <c r="B18" s="15" t="s">
        <v>24</v>
      </c>
      <c r="C18" s="23"/>
      <c r="D18" s="23"/>
      <c r="E18" s="23"/>
      <c r="F18" s="23"/>
      <c r="G18" s="23"/>
      <c r="H18" s="23"/>
      <c r="I18" s="25">
        <v>851</v>
      </c>
      <c r="J18" s="25">
        <f>2146-I18</f>
        <v>1295</v>
      </c>
      <c r="K18" s="25">
        <v>1813</v>
      </c>
      <c r="L18" s="25">
        <f>3927-K18</f>
        <v>2114</v>
      </c>
      <c r="M18" s="25">
        <v>2382</v>
      </c>
      <c r="N18" s="25">
        <f>4852-M18</f>
        <v>2470</v>
      </c>
      <c r="O18" s="25">
        <v>2474</v>
      </c>
      <c r="P18" s="25">
        <f>SUM(BP18:BQ18)</f>
        <v>2618</v>
      </c>
      <c r="Q18" s="25">
        <f>SUM(BR18:BS18)</f>
        <v>2645</v>
      </c>
      <c r="R18" s="25">
        <f>BT18+BU18</f>
        <v>2621</v>
      </c>
      <c r="S18" s="25">
        <v>2806</v>
      </c>
      <c r="T18" s="25">
        <f>+BY18+BX18</f>
        <v>2623</v>
      </c>
      <c r="U18" s="25">
        <f>SUM(BZ18:CA18)</f>
        <v>2716</v>
      </c>
      <c r="V18" s="25">
        <f>CC18+CB18</f>
        <v>2537</v>
      </c>
      <c r="W18" s="25">
        <f>U18*1.04</f>
        <v>2824.64</v>
      </c>
      <c r="X18" s="25">
        <f>V18*1.04</f>
        <v>2638.48</v>
      </c>
      <c r="Y18" s="25"/>
      <c r="Z18" s="25"/>
      <c r="AA18" s="25">
        <v>3082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93"/>
      <c r="AX18" s="66">
        <v>328</v>
      </c>
      <c r="AY18" s="66">
        <v>356</v>
      </c>
      <c r="AZ18" s="66">
        <v>373</v>
      </c>
      <c r="BA18" s="66">
        <v>377.70765962469017</v>
      </c>
      <c r="BB18" s="66">
        <v>391</v>
      </c>
      <c r="BC18" s="66">
        <v>460</v>
      </c>
      <c r="BD18" s="66">
        <v>591</v>
      </c>
      <c r="BE18" s="66">
        <v>704</v>
      </c>
      <c r="BF18" s="66">
        <v>861</v>
      </c>
      <c r="BG18" s="66">
        <v>952</v>
      </c>
      <c r="BH18" s="66">
        <v>1009</v>
      </c>
      <c r="BI18" s="66">
        <v>1105</v>
      </c>
      <c r="BJ18" s="66">
        <v>1168</v>
      </c>
      <c r="BK18" s="66">
        <v>1214</v>
      </c>
      <c r="BL18" s="66">
        <v>1209</v>
      </c>
      <c r="BM18" s="66">
        <v>1261</v>
      </c>
      <c r="BN18" s="66">
        <v>1225</v>
      </c>
      <c r="BO18" s="66">
        <v>1249</v>
      </c>
      <c r="BP18" s="66">
        <v>1295</v>
      </c>
      <c r="BQ18" s="66">
        <v>1323</v>
      </c>
      <c r="BR18" s="66">
        <v>1307</v>
      </c>
      <c r="BS18" s="66">
        <v>1338</v>
      </c>
      <c r="BT18" s="66">
        <v>1327</v>
      </c>
      <c r="BU18" s="66">
        <v>1294</v>
      </c>
      <c r="BV18" s="66">
        <v>1417</v>
      </c>
      <c r="BW18" s="66">
        <f>+S18-BV18</f>
        <v>1389</v>
      </c>
      <c r="BX18" s="66">
        <f>4163-BW18-BV18</f>
        <v>1357</v>
      </c>
      <c r="BY18" s="66">
        <v>1266</v>
      </c>
      <c r="BZ18" s="66">
        <v>1386</v>
      </c>
      <c r="CA18" s="66">
        <f>2716-BZ18</f>
        <v>1330</v>
      </c>
      <c r="CB18" s="66">
        <v>1189</v>
      </c>
      <c r="CC18" s="66">
        <v>1348</v>
      </c>
      <c r="CD18" s="66">
        <v>1428</v>
      </c>
      <c r="CE18" s="66">
        <v>1523</v>
      </c>
      <c r="CF18" s="66">
        <v>1481</v>
      </c>
      <c r="CG18" s="66">
        <v>1457</v>
      </c>
      <c r="CH18" s="66">
        <v>1572</v>
      </c>
      <c r="CI18" s="66">
        <v>1510</v>
      </c>
      <c r="CJ18" s="66">
        <v>1512</v>
      </c>
      <c r="CK18" s="66">
        <v>1485</v>
      </c>
      <c r="CL18" s="66">
        <v>1526</v>
      </c>
      <c r="CM18" s="66">
        <v>1556</v>
      </c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>
        <v>755</v>
      </c>
      <c r="DO18" s="66">
        <v>641</v>
      </c>
      <c r="DP18" s="66">
        <v>665</v>
      </c>
      <c r="DQ18" s="66">
        <v>633</v>
      </c>
      <c r="DR18" s="66">
        <v>607</v>
      </c>
      <c r="DS18" s="66">
        <v>572</v>
      </c>
      <c r="DT18" s="66">
        <v>493</v>
      </c>
      <c r="DU18" s="54">
        <v>470</v>
      </c>
      <c r="DV18" s="66">
        <v>477</v>
      </c>
      <c r="DW18" s="66">
        <v>401</v>
      </c>
      <c r="DX18" s="66">
        <v>383</v>
      </c>
      <c r="DY18" s="66">
        <f>1626-DX18-DW18-DV18</f>
        <v>365</v>
      </c>
      <c r="DZ18" s="66">
        <v>364</v>
      </c>
      <c r="EA18" s="66">
        <f>740-DZ18</f>
        <v>376</v>
      </c>
      <c r="EB18" s="66">
        <f>1063-EA18-DZ18</f>
        <v>323</v>
      </c>
      <c r="EC18" s="54">
        <f t="shared" si="26"/>
        <v>318</v>
      </c>
      <c r="ED18" s="124">
        <v>292</v>
      </c>
      <c r="EE18" s="54">
        <f>+EB18*0.8</f>
        <v>258.40000000000003</v>
      </c>
      <c r="EF18" s="54">
        <f>+EC18*0.8</f>
        <v>254.4</v>
      </c>
      <c r="EG18" s="54">
        <f>+ED18*0.8</f>
        <v>233.60000000000002</v>
      </c>
      <c r="EH18" s="54"/>
      <c r="EI18" s="66"/>
      <c r="EJ18" s="66"/>
      <c r="EK18" s="5"/>
      <c r="EL18" s="25">
        <v>806</v>
      </c>
      <c r="EM18" s="25">
        <v>1007</v>
      </c>
      <c r="EN18" s="25">
        <v>1177</v>
      </c>
      <c r="EO18" s="25">
        <f>SUM(AX18:BA18)</f>
        <v>1434.7076596246902</v>
      </c>
      <c r="EP18" s="25">
        <f>SUM(BB18:BE18)</f>
        <v>2146</v>
      </c>
      <c r="EQ18" s="25">
        <f>SUM(K18:L18)</f>
        <v>3927</v>
      </c>
      <c r="ER18" s="25">
        <f>SUM(M18:N18)</f>
        <v>4852</v>
      </c>
      <c r="ES18" s="25">
        <f>SUM(BN18:BQ18)</f>
        <v>5092</v>
      </c>
      <c r="ET18" s="25">
        <f>SUM(BR18:BU18)</f>
        <v>5266</v>
      </c>
      <c r="EU18" s="25">
        <f>SUM(BV18:BY18)</f>
        <v>5429</v>
      </c>
      <c r="EV18" s="25">
        <f>SUM(BZ18:CC18)</f>
        <v>5253</v>
      </c>
      <c r="EW18" s="25">
        <f>SUM(CD18:CG18)</f>
        <v>5889</v>
      </c>
      <c r="EX18" s="25">
        <f>SUM(CH18:CK18)</f>
        <v>6079</v>
      </c>
      <c r="EY18" s="25">
        <v>6275</v>
      </c>
      <c r="EZ18" s="127">
        <v>6538</v>
      </c>
      <c r="FA18" s="127">
        <v>6782</v>
      </c>
      <c r="FB18" s="127">
        <v>7014</v>
      </c>
      <c r="FC18" s="127">
        <v>6982</v>
      </c>
      <c r="FD18" s="127">
        <v>6039</v>
      </c>
      <c r="FE18" s="127">
        <v>3732</v>
      </c>
      <c r="FF18" s="127">
        <v>2694</v>
      </c>
      <c r="FG18" s="134">
        <f t="shared" si="30"/>
        <v>2142</v>
      </c>
      <c r="FH18" s="133">
        <f t="shared" si="24"/>
        <v>1626</v>
      </c>
      <c r="FI18" s="133">
        <v>1381</v>
      </c>
      <c r="FJ18" s="133">
        <f t="shared" si="25"/>
        <v>1038.4000000000001</v>
      </c>
      <c r="FK18" s="54">
        <f>+FJ18*0.8</f>
        <v>830.72000000000014</v>
      </c>
      <c r="FL18" s="54">
        <f t="shared" ref="FL18:FT22" si="31">+FK18*0.8</f>
        <v>664.57600000000014</v>
      </c>
      <c r="FM18" s="54">
        <f t="shared" si="31"/>
        <v>531.66080000000011</v>
      </c>
      <c r="FN18" s="54">
        <f t="shared" si="31"/>
        <v>425.32864000000012</v>
      </c>
      <c r="FO18" s="54">
        <f t="shared" si="31"/>
        <v>340.26291200000014</v>
      </c>
      <c r="FP18" s="54">
        <f t="shared" si="31"/>
        <v>272.21032960000014</v>
      </c>
      <c r="FQ18" s="54">
        <f t="shared" si="31"/>
        <v>217.76826368000013</v>
      </c>
      <c r="FR18" s="54">
        <f t="shared" si="31"/>
        <v>174.21461094400013</v>
      </c>
      <c r="FS18" s="54">
        <f t="shared" si="31"/>
        <v>139.3716887552001</v>
      </c>
      <c r="FT18" s="54">
        <f t="shared" si="31"/>
        <v>111.49735100416008</v>
      </c>
    </row>
    <row r="19" spans="2:176" s="26" customFormat="1" ht="13" x14ac:dyDescent="0.3">
      <c r="B19" s="3" t="s">
        <v>798</v>
      </c>
      <c r="C19" s="23"/>
      <c r="D19" s="23"/>
      <c r="E19" s="23"/>
      <c r="F19" s="23"/>
      <c r="G19" s="23"/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93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>
        <v>80</v>
      </c>
      <c r="DO19" s="66">
        <v>163</v>
      </c>
      <c r="DP19" s="66">
        <v>153</v>
      </c>
      <c r="DQ19" s="66">
        <v>206</v>
      </c>
      <c r="DR19" s="66">
        <v>226</v>
      </c>
      <c r="DS19" s="66">
        <v>274</v>
      </c>
      <c r="DT19" s="66">
        <v>293</v>
      </c>
      <c r="DU19" s="54">
        <v>326</v>
      </c>
      <c r="DV19" s="66">
        <v>363</v>
      </c>
      <c r="DW19" s="66">
        <v>342</v>
      </c>
      <c r="DX19" s="66">
        <v>360</v>
      </c>
      <c r="DY19" s="66">
        <f>1419-DX19-DW19-DV19</f>
        <v>354</v>
      </c>
      <c r="DZ19" s="66">
        <v>356</v>
      </c>
      <c r="EA19" s="66">
        <f>838-DZ19</f>
        <v>482</v>
      </c>
      <c r="EB19" s="66">
        <f>1246-EA19-DZ19</f>
        <v>408</v>
      </c>
      <c r="EC19" s="54">
        <f t="shared" si="26"/>
        <v>385</v>
      </c>
      <c r="ED19" s="124">
        <v>420</v>
      </c>
      <c r="EE19" s="54">
        <f>+EA19</f>
        <v>482</v>
      </c>
      <c r="EF19" s="54">
        <f>+EB19</f>
        <v>408</v>
      </c>
      <c r="EG19" s="54">
        <f>+EC19</f>
        <v>385</v>
      </c>
      <c r="EH19" s="54"/>
      <c r="EI19" s="66"/>
      <c r="EJ19" s="66"/>
      <c r="EK19" s="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127"/>
      <c r="FA19" s="127"/>
      <c r="FB19" s="127"/>
      <c r="FC19" s="127"/>
      <c r="FD19" s="127"/>
      <c r="FE19" s="127">
        <v>55</v>
      </c>
      <c r="FF19" s="127">
        <v>602</v>
      </c>
      <c r="FG19" s="134">
        <f t="shared" si="30"/>
        <v>1119</v>
      </c>
      <c r="FH19" s="133">
        <f t="shared" si="24"/>
        <v>1419</v>
      </c>
      <c r="FI19" s="133">
        <v>1631</v>
      </c>
      <c r="FJ19" s="133">
        <f t="shared" si="25"/>
        <v>1695</v>
      </c>
    </row>
    <row r="20" spans="2:176" s="26" customFormat="1" ht="13" x14ac:dyDescent="0.3">
      <c r="B20" s="3" t="s">
        <v>341</v>
      </c>
      <c r="C20" s="23"/>
      <c r="D20" s="23"/>
      <c r="E20" s="23"/>
      <c r="F20" s="23"/>
      <c r="G20" s="23"/>
      <c r="H20" s="23"/>
      <c r="I20" s="25">
        <v>1944</v>
      </c>
      <c r="J20" s="25">
        <f>4154-I20</f>
        <v>2210</v>
      </c>
      <c r="K20" s="25">
        <v>2348</v>
      </c>
      <c r="L20" s="25">
        <f>4839-K20</f>
        <v>2491</v>
      </c>
      <c r="M20" s="25">
        <v>2704</v>
      </c>
      <c r="N20" s="25">
        <f>5516-M20</f>
        <v>2812</v>
      </c>
      <c r="O20" s="25">
        <v>2867</v>
      </c>
      <c r="P20" s="25">
        <f>SUM(BP20:BQ20)</f>
        <v>3056</v>
      </c>
      <c r="Q20" s="25">
        <f>SUM(BR20:BS20)</f>
        <v>3098</v>
      </c>
      <c r="R20" s="25">
        <f>BT20+BU20</f>
        <v>2989</v>
      </c>
      <c r="S20" s="25">
        <v>3301</v>
      </c>
      <c r="T20" s="25">
        <f>+BY20+BX20</f>
        <v>3055</v>
      </c>
      <c r="U20" s="25">
        <f>SUM(BZ20:CA20)</f>
        <v>3056</v>
      </c>
      <c r="V20" s="25">
        <f>CC20+CB20</f>
        <v>2949</v>
      </c>
      <c r="W20" s="25">
        <f>U20*1.04</f>
        <v>3178.2400000000002</v>
      </c>
      <c r="X20" s="25">
        <f>V20*1.04</f>
        <v>3066.96</v>
      </c>
      <c r="Y20" s="25"/>
      <c r="Z20" s="25"/>
      <c r="AA20" s="25">
        <v>3360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93"/>
      <c r="AX20" s="93">
        <v>782</v>
      </c>
      <c r="AY20" s="66">
        <v>842</v>
      </c>
      <c r="AZ20" s="66">
        <v>880</v>
      </c>
      <c r="BA20" s="66">
        <v>874</v>
      </c>
      <c r="BB20" s="66">
        <v>929</v>
      </c>
      <c r="BC20" s="66">
        <v>1015</v>
      </c>
      <c r="BD20" s="66">
        <v>1057</v>
      </c>
      <c r="BE20" s="66">
        <v>1153</v>
      </c>
      <c r="BF20" s="66">
        <v>1146</v>
      </c>
      <c r="BG20" s="66">
        <v>1202</v>
      </c>
      <c r="BH20" s="66">
        <v>1177</v>
      </c>
      <c r="BI20" s="66">
        <v>1314</v>
      </c>
      <c r="BJ20" s="66">
        <v>1309</v>
      </c>
      <c r="BK20" s="66">
        <v>1395</v>
      </c>
      <c r="BL20" s="66">
        <v>1380</v>
      </c>
      <c r="BM20" s="66">
        <v>1432</v>
      </c>
      <c r="BN20" s="66">
        <v>1407</v>
      </c>
      <c r="BO20" s="66">
        <v>1460</v>
      </c>
      <c r="BP20" s="66">
        <v>1472</v>
      </c>
      <c r="BQ20" s="66">
        <v>1584</v>
      </c>
      <c r="BR20" s="66">
        <v>1481</v>
      </c>
      <c r="BS20" s="66">
        <v>1617</v>
      </c>
      <c r="BT20" s="66">
        <v>1508</v>
      </c>
      <c r="BU20" s="66">
        <v>1481</v>
      </c>
      <c r="BV20" s="66">
        <v>1606</v>
      </c>
      <c r="BW20" s="66">
        <f>+S20-BV20</f>
        <v>1695</v>
      </c>
      <c r="BX20" s="66">
        <f>4821-BW20-BV20</f>
        <v>1520</v>
      </c>
      <c r="BY20" s="66">
        <v>1535</v>
      </c>
      <c r="BZ20" s="66">
        <v>1556</v>
      </c>
      <c r="CA20" s="66">
        <f>3056-BZ20</f>
        <v>1500</v>
      </c>
      <c r="CB20" s="66">
        <v>1361</v>
      </c>
      <c r="CC20" s="66">
        <v>1588</v>
      </c>
      <c r="CD20" s="66">
        <v>1605</v>
      </c>
      <c r="CE20" s="66">
        <v>1710</v>
      </c>
      <c r="CF20" s="66">
        <v>1683</v>
      </c>
      <c r="CG20" s="66">
        <v>1709</v>
      </c>
      <c r="CH20" s="66">
        <v>1696</v>
      </c>
      <c r="CI20" s="66">
        <v>1705</v>
      </c>
      <c r="CJ20" s="66">
        <v>1805</v>
      </c>
      <c r="CK20" s="66">
        <v>1745</v>
      </c>
      <c r="CL20" s="66">
        <v>1667</v>
      </c>
      <c r="CM20" s="66">
        <v>1693</v>
      </c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>
        <v>705</v>
      </c>
      <c r="DO20" s="66">
        <v>674</v>
      </c>
      <c r="DP20" s="66">
        <v>589</v>
      </c>
      <c r="DQ20" s="66">
        <v>597</v>
      </c>
      <c r="DR20" s="66">
        <v>564</v>
      </c>
      <c r="DS20" s="66">
        <v>553</v>
      </c>
      <c r="DT20" s="66">
        <v>479</v>
      </c>
      <c r="DU20" s="54">
        <v>479</v>
      </c>
      <c r="DV20" s="66">
        <v>459</v>
      </c>
      <c r="DW20" s="66">
        <v>423</v>
      </c>
      <c r="DX20" s="66">
        <v>378</v>
      </c>
      <c r="DY20" s="66">
        <f>1630-DX20-DW20-DV20</f>
        <v>370</v>
      </c>
      <c r="DZ20" s="66">
        <v>351</v>
      </c>
      <c r="EA20" s="66">
        <f>706-DZ20</f>
        <v>355</v>
      </c>
      <c r="EB20" s="66">
        <f>1023-EA20-DZ20</f>
        <v>317</v>
      </c>
      <c r="EC20" s="54">
        <f t="shared" si="26"/>
        <v>356</v>
      </c>
      <c r="ED20" s="124">
        <v>298</v>
      </c>
      <c r="EE20" s="54">
        <f>+EA20*0.9</f>
        <v>319.5</v>
      </c>
      <c r="EF20" s="54">
        <f>+EB20*0.9</f>
        <v>285.3</v>
      </c>
      <c r="EG20" s="54">
        <f>+EC20*0.9</f>
        <v>320.40000000000003</v>
      </c>
      <c r="EH20" s="54"/>
      <c r="EI20" s="66"/>
      <c r="EJ20" s="66"/>
      <c r="EK20" s="5"/>
      <c r="EL20" s="25">
        <v>1721</v>
      </c>
      <c r="EM20" s="25">
        <v>2402</v>
      </c>
      <c r="EN20" s="25">
        <v>2775</v>
      </c>
      <c r="EO20" s="25">
        <v>3378</v>
      </c>
      <c r="EP20" s="25">
        <v>4154</v>
      </c>
      <c r="EQ20" s="25">
        <f>SUM(K20:L20)</f>
        <v>4839</v>
      </c>
      <c r="ER20" s="25">
        <f>SUM(M20:N20)</f>
        <v>5516</v>
      </c>
      <c r="ES20" s="25">
        <f>SUM(BN20:BQ20)</f>
        <v>5923</v>
      </c>
      <c r="ET20" s="25">
        <f>SUM(BR20:BU20)</f>
        <v>6087</v>
      </c>
      <c r="EU20" s="25">
        <f>SUM(BV20:BY20)</f>
        <v>6356</v>
      </c>
      <c r="EV20" s="25">
        <f>SUM(BZ20:CC20)</f>
        <v>6005</v>
      </c>
      <c r="EW20" s="25">
        <f>SUM(CD20:CG20)</f>
        <v>6707</v>
      </c>
      <c r="EX20" s="25">
        <f>SUM(CH20:CK20)</f>
        <v>6951</v>
      </c>
      <c r="EY20" s="25">
        <f>5603+1297</f>
        <v>6900</v>
      </c>
      <c r="EZ20" s="127">
        <f>5640+1405</f>
        <v>7045</v>
      </c>
      <c r="FA20" s="127">
        <f>5823+1477</f>
        <v>7300</v>
      </c>
      <c r="FB20" s="127">
        <f>5832+1556</f>
        <v>7388</v>
      </c>
      <c r="FC20" s="127">
        <f>5191+1561</f>
        <v>6752</v>
      </c>
      <c r="FD20" s="127">
        <f>4890+1587</f>
        <v>6477</v>
      </c>
      <c r="FE20" s="127">
        <f>3206+1017</f>
        <v>4223</v>
      </c>
      <c r="FF20" s="127">
        <f>1999+566</f>
        <v>2565</v>
      </c>
      <c r="FG20" s="134">
        <f t="shared" si="30"/>
        <v>2075</v>
      </c>
      <c r="FH20" s="133">
        <f t="shared" si="24"/>
        <v>1630</v>
      </c>
      <c r="FI20" s="133">
        <v>1379</v>
      </c>
      <c r="FJ20" s="133">
        <f t="shared" si="25"/>
        <v>1223.2</v>
      </c>
      <c r="FK20" s="54">
        <f>+FJ20*0.8</f>
        <v>978.56000000000006</v>
      </c>
      <c r="FL20" s="54">
        <f t="shared" si="31"/>
        <v>782.84800000000007</v>
      </c>
      <c r="FM20" s="54">
        <f t="shared" si="31"/>
        <v>626.27840000000015</v>
      </c>
      <c r="FN20" s="54">
        <f t="shared" si="31"/>
        <v>501.02272000000016</v>
      </c>
      <c r="FO20" s="54">
        <f t="shared" si="31"/>
        <v>400.81817600000016</v>
      </c>
      <c r="FP20" s="54">
        <f t="shared" si="31"/>
        <v>320.65454080000018</v>
      </c>
      <c r="FQ20" s="54">
        <f t="shared" si="31"/>
        <v>256.52363264000013</v>
      </c>
      <c r="FR20" s="54">
        <f t="shared" si="31"/>
        <v>205.21890611200013</v>
      </c>
      <c r="FS20" s="54">
        <f t="shared" si="31"/>
        <v>164.17512488960011</v>
      </c>
      <c r="FT20" s="54">
        <f t="shared" si="31"/>
        <v>131.34009991168008</v>
      </c>
    </row>
    <row r="21" spans="2:176" s="26" customFormat="1" ht="13" x14ac:dyDescent="0.3">
      <c r="B21" s="3" t="s">
        <v>796</v>
      </c>
      <c r="C21" s="23"/>
      <c r="D21" s="23"/>
      <c r="E21" s="23"/>
      <c r="F21" s="23"/>
      <c r="G21" s="23"/>
      <c r="H21" s="23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93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>
        <v>298</v>
      </c>
      <c r="DO21" s="66">
        <v>333</v>
      </c>
      <c r="DP21" s="66">
        <v>357</v>
      </c>
      <c r="DQ21" s="66">
        <v>368</v>
      </c>
      <c r="DR21" s="66">
        <v>361</v>
      </c>
      <c r="DS21" s="66">
        <v>384</v>
      </c>
      <c r="DT21" s="66">
        <v>382</v>
      </c>
      <c r="DU21" s="54">
        <v>386</v>
      </c>
      <c r="DV21" s="66">
        <v>372</v>
      </c>
      <c r="DW21" s="66">
        <v>386</v>
      </c>
      <c r="DX21" s="66">
        <v>368</v>
      </c>
      <c r="DY21" s="66">
        <f>1502-DX21-DW21-DV21</f>
        <v>376</v>
      </c>
      <c r="DZ21" s="66">
        <v>355</v>
      </c>
      <c r="EA21" s="66">
        <f>766-DZ21</f>
        <v>411</v>
      </c>
      <c r="EB21" s="66">
        <f>1151-EA21-DZ21</f>
        <v>385</v>
      </c>
      <c r="EC21" s="54">
        <f t="shared" si="26"/>
        <v>397</v>
      </c>
      <c r="ED21" s="124">
        <v>397</v>
      </c>
      <c r="EE21" s="54">
        <f>+EA21</f>
        <v>411</v>
      </c>
      <c r="EF21" s="54">
        <f>+EB21</f>
        <v>385</v>
      </c>
      <c r="EG21" s="54">
        <f>+EC21</f>
        <v>397</v>
      </c>
      <c r="EH21" s="54"/>
      <c r="EI21" s="66"/>
      <c r="EJ21" s="66"/>
      <c r="EK21" s="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127"/>
      <c r="FA21" s="127"/>
      <c r="FB21" s="127">
        <v>362</v>
      </c>
      <c r="FC21" s="127">
        <v>637</v>
      </c>
      <c r="FD21" s="127">
        <v>876</v>
      </c>
      <c r="FE21" s="127">
        <v>1160</v>
      </c>
      <c r="FF21" s="127">
        <v>1356</v>
      </c>
      <c r="FG21" s="134">
        <f t="shared" si="30"/>
        <v>1513</v>
      </c>
      <c r="FH21" s="133">
        <f t="shared" si="24"/>
        <v>1502</v>
      </c>
      <c r="FI21" s="133">
        <v>1548</v>
      </c>
      <c r="FJ21" s="133">
        <f t="shared" ref="FJ21:FJ70" si="32">SUM(ED21:EG21)</f>
        <v>1590</v>
      </c>
    </row>
    <row r="22" spans="2:176" s="26" customFormat="1" ht="13" x14ac:dyDescent="0.3">
      <c r="B22" s="15" t="s">
        <v>23</v>
      </c>
      <c r="C22" s="23"/>
      <c r="D22" s="23"/>
      <c r="E22" s="23"/>
      <c r="F22" s="23"/>
      <c r="G22" s="23"/>
      <c r="H22" s="23"/>
      <c r="I22" s="25">
        <v>607</v>
      </c>
      <c r="J22" s="25">
        <f>1665-I22</f>
        <v>1058</v>
      </c>
      <c r="K22" s="25">
        <v>1389</v>
      </c>
      <c r="L22" s="25">
        <f>2962-K22</f>
        <v>1573</v>
      </c>
      <c r="M22" s="25">
        <v>1909</v>
      </c>
      <c r="N22" s="25">
        <f>4106-M22</f>
        <v>2197</v>
      </c>
      <c r="O22" s="25">
        <v>2351</v>
      </c>
      <c r="P22" s="25">
        <f>SUM(BP22:BQ22)</f>
        <v>2856</v>
      </c>
      <c r="Q22" s="25">
        <f>SUM(BR22:BS22)</f>
        <v>3090</v>
      </c>
      <c r="R22" s="25">
        <f>BT22+BU22</f>
        <v>3132</v>
      </c>
      <c r="S22" s="25">
        <v>3393</v>
      </c>
      <c r="T22" s="25">
        <f>+BY22+BX22</f>
        <v>3068</v>
      </c>
      <c r="U22" s="25">
        <f>SUM(BZ22:CA22)</f>
        <v>2726</v>
      </c>
      <c r="V22" s="25">
        <f>CC22+CB22</f>
        <v>2566</v>
      </c>
      <c r="W22" s="25">
        <f>U22*1</f>
        <v>2726</v>
      </c>
      <c r="X22" s="25">
        <f>V22*1.05</f>
        <v>2694.3</v>
      </c>
      <c r="Y22" s="25"/>
      <c r="Z22" s="25"/>
      <c r="AA22" s="25">
        <v>3097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93"/>
      <c r="AX22" s="66">
        <v>48</v>
      </c>
      <c r="AY22" s="66">
        <v>169</v>
      </c>
      <c r="AZ22" s="66">
        <v>235</v>
      </c>
      <c r="BA22" s="66">
        <v>238</v>
      </c>
      <c r="BB22" s="66">
        <v>260</v>
      </c>
      <c r="BC22" s="66">
        <v>347</v>
      </c>
      <c r="BD22" s="66">
        <v>486</v>
      </c>
      <c r="BE22" s="66">
        <v>572</v>
      </c>
      <c r="BF22" s="66">
        <v>676</v>
      </c>
      <c r="BG22" s="66">
        <v>713</v>
      </c>
      <c r="BH22" s="66">
        <v>741</v>
      </c>
      <c r="BI22" s="66">
        <v>832</v>
      </c>
      <c r="BJ22" s="66">
        <v>923</v>
      </c>
      <c r="BK22" s="66">
        <v>986</v>
      </c>
      <c r="BL22" s="66">
        <v>1062</v>
      </c>
      <c r="BM22" s="66">
        <v>1135</v>
      </c>
      <c r="BN22" s="66">
        <v>1131</v>
      </c>
      <c r="BO22" s="66">
        <v>1220</v>
      </c>
      <c r="BP22" s="66">
        <v>1351</v>
      </c>
      <c r="BQ22" s="66">
        <v>1505</v>
      </c>
      <c r="BR22" s="66">
        <v>1485</v>
      </c>
      <c r="BS22" s="66">
        <v>1605</v>
      </c>
      <c r="BT22" s="66">
        <v>1594</v>
      </c>
      <c r="BU22" s="66">
        <v>1538</v>
      </c>
      <c r="BV22" s="66">
        <v>1666</v>
      </c>
      <c r="BW22" s="66">
        <f>+S22-BV22</f>
        <v>1727</v>
      </c>
      <c r="BX22" s="66">
        <f>5001-BW22-BV22</f>
        <v>1608</v>
      </c>
      <c r="BY22" s="66">
        <v>1460</v>
      </c>
      <c r="BZ22" s="66">
        <v>1417</v>
      </c>
      <c r="CA22" s="66">
        <f>2726-BZ22</f>
        <v>1309</v>
      </c>
      <c r="CB22" s="66">
        <v>1216</v>
      </c>
      <c r="CC22" s="66">
        <v>1350</v>
      </c>
      <c r="CD22" s="66">
        <v>1385</v>
      </c>
      <c r="CE22" s="66">
        <v>1420</v>
      </c>
      <c r="CF22" s="66">
        <v>1504</v>
      </c>
      <c r="CG22" s="66">
        <v>1455</v>
      </c>
      <c r="CH22" s="66">
        <v>1527</v>
      </c>
      <c r="CI22" s="66">
        <v>1566</v>
      </c>
      <c r="CJ22" s="66">
        <v>1617</v>
      </c>
      <c r="CK22" s="66">
        <v>1544</v>
      </c>
      <c r="CL22" s="66">
        <v>1565</v>
      </c>
      <c r="CM22" s="66">
        <v>1532</v>
      </c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>
        <v>863</v>
      </c>
      <c r="DO22" s="66">
        <v>782</v>
      </c>
      <c r="DP22" s="66">
        <v>745</v>
      </c>
      <c r="DQ22" s="66">
        <v>666</v>
      </c>
      <c r="DR22" s="66">
        <v>581</v>
      </c>
      <c r="DS22" s="66">
        <v>561</v>
      </c>
      <c r="DT22" s="66">
        <v>510</v>
      </c>
      <c r="DU22" s="54">
        <v>470</v>
      </c>
      <c r="DV22" s="66">
        <v>416</v>
      </c>
      <c r="DW22" s="66">
        <v>421</v>
      </c>
      <c r="DX22" s="66">
        <v>373</v>
      </c>
      <c r="DY22" s="66">
        <f>1573-DX22-DW22-DV22</f>
        <v>363</v>
      </c>
      <c r="DZ22" s="66">
        <v>324</v>
      </c>
      <c r="EA22" s="66">
        <f>654-DZ22</f>
        <v>330</v>
      </c>
      <c r="EB22" s="66">
        <f>943-EA22-DZ22</f>
        <v>289</v>
      </c>
      <c r="EC22" s="54">
        <f t="shared" si="26"/>
        <v>290</v>
      </c>
      <c r="ED22" s="124">
        <v>274</v>
      </c>
      <c r="EE22" s="54">
        <f>+EA22*0.9</f>
        <v>297</v>
      </c>
      <c r="EF22" s="54">
        <f>+EB22*0.9</f>
        <v>260.10000000000002</v>
      </c>
      <c r="EG22" s="54">
        <f>+EC22*0.9</f>
        <v>261</v>
      </c>
      <c r="EH22" s="54"/>
      <c r="EI22" s="66"/>
      <c r="EJ22" s="66"/>
      <c r="EK22" s="5"/>
      <c r="EL22" s="25">
        <v>0</v>
      </c>
      <c r="EM22" s="25">
        <v>0</v>
      </c>
      <c r="EN22" s="25">
        <v>0</v>
      </c>
      <c r="EO22" s="25">
        <f>SUM(AX22:BA22)</f>
        <v>690</v>
      </c>
      <c r="EP22" s="25">
        <f>SUM(BB22:BE22)</f>
        <v>1665</v>
      </c>
      <c r="EQ22" s="25">
        <f t="shared" si="23"/>
        <v>2962</v>
      </c>
      <c r="ER22" s="25">
        <f>SUM(M22:N22)</f>
        <v>4106</v>
      </c>
      <c r="ES22" s="25">
        <f t="shared" ref="ES22:ES47" si="33">SUM(BN22:BQ22)</f>
        <v>5207</v>
      </c>
      <c r="ET22" s="25">
        <f t="shared" si="19"/>
        <v>6222</v>
      </c>
      <c r="EU22" s="25">
        <f>SUM(BV22:BY22)</f>
        <v>6461</v>
      </c>
      <c r="EV22" s="25">
        <f>SUM(BZ22:CC22)</f>
        <v>5292</v>
      </c>
      <c r="EW22" s="25">
        <f>SUM(CD22:CG22)</f>
        <v>5764</v>
      </c>
      <c r="EX22" s="25">
        <f>SUM(CH22:CK22)</f>
        <v>6254</v>
      </c>
      <c r="EY22" s="25">
        <v>6417</v>
      </c>
      <c r="EZ22" s="127">
        <v>6684</v>
      </c>
      <c r="FA22" s="127">
        <v>6783</v>
      </c>
      <c r="FB22" s="127">
        <v>6688</v>
      </c>
      <c r="FC22" s="127">
        <v>6849</v>
      </c>
      <c r="FD22" s="127">
        <v>7073</v>
      </c>
      <c r="FE22" s="127">
        <v>4992</v>
      </c>
      <c r="FF22" s="127">
        <v>3056</v>
      </c>
      <c r="FG22" s="134">
        <f t="shared" si="27"/>
        <v>2122</v>
      </c>
      <c r="FH22" s="133">
        <f t="shared" si="24"/>
        <v>1573</v>
      </c>
      <c r="FI22" s="133">
        <v>1233</v>
      </c>
      <c r="FJ22" s="133">
        <f t="shared" si="32"/>
        <v>1092.0999999999999</v>
      </c>
      <c r="FK22" s="54">
        <f>+FJ22*0.8</f>
        <v>873.68</v>
      </c>
      <c r="FL22" s="54">
        <f t="shared" si="31"/>
        <v>698.94399999999996</v>
      </c>
      <c r="FM22" s="54">
        <f t="shared" si="31"/>
        <v>559.15520000000004</v>
      </c>
      <c r="FN22" s="54">
        <f t="shared" si="31"/>
        <v>447.32416000000006</v>
      </c>
      <c r="FO22" s="54">
        <f t="shared" si="31"/>
        <v>357.85932800000006</v>
      </c>
      <c r="FP22" s="54">
        <f t="shared" si="31"/>
        <v>286.28746240000004</v>
      </c>
      <c r="FQ22" s="54">
        <f t="shared" si="31"/>
        <v>229.02996992000004</v>
      </c>
      <c r="FR22" s="54">
        <f t="shared" si="31"/>
        <v>183.22397593600004</v>
      </c>
      <c r="FS22" s="54">
        <f t="shared" si="31"/>
        <v>146.57918074880004</v>
      </c>
      <c r="FT22" s="54">
        <f t="shared" si="31"/>
        <v>117.26334459904004</v>
      </c>
    </row>
    <row r="23" spans="2:176" s="26" customFormat="1" ht="13" x14ac:dyDescent="0.3">
      <c r="B23" s="3" t="s">
        <v>795</v>
      </c>
      <c r="C23" s="23"/>
      <c r="D23" s="23"/>
      <c r="E23" s="23"/>
      <c r="F23" s="23"/>
      <c r="G23" s="23"/>
      <c r="H23" s="23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93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>
        <v>166</v>
      </c>
      <c r="DO23" s="66">
        <v>429</v>
      </c>
      <c r="DP23" s="66">
        <v>489</v>
      </c>
      <c r="DQ23" s="66">
        <v>546</v>
      </c>
      <c r="DR23" s="66">
        <v>587</v>
      </c>
      <c r="DS23" s="66">
        <v>22</v>
      </c>
      <c r="DT23" s="66">
        <v>22</v>
      </c>
      <c r="DU23" s="54">
        <v>1048</v>
      </c>
      <c r="DV23" s="66">
        <v>567</v>
      </c>
      <c r="DW23" s="66">
        <v>-17</v>
      </c>
      <c r="DX23" s="66">
        <v>-18</v>
      </c>
      <c r="DY23" s="66">
        <f>525-DX23-DW23-DV23</f>
        <v>-7</v>
      </c>
      <c r="DZ23" s="66"/>
      <c r="EA23" s="66"/>
      <c r="EB23" s="66">
        <f>3-EA23-DZ23</f>
        <v>3</v>
      </c>
      <c r="EC23" s="54">
        <f t="shared" si="26"/>
        <v>0</v>
      </c>
      <c r="ED23" s="124"/>
      <c r="EE23" s="54"/>
      <c r="EF23" s="54"/>
      <c r="EG23" s="54"/>
      <c r="EH23" s="54"/>
      <c r="EI23" s="66"/>
      <c r="EJ23" s="66"/>
      <c r="EK23" s="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127"/>
      <c r="FA23" s="127"/>
      <c r="FB23" s="127"/>
      <c r="FC23" s="127"/>
      <c r="FD23" s="127"/>
      <c r="FE23" s="127">
        <v>0</v>
      </c>
      <c r="FF23" s="127">
        <v>1630</v>
      </c>
      <c r="FG23" s="134">
        <f t="shared" si="27"/>
        <v>1679</v>
      </c>
      <c r="FH23" s="133">
        <f t="shared" si="24"/>
        <v>525</v>
      </c>
      <c r="FI23" s="133">
        <v>3</v>
      </c>
      <c r="FJ23" s="133">
        <f t="shared" si="32"/>
        <v>0</v>
      </c>
    </row>
    <row r="24" spans="2:176" s="26" customFormat="1" ht="13" x14ac:dyDescent="0.3">
      <c r="B24" s="15" t="s">
        <v>29</v>
      </c>
      <c r="C24" s="23"/>
      <c r="D24" s="23"/>
      <c r="E24" s="23"/>
      <c r="F24" s="23"/>
      <c r="G24" s="23"/>
      <c r="H24" s="23"/>
      <c r="I24" s="25"/>
      <c r="J24" s="25"/>
      <c r="K24" s="25">
        <v>13</v>
      </c>
      <c r="L24" s="25">
        <f>478-K24</f>
        <v>465</v>
      </c>
      <c r="M24" s="25">
        <v>524</v>
      </c>
      <c r="N24" s="25">
        <f>991-M24</f>
        <v>467</v>
      </c>
      <c r="O24" s="25">
        <v>440</v>
      </c>
      <c r="P24" s="25">
        <f>SUM(BP24:BQ24)</f>
        <v>520</v>
      </c>
      <c r="Q24" s="25">
        <f>SUM(BR24:BS24)</f>
        <v>573</v>
      </c>
      <c r="R24" s="25">
        <f>BT24+BU24</f>
        <v>625</v>
      </c>
      <c r="S24" s="25">
        <v>697</v>
      </c>
      <c r="T24" s="25">
        <f t="shared" ref="T24:T53" si="34">+BY24+BX24</f>
        <v>761</v>
      </c>
      <c r="U24" s="25">
        <f t="shared" ref="U24:U54" si="35">SUM(BZ24:CA24)</f>
        <v>769</v>
      </c>
      <c r="V24" s="25">
        <f t="shared" ref="V24:V53" si="36">CC24+CB24</f>
        <v>754</v>
      </c>
      <c r="W24" s="25"/>
      <c r="X24" s="25"/>
      <c r="Y24" s="25"/>
      <c r="Z24" s="25"/>
      <c r="AA24" s="25">
        <v>828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93"/>
      <c r="AX24" s="93">
        <v>0</v>
      </c>
      <c r="AY24" s="66">
        <v>0</v>
      </c>
      <c r="AZ24" s="66">
        <v>0</v>
      </c>
      <c r="BA24" s="66">
        <v>0</v>
      </c>
      <c r="BB24" s="66">
        <v>0</v>
      </c>
      <c r="BC24" s="66">
        <v>0</v>
      </c>
      <c r="BD24" s="66">
        <v>0</v>
      </c>
      <c r="BE24" s="66">
        <v>0</v>
      </c>
      <c r="BF24" s="66">
        <v>0</v>
      </c>
      <c r="BG24" s="66">
        <v>13</v>
      </c>
      <c r="BH24" s="66">
        <v>192</v>
      </c>
      <c r="BI24" s="66">
        <v>273</v>
      </c>
      <c r="BJ24" s="66">
        <v>263</v>
      </c>
      <c r="BK24" s="66">
        <v>261</v>
      </c>
      <c r="BL24" s="66">
        <v>239</v>
      </c>
      <c r="BM24" s="66">
        <v>228</v>
      </c>
      <c r="BN24" s="66">
        <v>215</v>
      </c>
      <c r="BO24" s="66">
        <v>225</v>
      </c>
      <c r="BP24" s="66">
        <v>246</v>
      </c>
      <c r="BQ24" s="66">
        <v>274</v>
      </c>
      <c r="BR24" s="66">
        <v>279</v>
      </c>
      <c r="BS24" s="66">
        <v>294</v>
      </c>
      <c r="BT24" s="66">
        <v>296</v>
      </c>
      <c r="BU24" s="66">
        <v>329</v>
      </c>
      <c r="BV24" s="66">
        <v>327</v>
      </c>
      <c r="BW24" s="66">
        <f>+S24-BV24</f>
        <v>370</v>
      </c>
      <c r="BX24" s="66">
        <f>1081-BW24-BV24</f>
        <v>384</v>
      </c>
      <c r="BY24" s="66">
        <v>377</v>
      </c>
      <c r="BZ24" s="66">
        <v>392</v>
      </c>
      <c r="CA24" s="66">
        <f>769-BZ24</f>
        <v>377</v>
      </c>
      <c r="CB24" s="66">
        <v>359</v>
      </c>
      <c r="CC24" s="66">
        <v>395</v>
      </c>
      <c r="CD24" s="66">
        <v>385</v>
      </c>
      <c r="CE24" s="66">
        <v>360</v>
      </c>
      <c r="CF24" s="66">
        <v>368</v>
      </c>
      <c r="CG24" s="66">
        <v>368</v>
      </c>
      <c r="CH24" s="66">
        <v>393</v>
      </c>
      <c r="CI24" s="66">
        <v>427</v>
      </c>
      <c r="CJ24" s="66">
        <v>431</v>
      </c>
      <c r="CK24" s="66">
        <v>438</v>
      </c>
      <c r="CL24" s="66">
        <v>407</v>
      </c>
      <c r="CM24" s="66">
        <v>421</v>
      </c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>
        <v>337</v>
      </c>
      <c r="DO24" s="66">
        <v>328</v>
      </c>
      <c r="DP24" s="66">
        <v>352</v>
      </c>
      <c r="DQ24" s="66">
        <v>336</v>
      </c>
      <c r="DR24" s="66">
        <v>256</v>
      </c>
      <c r="DS24" s="66">
        <v>316</v>
      </c>
      <c r="DT24" s="66">
        <v>228</v>
      </c>
      <c r="DU24" s="54">
        <v>212</v>
      </c>
      <c r="DV24" s="66">
        <v>167</v>
      </c>
      <c r="DW24" s="66">
        <v>132</v>
      </c>
      <c r="DX24" s="66">
        <v>97</v>
      </c>
      <c r="DY24" s="66">
        <f>460-DX24-DW24-DV24</f>
        <v>64</v>
      </c>
      <c r="DZ24" s="66"/>
      <c r="EA24" s="66"/>
      <c r="EB24" s="66">
        <v>0</v>
      </c>
      <c r="EC24" s="54">
        <f t="shared" si="26"/>
        <v>0</v>
      </c>
      <c r="ED24" s="124"/>
      <c r="EE24" s="54"/>
      <c r="EF24" s="54"/>
      <c r="EG24" s="54"/>
      <c r="EH24" s="54"/>
      <c r="EI24" s="66"/>
      <c r="EJ24" s="66"/>
      <c r="EK24" s="5"/>
      <c r="EL24" s="25">
        <v>0</v>
      </c>
      <c r="EM24" s="25">
        <v>0</v>
      </c>
      <c r="EN24" s="25">
        <v>0</v>
      </c>
      <c r="EO24" s="25">
        <f>SUM(AX24:BA24)</f>
        <v>0</v>
      </c>
      <c r="EP24" s="25">
        <f>SUM(BB24:BE24)</f>
        <v>0</v>
      </c>
      <c r="EQ24" s="25">
        <f t="shared" si="23"/>
        <v>478</v>
      </c>
      <c r="ER24" s="25">
        <f>SUM(M24:N24)</f>
        <v>991</v>
      </c>
      <c r="ES24" s="25">
        <f t="shared" si="33"/>
        <v>960</v>
      </c>
      <c r="ET24" s="25">
        <f>SUM(BR24:BU24)</f>
        <v>1198</v>
      </c>
      <c r="EU24" s="25">
        <f t="shared" si="20"/>
        <v>1458</v>
      </c>
      <c r="EV24" s="25">
        <f t="shared" ref="EV24:EV54" si="37">SUM(BZ24:CC24)</f>
        <v>1523</v>
      </c>
      <c r="EW24" s="25">
        <f t="shared" ref="EW24:EW64" si="38">SUM(CD24:CG24)</f>
        <v>1481</v>
      </c>
      <c r="EX24" s="25">
        <f t="shared" ref="EX24:EX63" si="39">SUM(CH24:CK24)</f>
        <v>1689</v>
      </c>
      <c r="EY24" s="25">
        <v>1701</v>
      </c>
      <c r="EZ24" s="127">
        <v>1520</v>
      </c>
      <c r="FA24" s="127">
        <v>1406</v>
      </c>
      <c r="FB24" s="127">
        <v>1414</v>
      </c>
      <c r="FC24" s="127">
        <v>1659</v>
      </c>
      <c r="FD24" s="127">
        <v>1826</v>
      </c>
      <c r="FE24" s="127">
        <v>1444</v>
      </c>
      <c r="FF24" s="127">
        <v>1353</v>
      </c>
      <c r="FG24" s="134">
        <f t="shared" si="27"/>
        <v>1012</v>
      </c>
      <c r="FH24" s="133">
        <f t="shared" si="24"/>
        <v>460</v>
      </c>
      <c r="FI24" s="64"/>
      <c r="FJ24" s="133">
        <f t="shared" si="32"/>
        <v>0</v>
      </c>
    </row>
    <row r="25" spans="2:176" s="26" customFormat="1" ht="13" x14ac:dyDescent="0.3">
      <c r="B25" s="15" t="s">
        <v>26</v>
      </c>
      <c r="C25" s="23"/>
      <c r="D25" s="23"/>
      <c r="E25" s="23"/>
      <c r="F25" s="23"/>
      <c r="G25" s="23"/>
      <c r="H25" s="23"/>
      <c r="I25" s="25"/>
      <c r="J25" s="25">
        <f>310-I25</f>
        <v>310</v>
      </c>
      <c r="K25" s="25">
        <v>178</v>
      </c>
      <c r="L25" s="25">
        <f>362-K25</f>
        <v>184</v>
      </c>
      <c r="M25" s="25">
        <v>202</v>
      </c>
      <c r="N25" s="25">
        <f>382-M25</f>
        <v>180</v>
      </c>
      <c r="O25" s="25">
        <v>164</v>
      </c>
      <c r="P25" s="25">
        <f>SUM(BP25:BQ25)</f>
        <v>178</v>
      </c>
      <c r="Q25" s="25">
        <f>SUM(BR25:BS25)</f>
        <v>226</v>
      </c>
      <c r="R25" s="25">
        <f>BT25+BU25</f>
        <v>229</v>
      </c>
      <c r="S25" s="25">
        <v>227</v>
      </c>
      <c r="T25" s="25">
        <f>+BY25+BX25</f>
        <v>233</v>
      </c>
      <c r="U25" s="25">
        <f>SUM(BZ25:CA25)</f>
        <v>231</v>
      </c>
      <c r="V25" s="25">
        <f>CC25+CB25</f>
        <v>222</v>
      </c>
      <c r="W25" s="25"/>
      <c r="X25" s="25"/>
      <c r="Y25" s="25"/>
      <c r="Z25" s="25"/>
      <c r="AA25" s="25">
        <v>359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93"/>
      <c r="AX25" s="66">
        <v>63</v>
      </c>
      <c r="AY25" s="66">
        <v>72</v>
      </c>
      <c r="AZ25" s="66">
        <v>76</v>
      </c>
      <c r="BA25" s="66">
        <v>67</v>
      </c>
      <c r="BB25" s="66">
        <v>67</v>
      </c>
      <c r="BC25" s="66">
        <v>72</v>
      </c>
      <c r="BD25" s="66">
        <v>84</v>
      </c>
      <c r="BE25" s="66">
        <v>87</v>
      </c>
      <c r="BF25" s="66">
        <v>88</v>
      </c>
      <c r="BG25" s="66">
        <v>90</v>
      </c>
      <c r="BH25" s="66">
        <v>89</v>
      </c>
      <c r="BI25" s="66">
        <v>95</v>
      </c>
      <c r="BJ25" s="66">
        <v>96</v>
      </c>
      <c r="BK25" s="66">
        <v>106</v>
      </c>
      <c r="BL25" s="66">
        <v>92</v>
      </c>
      <c r="BM25" s="66">
        <v>88</v>
      </c>
      <c r="BN25" s="66">
        <v>83</v>
      </c>
      <c r="BO25" s="66">
        <v>81</v>
      </c>
      <c r="BP25" s="66">
        <v>81</v>
      </c>
      <c r="BQ25" s="66">
        <v>97</v>
      </c>
      <c r="BR25" s="66">
        <v>126</v>
      </c>
      <c r="BS25" s="66">
        <v>100</v>
      </c>
      <c r="BT25" s="66">
        <v>107</v>
      </c>
      <c r="BU25" s="66">
        <v>122</v>
      </c>
      <c r="BV25" s="66">
        <v>110</v>
      </c>
      <c r="BW25" s="66">
        <f>+S25-BV25</f>
        <v>117</v>
      </c>
      <c r="BX25" s="66">
        <f>346-BW25-BV25</f>
        <v>119</v>
      </c>
      <c r="BY25" s="66">
        <v>114</v>
      </c>
      <c r="BZ25" s="66">
        <v>122</v>
      </c>
      <c r="CA25" s="66">
        <f>231-BZ25</f>
        <v>109</v>
      </c>
      <c r="CB25" s="66">
        <v>100</v>
      </c>
      <c r="CC25" s="66">
        <v>122</v>
      </c>
      <c r="CD25" s="66">
        <v>140</v>
      </c>
      <c r="CE25" s="66">
        <v>145</v>
      </c>
      <c r="CF25" s="66">
        <v>152</v>
      </c>
      <c r="CG25" s="66">
        <v>147</v>
      </c>
      <c r="CH25" s="66">
        <v>190</v>
      </c>
      <c r="CI25" s="66">
        <v>151</v>
      </c>
      <c r="CJ25" s="66">
        <v>173</v>
      </c>
      <c r="CK25" s="66">
        <v>169</v>
      </c>
      <c r="CL25" s="66">
        <v>181</v>
      </c>
      <c r="CM25" s="66">
        <v>178</v>
      </c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>
        <v>304</v>
      </c>
      <c r="DO25" s="66">
        <v>294</v>
      </c>
      <c r="DP25" s="66">
        <v>323</v>
      </c>
      <c r="DQ25" s="66">
        <v>391</v>
      </c>
      <c r="DR25" s="66">
        <v>247</v>
      </c>
      <c r="DS25" s="66">
        <v>312</v>
      </c>
      <c r="DT25" s="66">
        <v>322</v>
      </c>
      <c r="DU25" s="54">
        <v>296</v>
      </c>
      <c r="DV25" s="66">
        <v>302</v>
      </c>
      <c r="DW25" s="66">
        <v>319</v>
      </c>
      <c r="DX25" s="66">
        <v>282</v>
      </c>
      <c r="DY25" s="66">
        <f>1173-DX25-DW25-DV25</f>
        <v>270</v>
      </c>
      <c r="DZ25" s="66">
        <v>296</v>
      </c>
      <c r="EA25" s="66">
        <f>593-DZ25</f>
        <v>297</v>
      </c>
      <c r="EB25" s="66">
        <f>895-EA25-DZ25</f>
        <v>302</v>
      </c>
      <c r="EC25" s="54">
        <f t="shared" si="26"/>
        <v>307</v>
      </c>
      <c r="ED25" s="124">
        <v>297</v>
      </c>
      <c r="EE25" s="54">
        <f>+EA25</f>
        <v>297</v>
      </c>
      <c r="EF25" s="54">
        <f>+EB25</f>
        <v>302</v>
      </c>
      <c r="EG25" s="54">
        <f>+EC25</f>
        <v>307</v>
      </c>
      <c r="EH25" s="54"/>
      <c r="EI25" s="66"/>
      <c r="EJ25" s="66"/>
      <c r="EK25" s="5"/>
      <c r="EL25" s="25">
        <v>371</v>
      </c>
      <c r="EM25" s="25">
        <v>322</v>
      </c>
      <c r="EN25" s="25">
        <v>278</v>
      </c>
      <c r="EO25" s="25">
        <f>SUM(AX25:BA25)</f>
        <v>278</v>
      </c>
      <c r="EP25" s="25">
        <f>SUM(BB25:BE25)</f>
        <v>310</v>
      </c>
      <c r="EQ25" s="25">
        <f>SUM(K25:L25)</f>
        <v>362</v>
      </c>
      <c r="ER25" s="25">
        <f>SUM(M25:N25)</f>
        <v>382</v>
      </c>
      <c r="ES25" s="25">
        <f>SUM(BN25:BQ25)</f>
        <v>342</v>
      </c>
      <c r="ET25" s="25">
        <f>SUM(BR25:BU25)</f>
        <v>455</v>
      </c>
      <c r="EU25" s="25">
        <f>SUM(BV25:BY25)</f>
        <v>460</v>
      </c>
      <c r="EV25" s="25">
        <f>SUM(BZ25:CC25)</f>
        <v>453</v>
      </c>
      <c r="EW25" s="25">
        <f>SUM(CD25:CG25)</f>
        <v>584</v>
      </c>
      <c r="EX25" s="25">
        <f>SUM(CH25:CK25)</f>
        <v>683</v>
      </c>
      <c r="EY25" s="25">
        <v>747</v>
      </c>
      <c r="EZ25" s="127">
        <v>935</v>
      </c>
      <c r="FA25" s="127">
        <v>1108</v>
      </c>
      <c r="FB25" s="127">
        <v>1219</v>
      </c>
      <c r="FC25" s="127">
        <v>1284</v>
      </c>
      <c r="FD25" s="127">
        <v>1332</v>
      </c>
      <c r="FE25" s="127">
        <v>1321</v>
      </c>
      <c r="FF25" s="127">
        <v>1312</v>
      </c>
      <c r="FG25" s="134">
        <f t="shared" si="27"/>
        <v>1177</v>
      </c>
      <c r="FH25" s="133">
        <f t="shared" si="24"/>
        <v>1173</v>
      </c>
      <c r="FI25" s="133">
        <v>1202</v>
      </c>
      <c r="FJ25" s="133">
        <f t="shared" si="32"/>
        <v>1203</v>
      </c>
    </row>
    <row r="26" spans="2:176" s="26" customFormat="1" ht="13" x14ac:dyDescent="0.3">
      <c r="B26" s="3" t="s">
        <v>759</v>
      </c>
      <c r="C26" s="23"/>
      <c r="D26" s="23"/>
      <c r="E26" s="23"/>
      <c r="F26" s="23"/>
      <c r="G26" s="23"/>
      <c r="H26" s="23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>
        <v>18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93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>
        <v>155</v>
      </c>
      <c r="DO26" s="66">
        <v>169</v>
      </c>
      <c r="DP26" s="66">
        <v>177</v>
      </c>
      <c r="DQ26" s="66">
        <v>177</v>
      </c>
      <c r="DR26" s="66">
        <v>165</v>
      </c>
      <c r="DS26" s="66">
        <v>184</v>
      </c>
      <c r="DT26" s="66">
        <v>190</v>
      </c>
      <c r="DU26" s="54">
        <v>191</v>
      </c>
      <c r="DV26" s="66">
        <v>197</v>
      </c>
      <c r="DW26" s="66">
        <v>205</v>
      </c>
      <c r="DX26" s="66">
        <v>213</v>
      </c>
      <c r="DY26" s="66">
        <f>811-DX26-DW26-DV26</f>
        <v>196</v>
      </c>
      <c r="DZ26" s="66">
        <v>213</v>
      </c>
      <c r="EA26" s="66">
        <f>445-DZ26</f>
        <v>232</v>
      </c>
      <c r="EB26" s="66">
        <f>670-EA26-DZ26</f>
        <v>225</v>
      </c>
      <c r="EC26" s="54">
        <f t="shared" si="26"/>
        <v>240</v>
      </c>
      <c r="ED26" s="124">
        <v>249</v>
      </c>
      <c r="EE26" s="54">
        <f>+EA26*1.05</f>
        <v>243.60000000000002</v>
      </c>
      <c r="EF26" s="54">
        <f>+EB26*1.05</f>
        <v>236.25</v>
      </c>
      <c r="EG26" s="54">
        <f>+EC26*1.05</f>
        <v>252</v>
      </c>
      <c r="EH26" s="54"/>
      <c r="EI26" s="66"/>
      <c r="EJ26" s="66"/>
      <c r="EK26" s="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127">
        <v>128</v>
      </c>
      <c r="FA26" s="127">
        <v>196</v>
      </c>
      <c r="FB26" s="127">
        <v>278</v>
      </c>
      <c r="FC26" s="127">
        <v>390</v>
      </c>
      <c r="FD26" s="127">
        <v>552</v>
      </c>
      <c r="FE26" s="127">
        <v>632</v>
      </c>
      <c r="FF26" s="127">
        <v>678</v>
      </c>
      <c r="FG26" s="134">
        <f>SUM(DR26:DU26)</f>
        <v>730</v>
      </c>
      <c r="FH26" s="133">
        <f t="shared" si="24"/>
        <v>811</v>
      </c>
      <c r="FI26" s="133">
        <v>910</v>
      </c>
      <c r="FJ26" s="133">
        <f t="shared" si="32"/>
        <v>980.85</v>
      </c>
    </row>
    <row r="27" spans="2:176" s="26" customFormat="1" ht="13" x14ac:dyDescent="0.3">
      <c r="B27" s="15" t="s">
        <v>27</v>
      </c>
      <c r="C27" s="23"/>
      <c r="D27" s="23"/>
      <c r="E27" s="23"/>
      <c r="F27" s="23"/>
      <c r="G27" s="23"/>
      <c r="H27" s="23"/>
      <c r="I27" s="25">
        <v>186</v>
      </c>
      <c r="J27" s="25">
        <f>393-I27</f>
        <v>207</v>
      </c>
      <c r="K27" s="25">
        <v>212</v>
      </c>
      <c r="L27" s="25">
        <f>436-K27</f>
        <v>224</v>
      </c>
      <c r="M27" s="25">
        <v>231</v>
      </c>
      <c r="N27" s="25">
        <f>483-M27</f>
        <v>252</v>
      </c>
      <c r="O27" s="25">
        <v>237</v>
      </c>
      <c r="P27" s="25">
        <f>SUM(BP27:BQ27)</f>
        <v>259</v>
      </c>
      <c r="Q27" s="25">
        <f>SUM(BR27:BS27)</f>
        <v>248</v>
      </c>
      <c r="R27" s="25">
        <f>BT27+BU27</f>
        <v>253</v>
      </c>
      <c r="S27" s="25">
        <v>264</v>
      </c>
      <c r="T27" s="25">
        <f>+BY27+BX27</f>
        <v>249</v>
      </c>
      <c r="U27" s="25">
        <f>SUM(BZ27:CA27)</f>
        <v>247</v>
      </c>
      <c r="V27" s="25">
        <f>CC27+CB27</f>
        <v>245</v>
      </c>
      <c r="W27" s="25"/>
      <c r="X27" s="25"/>
      <c r="Y27" s="25"/>
      <c r="Z27" s="25"/>
      <c r="AA27" s="25">
        <v>278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93"/>
      <c r="AX27" s="66">
        <v>84</v>
      </c>
      <c r="AY27" s="66">
        <v>81.796737766624844</v>
      </c>
      <c r="AZ27" s="66">
        <v>86</v>
      </c>
      <c r="BA27" s="66">
        <v>86</v>
      </c>
      <c r="BB27" s="66">
        <v>89</v>
      </c>
      <c r="BC27" s="66">
        <v>97</v>
      </c>
      <c r="BD27" s="66">
        <v>100</v>
      </c>
      <c r="BE27" s="66">
        <v>107</v>
      </c>
      <c r="BF27" s="66">
        <v>109</v>
      </c>
      <c r="BG27" s="66">
        <v>103</v>
      </c>
      <c r="BH27" s="66">
        <v>108</v>
      </c>
      <c r="BI27" s="66">
        <v>116</v>
      </c>
      <c r="BJ27" s="66">
        <v>111</v>
      </c>
      <c r="BK27" s="66">
        <v>120</v>
      </c>
      <c r="BL27" s="66">
        <v>124</v>
      </c>
      <c r="BM27" s="66">
        <v>128</v>
      </c>
      <c r="BN27" s="66">
        <v>117</v>
      </c>
      <c r="BO27" s="66">
        <v>120</v>
      </c>
      <c r="BP27" s="66">
        <v>120</v>
      </c>
      <c r="BQ27" s="66">
        <v>139</v>
      </c>
      <c r="BR27" s="66">
        <v>120</v>
      </c>
      <c r="BS27" s="66">
        <v>128</v>
      </c>
      <c r="BT27" s="66">
        <v>125</v>
      </c>
      <c r="BU27" s="66">
        <v>128</v>
      </c>
      <c r="BV27" s="66">
        <v>135</v>
      </c>
      <c r="BW27" s="66">
        <f>+S27-BV27</f>
        <v>129</v>
      </c>
      <c r="BX27" s="66">
        <f>385-BW27-BV27</f>
        <v>121</v>
      </c>
      <c r="BY27" s="66">
        <v>128</v>
      </c>
      <c r="BZ27" s="66">
        <v>131</v>
      </c>
      <c r="CA27" s="66">
        <f>247-BZ27</f>
        <v>116</v>
      </c>
      <c r="CB27" s="66">
        <v>111</v>
      </c>
      <c r="CC27" s="66">
        <v>134</v>
      </c>
      <c r="CD27" s="66">
        <v>128</v>
      </c>
      <c r="CE27" s="66">
        <v>129</v>
      </c>
      <c r="CF27" s="66">
        <v>139</v>
      </c>
      <c r="CG27" s="66">
        <v>141</v>
      </c>
      <c r="CH27" s="66">
        <v>140</v>
      </c>
      <c r="CI27" s="66">
        <v>138</v>
      </c>
      <c r="CJ27" s="66">
        <v>134</v>
      </c>
      <c r="CK27" s="66">
        <v>160</v>
      </c>
      <c r="CL27" s="66">
        <v>138</v>
      </c>
      <c r="CM27" s="66">
        <v>140</v>
      </c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>
        <v>139</v>
      </c>
      <c r="DO27" s="66">
        <v>137</v>
      </c>
      <c r="DP27" s="66">
        <v>138</v>
      </c>
      <c r="DQ27" s="66">
        <v>152</v>
      </c>
      <c r="DR27" s="66">
        <v>136</v>
      </c>
      <c r="DS27" s="66">
        <v>143</v>
      </c>
      <c r="DT27" s="66">
        <v>135</v>
      </c>
      <c r="DU27" s="54">
        <v>129</v>
      </c>
      <c r="DV27" s="66">
        <v>127</v>
      </c>
      <c r="DW27" s="66">
        <v>111</v>
      </c>
      <c r="DX27" s="66">
        <v>104</v>
      </c>
      <c r="DY27" s="66">
        <f>452-DX27-DW27-DV27</f>
        <v>110</v>
      </c>
      <c r="DZ27" s="66">
        <v>112</v>
      </c>
      <c r="EA27" s="66">
        <f>225-DZ27</f>
        <v>113</v>
      </c>
      <c r="EB27" s="66">
        <f>329-EA27-DZ27</f>
        <v>104</v>
      </c>
      <c r="EC27" s="54">
        <f t="shared" si="26"/>
        <v>126</v>
      </c>
      <c r="ED27" s="54">
        <v>123</v>
      </c>
      <c r="EE27" s="54">
        <f>+EA27</f>
        <v>113</v>
      </c>
      <c r="EF27" s="54">
        <f>+EB27</f>
        <v>104</v>
      </c>
      <c r="EG27" s="54">
        <f>+EC27</f>
        <v>126</v>
      </c>
      <c r="EH27" s="54"/>
      <c r="EI27" s="66"/>
      <c r="EJ27" s="66"/>
      <c r="EK27" s="5"/>
      <c r="EL27" s="25">
        <v>319</v>
      </c>
      <c r="EM27" s="25">
        <v>320</v>
      </c>
      <c r="EN27" s="25">
        <v>328</v>
      </c>
      <c r="EO27" s="25">
        <f>SUM(AX27:BA27)</f>
        <v>337.79673776662486</v>
      </c>
      <c r="EP27" s="25">
        <f>SUM(BB27:BE27)</f>
        <v>393</v>
      </c>
      <c r="EQ27" s="25">
        <f>SUM(K27:L27)</f>
        <v>436</v>
      </c>
      <c r="ER27" s="25">
        <f>SUM(M27:N27)</f>
        <v>483</v>
      </c>
      <c r="ES27" s="25">
        <f>SUM(BN27:BQ27)</f>
        <v>496</v>
      </c>
      <c r="ET27" s="25">
        <f>SUM(BR27:BU27)</f>
        <v>501</v>
      </c>
      <c r="EU27" s="25">
        <f>SUM(BV27:BY27)</f>
        <v>513</v>
      </c>
      <c r="EV27" s="25">
        <f>SUM(BZ27:CC27)</f>
        <v>492</v>
      </c>
      <c r="EW27" s="25">
        <f>SUM(CD27:CG27)</f>
        <v>537</v>
      </c>
      <c r="EX27" s="25">
        <f>SUM(CH27:CK27)</f>
        <v>572</v>
      </c>
      <c r="EY27" s="25">
        <v>597</v>
      </c>
      <c r="EZ27" s="127">
        <v>652</v>
      </c>
      <c r="FA27" s="127">
        <v>685</v>
      </c>
      <c r="FB27" s="127">
        <v>730</v>
      </c>
      <c r="FC27" s="127">
        <v>739</v>
      </c>
      <c r="FD27" s="127">
        <v>751</v>
      </c>
      <c r="FE27" s="127">
        <v>642</v>
      </c>
      <c r="FF27" s="127">
        <v>566</v>
      </c>
      <c r="FG27" s="134">
        <f>SUM(DR27:DU27)</f>
        <v>543</v>
      </c>
      <c r="FH27" s="133">
        <f t="shared" si="24"/>
        <v>452</v>
      </c>
      <c r="FI27" s="133">
        <v>455</v>
      </c>
      <c r="FJ27" s="133">
        <f t="shared" si="32"/>
        <v>466</v>
      </c>
    </row>
    <row r="28" spans="2:176" s="26" customFormat="1" ht="13" x14ac:dyDescent="0.3">
      <c r="B28" s="15" t="s">
        <v>40</v>
      </c>
      <c r="C28" s="23"/>
      <c r="D28" s="23"/>
      <c r="E28" s="23"/>
      <c r="F28" s="23"/>
      <c r="G28" s="23"/>
      <c r="H28" s="23"/>
      <c r="I28" s="25">
        <v>800</v>
      </c>
      <c r="J28" s="25">
        <f>1705-I28</f>
        <v>905</v>
      </c>
      <c r="K28" s="25">
        <v>891</v>
      </c>
      <c r="L28" s="25">
        <f>1842-K28</f>
        <v>951</v>
      </c>
      <c r="M28" s="25">
        <v>979</v>
      </c>
      <c r="N28" s="25">
        <f>2012-M28</f>
        <v>1033</v>
      </c>
      <c r="O28" s="25">
        <v>1010</v>
      </c>
      <c r="P28" s="25">
        <f>SUM(BP28:BQ28)</f>
        <v>1089</v>
      </c>
      <c r="Q28" s="25">
        <f>SUM(BR28:BS28)</f>
        <v>927</v>
      </c>
      <c r="R28" s="25">
        <f>BT28+BU28</f>
        <v>649</v>
      </c>
      <c r="S28" s="25">
        <v>702</v>
      </c>
      <c r="T28" s="25">
        <f>+BY28+BX28</f>
        <v>588</v>
      </c>
      <c r="U28" s="25">
        <f>SUM(BZ28:CA28)</f>
        <v>538</v>
      </c>
      <c r="V28" s="25">
        <f>CC28+CB28</f>
        <v>453</v>
      </c>
      <c r="W28" s="25"/>
      <c r="X28" s="25"/>
      <c r="Y28" s="25"/>
      <c r="Z28" s="25"/>
      <c r="AA28" s="25">
        <v>413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93"/>
      <c r="AX28" s="66">
        <v>369</v>
      </c>
      <c r="AY28" s="66">
        <v>350</v>
      </c>
      <c r="AZ28" s="66">
        <v>337</v>
      </c>
      <c r="BA28" s="66">
        <v>347</v>
      </c>
      <c r="BB28" s="66">
        <v>370</v>
      </c>
      <c r="BC28" s="66">
        <v>430</v>
      </c>
      <c r="BD28" s="66">
        <v>441</v>
      </c>
      <c r="BE28" s="66">
        <v>464</v>
      </c>
      <c r="BF28" s="66">
        <v>454</v>
      </c>
      <c r="BG28" s="66">
        <v>437</v>
      </c>
      <c r="BH28" s="66">
        <v>466</v>
      </c>
      <c r="BI28" s="66">
        <v>485</v>
      </c>
      <c r="BJ28" s="66">
        <v>476</v>
      </c>
      <c r="BK28" s="66">
        <v>503</v>
      </c>
      <c r="BL28" s="66">
        <v>485</v>
      </c>
      <c r="BM28" s="66">
        <v>548</v>
      </c>
      <c r="BN28" s="66">
        <v>487</v>
      </c>
      <c r="BO28" s="66">
        <v>523</v>
      </c>
      <c r="BP28" s="66">
        <v>513</v>
      </c>
      <c r="BQ28" s="66">
        <v>576</v>
      </c>
      <c r="BR28" s="66">
        <v>517</v>
      </c>
      <c r="BS28" s="66">
        <v>410</v>
      </c>
      <c r="BT28" s="66">
        <f>1289-BS28-BR28</f>
        <v>362</v>
      </c>
      <c r="BU28" s="66">
        <v>287</v>
      </c>
      <c r="BV28" s="66">
        <v>357</v>
      </c>
      <c r="BW28" s="66">
        <f>+S28-BV28</f>
        <v>345</v>
      </c>
      <c r="BX28" s="66">
        <f>1001-BW28-BV28</f>
        <v>299</v>
      </c>
      <c r="BY28" s="66">
        <v>289</v>
      </c>
      <c r="BZ28" s="66">
        <v>280</v>
      </c>
      <c r="CA28" s="66">
        <f>538-BZ28</f>
        <v>258</v>
      </c>
      <c r="CB28" s="66">
        <v>232</v>
      </c>
      <c r="CC28" s="66">
        <v>221</v>
      </c>
      <c r="CD28" s="66">
        <v>220</v>
      </c>
      <c r="CE28" s="66">
        <v>234</v>
      </c>
      <c r="CF28" s="66">
        <v>230</v>
      </c>
      <c r="CG28" s="66">
        <v>225</v>
      </c>
      <c r="CH28" s="66">
        <v>229</v>
      </c>
      <c r="CI28" s="66">
        <v>236</v>
      </c>
      <c r="CJ28" s="66">
        <v>216</v>
      </c>
      <c r="CK28" s="66">
        <v>193</v>
      </c>
      <c r="CL28" s="66">
        <v>215</v>
      </c>
      <c r="CM28" s="66">
        <v>198</v>
      </c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>
        <v>154</v>
      </c>
      <c r="DO28" s="66">
        <v>144</v>
      </c>
      <c r="DP28" s="66">
        <v>155</v>
      </c>
      <c r="DQ28" s="66">
        <v>139</v>
      </c>
      <c r="DR28" s="66">
        <v>134</v>
      </c>
      <c r="DS28" s="66">
        <v>136</v>
      </c>
      <c r="DT28" s="66">
        <v>116</v>
      </c>
      <c r="DU28" s="54"/>
      <c r="DV28" s="66"/>
      <c r="DW28" s="66"/>
      <c r="DX28" s="66"/>
      <c r="DY28" s="66">
        <v>98</v>
      </c>
      <c r="DZ28" s="66">
        <v>94</v>
      </c>
      <c r="EA28" s="66">
        <f>197-DZ28</f>
        <v>103</v>
      </c>
      <c r="EB28" s="66">
        <f>283-EA28-DZ28</f>
        <v>86</v>
      </c>
      <c r="EC28" s="54">
        <f t="shared" si="26"/>
        <v>116</v>
      </c>
      <c r="ED28" s="54"/>
      <c r="EE28" s="54"/>
      <c r="EF28" s="54"/>
      <c r="EG28" s="54"/>
      <c r="EH28" s="54"/>
      <c r="EI28" s="66"/>
      <c r="EJ28" s="66"/>
      <c r="EK28" s="5"/>
      <c r="EL28" s="25">
        <v>1056</v>
      </c>
      <c r="EM28" s="25">
        <v>1173</v>
      </c>
      <c r="EN28" s="25">
        <v>1335</v>
      </c>
      <c r="EO28" s="25">
        <f>SUM(AX28:BA28)</f>
        <v>1403</v>
      </c>
      <c r="EP28" s="25">
        <f>SUM(BB28:BE28)</f>
        <v>1705</v>
      </c>
      <c r="EQ28" s="25">
        <f>SUM(K28:L28)</f>
        <v>1842</v>
      </c>
      <c r="ER28" s="25">
        <f>SUM(M28:N28)</f>
        <v>2012</v>
      </c>
      <c r="ES28" s="25">
        <f>SUM(BN28:BQ28)</f>
        <v>2099</v>
      </c>
      <c r="ET28" s="25">
        <f>SUM(BR28:BU28)</f>
        <v>1576</v>
      </c>
      <c r="EU28" s="25">
        <f>SUM(BV28:BY28)</f>
        <v>1290</v>
      </c>
      <c r="EV28" s="25">
        <f>SUM(BZ28:CC28)</f>
        <v>991</v>
      </c>
      <c r="EW28" s="25">
        <f>SUM(CD28:CG28)</f>
        <v>909</v>
      </c>
      <c r="EX28" s="25">
        <f>SUM(CH28:CK28)</f>
        <v>874</v>
      </c>
      <c r="EY28" s="25">
        <v>811</v>
      </c>
      <c r="EZ28" s="127">
        <v>785</v>
      </c>
      <c r="FA28" s="127">
        <v>741</v>
      </c>
      <c r="FB28" s="127">
        <v>697</v>
      </c>
      <c r="FC28" s="127">
        <v>669</v>
      </c>
      <c r="FD28" s="127">
        <v>656</v>
      </c>
      <c r="FE28" s="127">
        <v>606</v>
      </c>
      <c r="FF28" s="127">
        <v>592</v>
      </c>
      <c r="FG28" s="134">
        <f>SUM(DR28:DU28)</f>
        <v>386</v>
      </c>
      <c r="FH28" s="133">
        <v>393</v>
      </c>
      <c r="FI28" s="133">
        <v>399</v>
      </c>
      <c r="FJ28" s="133">
        <f t="shared" si="32"/>
        <v>0</v>
      </c>
    </row>
    <row r="29" spans="2:176" s="26" customFormat="1" ht="13" x14ac:dyDescent="0.3">
      <c r="B29" s="3" t="s">
        <v>800</v>
      </c>
      <c r="C29" s="23"/>
      <c r="D29" s="23"/>
      <c r="E29" s="23"/>
      <c r="F29" s="23"/>
      <c r="G29" s="23"/>
      <c r="H29" s="23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93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>
        <v>81</v>
      </c>
      <c r="DS29" s="66"/>
      <c r="DT29" s="66"/>
      <c r="DU29" s="66">
        <v>147</v>
      </c>
      <c r="DV29" s="66">
        <v>150</v>
      </c>
      <c r="DW29" s="66">
        <v>203</v>
      </c>
      <c r="DX29" s="66">
        <v>252</v>
      </c>
      <c r="DY29" s="66">
        <f>837-DX29-DW29-DV29</f>
        <v>232</v>
      </c>
      <c r="DZ29" s="66">
        <v>250</v>
      </c>
      <c r="EA29" s="66">
        <f>513-DZ29</f>
        <v>263</v>
      </c>
      <c r="EB29" s="66">
        <f>817-EA29-DZ29</f>
        <v>304</v>
      </c>
      <c r="EC29" s="54">
        <f t="shared" si="26"/>
        <v>304</v>
      </c>
      <c r="ED29" s="124">
        <v>358</v>
      </c>
      <c r="EE29" s="54">
        <f>+EA29*1.3</f>
        <v>341.90000000000003</v>
      </c>
      <c r="EF29" s="54">
        <f>+EB29*1.3</f>
        <v>395.2</v>
      </c>
      <c r="EG29" s="54">
        <f>+EC29*1.3</f>
        <v>395.2</v>
      </c>
      <c r="EH29" s="54"/>
      <c r="EI29" s="66"/>
      <c r="EJ29" s="66"/>
      <c r="EK29" s="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127"/>
      <c r="FA29" s="127"/>
      <c r="FB29" s="127"/>
      <c r="FC29" s="127"/>
      <c r="FD29" s="127"/>
      <c r="FE29" s="127">
        <v>169</v>
      </c>
      <c r="FF29" s="127">
        <v>247</v>
      </c>
      <c r="FG29" s="134">
        <f>SUM(DR29:DU29)</f>
        <v>228</v>
      </c>
      <c r="FH29" s="133">
        <f t="shared" si="24"/>
        <v>837</v>
      </c>
      <c r="FI29" s="133">
        <v>1121</v>
      </c>
      <c r="FJ29" s="133">
        <f t="shared" si="32"/>
        <v>1490.3000000000002</v>
      </c>
    </row>
    <row r="30" spans="2:176" s="26" customFormat="1" ht="13" x14ac:dyDescent="0.3">
      <c r="B30" s="3" t="s">
        <v>797</v>
      </c>
      <c r="C30" s="23"/>
      <c r="D30" s="23"/>
      <c r="E30" s="23"/>
      <c r="F30" s="23"/>
      <c r="G30" s="23"/>
      <c r="H30" s="23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93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>
        <v>256</v>
      </c>
      <c r="DO30" s="66">
        <v>270</v>
      </c>
      <c r="DP30" s="66">
        <v>263</v>
      </c>
      <c r="DQ30" s="66">
        <v>250</v>
      </c>
      <c r="DR30" s="66">
        <v>241</v>
      </c>
      <c r="DS30" s="66">
        <v>216</v>
      </c>
      <c r="DT30" s="66">
        <v>133</v>
      </c>
      <c r="DU30" s="54"/>
      <c r="DV30" s="66"/>
      <c r="DW30" s="66"/>
      <c r="DX30" s="66"/>
      <c r="DY30" s="66"/>
      <c r="DZ30" s="66"/>
      <c r="EA30" s="66"/>
      <c r="EB30" s="66"/>
      <c r="EC30" s="54">
        <f t="shared" si="26"/>
        <v>0</v>
      </c>
      <c r="ED30" s="54"/>
      <c r="EE30" s="54"/>
      <c r="EF30" s="54"/>
      <c r="EG30" s="54"/>
      <c r="EH30" s="54"/>
      <c r="EI30" s="66"/>
      <c r="EJ30" s="66"/>
      <c r="EK30" s="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127">
        <v>563</v>
      </c>
      <c r="FA30" s="127">
        <v>768</v>
      </c>
      <c r="FB30" s="127">
        <v>869</v>
      </c>
      <c r="FC30" s="127">
        <v>1031</v>
      </c>
      <c r="FD30" s="127">
        <v>1129</v>
      </c>
      <c r="FE30" s="127">
        <v>1108</v>
      </c>
      <c r="FF30" s="127">
        <v>1039</v>
      </c>
      <c r="FG30" s="134">
        <f t="shared" si="27"/>
        <v>590</v>
      </c>
      <c r="FH30" s="133">
        <v>202</v>
      </c>
      <c r="FI30" s="64"/>
      <c r="FJ30" s="133">
        <f t="shared" si="32"/>
        <v>0</v>
      </c>
    </row>
    <row r="31" spans="2:176" s="26" customFormat="1" ht="13" x14ac:dyDescent="0.3">
      <c r="B31" s="3" t="s">
        <v>758</v>
      </c>
      <c r="C31" s="23"/>
      <c r="D31" s="23"/>
      <c r="E31" s="23"/>
      <c r="F31" s="23"/>
      <c r="G31" s="23"/>
      <c r="H31" s="2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>
        <v>57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93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>
        <v>63</v>
      </c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54">
        <f t="shared" si="26"/>
        <v>260</v>
      </c>
      <c r="ED31" s="54"/>
      <c r="EE31" s="54"/>
      <c r="EF31" s="54"/>
      <c r="EG31" s="54"/>
      <c r="EH31" s="54"/>
      <c r="EI31" s="66"/>
      <c r="EJ31" s="66"/>
      <c r="EK31" s="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127"/>
      <c r="FA31" s="127"/>
      <c r="FB31" s="127"/>
      <c r="FC31" s="127"/>
      <c r="FD31" s="127"/>
      <c r="FE31" s="127">
        <v>278</v>
      </c>
      <c r="FF31" s="127">
        <v>269</v>
      </c>
      <c r="FG31" s="134">
        <v>271</v>
      </c>
      <c r="FH31" s="133">
        <v>245</v>
      </c>
      <c r="FI31" s="133">
        <v>260</v>
      </c>
      <c r="FJ31" s="133">
        <f t="shared" si="32"/>
        <v>0</v>
      </c>
    </row>
    <row r="32" spans="2:176" s="26" customFormat="1" ht="13" x14ac:dyDescent="0.3">
      <c r="B32" s="3" t="s">
        <v>801</v>
      </c>
      <c r="C32" s="23"/>
      <c r="D32" s="23"/>
      <c r="E32" s="23"/>
      <c r="F32" s="23"/>
      <c r="G32" s="23"/>
      <c r="H32" s="23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93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>
        <v>41</v>
      </c>
      <c r="DS32" s="66"/>
      <c r="DT32" s="66"/>
      <c r="DU32" s="66"/>
      <c r="DV32" s="66"/>
      <c r="DW32" s="66"/>
      <c r="DX32" s="66"/>
      <c r="DY32" s="66"/>
      <c r="DZ32" s="66"/>
      <c r="EA32" s="66">
        <f>143-DZ32</f>
        <v>143</v>
      </c>
      <c r="EB32" s="66">
        <f>223-EA32-DZ32</f>
        <v>80</v>
      </c>
      <c r="EC32" s="54">
        <f t="shared" si="26"/>
        <v>88</v>
      </c>
      <c r="ED32" s="54">
        <v>83</v>
      </c>
      <c r="EE32" s="54">
        <f>+EA32</f>
        <v>143</v>
      </c>
      <c r="EF32" s="54">
        <f>+EB32</f>
        <v>80</v>
      </c>
      <c r="EG32" s="54">
        <f>+EC32</f>
        <v>88</v>
      </c>
      <c r="EH32" s="54"/>
      <c r="EI32" s="66"/>
      <c r="EJ32" s="66"/>
      <c r="EK32" s="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127"/>
      <c r="FA32" s="127"/>
      <c r="FB32" s="127"/>
      <c r="FC32" s="127"/>
      <c r="FD32" s="127"/>
      <c r="FE32" s="127"/>
      <c r="FF32" s="64"/>
      <c r="FG32" s="2">
        <v>192</v>
      </c>
      <c r="FH32" s="133">
        <v>256</v>
      </c>
      <c r="FI32" s="133">
        <v>311</v>
      </c>
      <c r="FJ32" s="133">
        <f t="shared" si="32"/>
        <v>394</v>
      </c>
    </row>
    <row r="33" spans="2:166" s="26" customFormat="1" ht="13" x14ac:dyDescent="0.3">
      <c r="B33" s="3" t="s">
        <v>803</v>
      </c>
      <c r="C33" s="23"/>
      <c r="D33" s="23"/>
      <c r="E33" s="23"/>
      <c r="F33" s="23"/>
      <c r="G33" s="23"/>
      <c r="H33" s="23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93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>
        <v>16</v>
      </c>
      <c r="DS33" s="66"/>
      <c r="DT33" s="66"/>
      <c r="DU33" s="66"/>
      <c r="DV33" s="66"/>
      <c r="DW33" s="66"/>
      <c r="DX33" s="66"/>
      <c r="DY33" s="66"/>
      <c r="DZ33" s="66"/>
      <c r="EA33" s="66">
        <f>62-DZ33</f>
        <v>62</v>
      </c>
      <c r="EB33" s="66">
        <f>98-EA33-DZ33</f>
        <v>36</v>
      </c>
      <c r="EC33" s="54">
        <f t="shared" si="26"/>
        <v>36</v>
      </c>
      <c r="ED33" s="54">
        <v>40</v>
      </c>
      <c r="EE33" s="54">
        <f t="shared" ref="EE33:EG34" si="40">+ED33</f>
        <v>40</v>
      </c>
      <c r="EF33" s="54">
        <f t="shared" si="40"/>
        <v>40</v>
      </c>
      <c r="EG33" s="54">
        <f t="shared" si="40"/>
        <v>40</v>
      </c>
      <c r="EH33" s="54"/>
      <c r="EI33" s="66"/>
      <c r="EJ33" s="66"/>
      <c r="EK33" s="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127"/>
      <c r="FA33" s="127"/>
      <c r="FB33" s="127"/>
      <c r="FC33" s="127"/>
      <c r="FD33" s="127"/>
      <c r="FE33" s="127"/>
      <c r="FF33" s="64"/>
      <c r="FG33" s="40"/>
      <c r="FH33" s="133"/>
      <c r="FI33" s="133">
        <v>134</v>
      </c>
      <c r="FJ33" s="133">
        <f t="shared" si="32"/>
        <v>160</v>
      </c>
    </row>
    <row r="34" spans="2:166" s="26" customFormat="1" ht="13" x14ac:dyDescent="0.3">
      <c r="B34" s="3" t="s">
        <v>804</v>
      </c>
      <c r="C34" s="23"/>
      <c r="D34" s="23"/>
      <c r="E34" s="23"/>
      <c r="F34" s="23"/>
      <c r="G34" s="23"/>
      <c r="H34" s="23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93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>
        <v>12</v>
      </c>
      <c r="DS34" s="66"/>
      <c r="DT34" s="66"/>
      <c r="DU34" s="66"/>
      <c r="DV34" s="66"/>
      <c r="DW34" s="66"/>
      <c r="DX34" s="66"/>
      <c r="DY34" s="66"/>
      <c r="DZ34" s="66"/>
      <c r="EA34" s="66">
        <f>20-DZ34</f>
        <v>20</v>
      </c>
      <c r="EB34" s="66">
        <f>30-EA34-DZ34</f>
        <v>10</v>
      </c>
      <c r="EC34" s="54">
        <f t="shared" si="26"/>
        <v>11</v>
      </c>
      <c r="ED34" s="54">
        <v>12</v>
      </c>
      <c r="EE34" s="54">
        <f t="shared" si="40"/>
        <v>12</v>
      </c>
      <c r="EF34" s="54">
        <f t="shared" si="40"/>
        <v>12</v>
      </c>
      <c r="EG34" s="54">
        <f t="shared" si="40"/>
        <v>12</v>
      </c>
      <c r="EH34" s="54"/>
      <c r="EI34" s="66"/>
      <c r="EJ34" s="66"/>
      <c r="EK34" s="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127"/>
      <c r="FA34" s="127"/>
      <c r="FB34" s="127"/>
      <c r="FC34" s="127"/>
      <c r="FD34" s="127"/>
      <c r="FE34" s="127"/>
      <c r="FF34" s="64"/>
      <c r="FG34" s="40"/>
      <c r="FH34" s="133"/>
      <c r="FI34" s="133">
        <v>41</v>
      </c>
      <c r="FJ34" s="133">
        <f t="shared" si="32"/>
        <v>48</v>
      </c>
    </row>
    <row r="35" spans="2:166" s="26" customFormat="1" ht="13" x14ac:dyDescent="0.3">
      <c r="B35" s="3" t="s">
        <v>805</v>
      </c>
      <c r="C35" s="23"/>
      <c r="D35" s="23"/>
      <c r="E35" s="23"/>
      <c r="F35" s="23"/>
      <c r="G35" s="23"/>
      <c r="H35" s="23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93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>
        <v>5</v>
      </c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54">
        <f t="shared" si="26"/>
        <v>0</v>
      </c>
      <c r="ED35" s="54"/>
      <c r="EE35" s="54"/>
      <c r="EF35" s="54"/>
      <c r="EG35" s="54"/>
      <c r="EH35" s="54"/>
      <c r="EI35" s="66"/>
      <c r="EJ35" s="66"/>
      <c r="EK35" s="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127"/>
      <c r="FA35" s="127"/>
      <c r="FB35" s="127"/>
      <c r="FC35" s="127"/>
      <c r="FD35" s="127"/>
      <c r="FE35" s="127"/>
      <c r="FF35" s="64"/>
      <c r="FG35" s="40"/>
      <c r="FH35" s="133"/>
      <c r="FI35" s="64"/>
      <c r="FJ35" s="133">
        <f t="shared" si="32"/>
        <v>0</v>
      </c>
    </row>
    <row r="36" spans="2:166" s="26" customFormat="1" ht="13" x14ac:dyDescent="0.3">
      <c r="B36" s="3" t="s">
        <v>806</v>
      </c>
      <c r="C36" s="23"/>
      <c r="D36" s="23"/>
      <c r="E36" s="23"/>
      <c r="F36" s="23"/>
      <c r="G36" s="23"/>
      <c r="H36" s="23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93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>
        <v>2</v>
      </c>
      <c r="DS36" s="66"/>
      <c r="DT36" s="66"/>
      <c r="DU36" s="66"/>
      <c r="DV36" s="66"/>
      <c r="DW36" s="66"/>
      <c r="DX36" s="66"/>
      <c r="DY36" s="66"/>
      <c r="DZ36" s="66"/>
      <c r="EA36" s="66">
        <f>68-DZ36</f>
        <v>68</v>
      </c>
      <c r="EB36" s="66"/>
      <c r="EC36" s="54">
        <f t="shared" si="26"/>
        <v>84</v>
      </c>
      <c r="ED36" s="54">
        <v>159</v>
      </c>
      <c r="EE36" s="54">
        <f>+EA36</f>
        <v>68</v>
      </c>
      <c r="EF36" s="54">
        <f>+EB36</f>
        <v>0</v>
      </c>
      <c r="EG36" s="54">
        <f>+EC36</f>
        <v>84</v>
      </c>
      <c r="EH36" s="54"/>
      <c r="EI36" s="66"/>
      <c r="EJ36" s="66"/>
      <c r="EK36" s="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127"/>
      <c r="FA36" s="127"/>
      <c r="FB36" s="127"/>
      <c r="FC36" s="127"/>
      <c r="FD36" s="127"/>
      <c r="FE36" s="127"/>
      <c r="FF36" s="64"/>
      <c r="FG36" s="40"/>
      <c r="FH36" s="133">
        <f>99-FG36-FF36</f>
        <v>99</v>
      </c>
      <c r="FI36" s="133">
        <v>152</v>
      </c>
      <c r="FJ36" s="133">
        <f t="shared" si="32"/>
        <v>311</v>
      </c>
    </row>
    <row r="37" spans="2:166" s="26" customFormat="1" ht="13" x14ac:dyDescent="0.3">
      <c r="B37" s="3" t="s">
        <v>807</v>
      </c>
      <c r="C37" s="23"/>
      <c r="D37" s="23"/>
      <c r="E37" s="23"/>
      <c r="F37" s="23"/>
      <c r="G37" s="23"/>
      <c r="H37" s="2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93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>
        <v>1</v>
      </c>
      <c r="DS37" s="66"/>
      <c r="DT37" s="66"/>
      <c r="DU37" s="66"/>
      <c r="DV37" s="66"/>
      <c r="DW37" s="66"/>
      <c r="DX37" s="66"/>
      <c r="DY37" s="66"/>
      <c r="DZ37" s="66"/>
      <c r="EA37" s="66">
        <f>1-DZ37</f>
        <v>1</v>
      </c>
      <c r="EB37" s="66">
        <f>3-EA37-DZ37</f>
        <v>2</v>
      </c>
      <c r="EC37" s="54">
        <f t="shared" si="26"/>
        <v>1</v>
      </c>
      <c r="ED37" s="54">
        <v>2</v>
      </c>
      <c r="EE37" s="54">
        <f>+ED37</f>
        <v>2</v>
      </c>
      <c r="EF37" s="54">
        <f>+EE37</f>
        <v>2</v>
      </c>
      <c r="EG37" s="54">
        <f>+EF37</f>
        <v>2</v>
      </c>
      <c r="EH37" s="54"/>
      <c r="EI37" s="66"/>
      <c r="EJ37" s="66"/>
      <c r="EK37" s="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127"/>
      <c r="FA37" s="127"/>
      <c r="FB37" s="127"/>
      <c r="FC37" s="127"/>
      <c r="FD37" s="127"/>
      <c r="FE37" s="127"/>
      <c r="FF37" s="64"/>
      <c r="FG37" s="40"/>
      <c r="FH37" s="133"/>
      <c r="FI37" s="133">
        <v>4</v>
      </c>
      <c r="FJ37" s="133">
        <f t="shared" si="32"/>
        <v>8</v>
      </c>
    </row>
    <row r="38" spans="2:166" s="26" customFormat="1" ht="13" x14ac:dyDescent="0.3">
      <c r="B38" s="3" t="s">
        <v>955</v>
      </c>
      <c r="C38" s="23"/>
      <c r="D38" s="23"/>
      <c r="E38" s="23"/>
      <c r="F38" s="23"/>
      <c r="G38" s="23"/>
      <c r="H38" s="23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93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>
        <f>37-DZ38</f>
        <v>37</v>
      </c>
      <c r="EB38" s="66">
        <f>54-EA38-DZ38</f>
        <v>17</v>
      </c>
      <c r="EC38" s="54">
        <f t="shared" si="26"/>
        <v>17</v>
      </c>
      <c r="ED38" s="54">
        <v>21</v>
      </c>
      <c r="EE38" s="54">
        <f t="shared" ref="EE38:EG39" si="41">+ED38+1</f>
        <v>22</v>
      </c>
      <c r="EF38" s="54">
        <f t="shared" si="41"/>
        <v>23</v>
      </c>
      <c r="EG38" s="54">
        <f t="shared" si="41"/>
        <v>24</v>
      </c>
      <c r="EH38" s="54"/>
      <c r="EI38" s="66"/>
      <c r="EJ38" s="66"/>
      <c r="EK38" s="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127"/>
      <c r="FA38" s="127"/>
      <c r="FB38" s="127"/>
      <c r="FC38" s="127"/>
      <c r="FD38" s="127"/>
      <c r="FE38" s="127"/>
      <c r="FF38" s="64"/>
      <c r="FG38" s="40"/>
      <c r="FH38" s="133"/>
      <c r="FI38" s="133">
        <v>71</v>
      </c>
      <c r="FJ38" s="133">
        <f t="shared" si="32"/>
        <v>90</v>
      </c>
    </row>
    <row r="39" spans="2:166" s="26" customFormat="1" ht="13" x14ac:dyDescent="0.3">
      <c r="B39" s="3" t="s">
        <v>956</v>
      </c>
      <c r="C39" s="23"/>
      <c r="D39" s="23"/>
      <c r="E39" s="23"/>
      <c r="F39" s="23"/>
      <c r="G39" s="23"/>
      <c r="H39" s="23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93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>
        <f>67-DZ39</f>
        <v>67</v>
      </c>
      <c r="EB39" s="66">
        <f>116-EA39-DZ39</f>
        <v>49</v>
      </c>
      <c r="EC39" s="54">
        <f t="shared" si="26"/>
        <v>56</v>
      </c>
      <c r="ED39" s="54">
        <v>60</v>
      </c>
      <c r="EE39" s="54">
        <f t="shared" si="41"/>
        <v>61</v>
      </c>
      <c r="EF39" s="54">
        <f t="shared" si="41"/>
        <v>62</v>
      </c>
      <c r="EG39" s="54">
        <f t="shared" si="41"/>
        <v>63</v>
      </c>
      <c r="EH39" s="54"/>
      <c r="EI39" s="66"/>
      <c r="EJ39" s="66"/>
      <c r="EK39" s="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127"/>
      <c r="FA39" s="127"/>
      <c r="FB39" s="127"/>
      <c r="FC39" s="127"/>
      <c r="FD39" s="127"/>
      <c r="FE39" s="127"/>
      <c r="FF39" s="64"/>
      <c r="FG39" s="40"/>
      <c r="FH39" s="133">
        <v>28</v>
      </c>
      <c r="FI39" s="133">
        <v>172</v>
      </c>
      <c r="FJ39" s="133">
        <f t="shared" si="32"/>
        <v>246</v>
      </c>
    </row>
    <row r="40" spans="2:166" s="26" customFormat="1" ht="13" x14ac:dyDescent="0.3">
      <c r="B40" s="3" t="s">
        <v>957</v>
      </c>
      <c r="C40" s="23"/>
      <c r="D40" s="23"/>
      <c r="E40" s="23"/>
      <c r="F40" s="23"/>
      <c r="G40" s="23"/>
      <c r="H40" s="23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93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>
        <f>29-DZ40</f>
        <v>29</v>
      </c>
      <c r="EB40" s="66">
        <f>137-EA40-DZ40</f>
        <v>108</v>
      </c>
      <c r="EC40" s="54">
        <f t="shared" si="26"/>
        <v>52</v>
      </c>
      <c r="ED40" s="54">
        <v>43</v>
      </c>
      <c r="EE40" s="54">
        <f>+ED40+3</f>
        <v>46</v>
      </c>
      <c r="EF40" s="54">
        <f>+EE40+3</f>
        <v>49</v>
      </c>
      <c r="EG40" s="54">
        <f>+EF40+3</f>
        <v>52</v>
      </c>
      <c r="EH40" s="54"/>
      <c r="EI40" s="66"/>
      <c r="EJ40" s="66"/>
      <c r="EK40" s="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127"/>
      <c r="FA40" s="127"/>
      <c r="FB40" s="127"/>
      <c r="FC40" s="127"/>
      <c r="FD40" s="127"/>
      <c r="FE40" s="127"/>
      <c r="FF40" s="64"/>
      <c r="FG40" s="40"/>
      <c r="FH40" s="133">
        <v>0</v>
      </c>
      <c r="FI40" s="133">
        <v>189</v>
      </c>
      <c r="FJ40" s="133">
        <f t="shared" si="32"/>
        <v>190</v>
      </c>
    </row>
    <row r="41" spans="2:166" s="26" customFormat="1" ht="13" x14ac:dyDescent="0.3">
      <c r="B41" s="3" t="s">
        <v>958</v>
      </c>
      <c r="C41" s="23"/>
      <c r="D41" s="23"/>
      <c r="E41" s="23"/>
      <c r="F41" s="23"/>
      <c r="G41" s="23"/>
      <c r="H41" s="23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93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>
        <f>2-DZ41</f>
        <v>2</v>
      </c>
      <c r="EB41" s="66">
        <f>8-EA41-DZ41</f>
        <v>6</v>
      </c>
      <c r="EC41" s="54">
        <f t="shared" si="26"/>
        <v>8</v>
      </c>
      <c r="ED41" s="54">
        <v>9</v>
      </c>
      <c r="EE41" s="54">
        <f>+ED41+1</f>
        <v>10</v>
      </c>
      <c r="EF41" s="54">
        <f>+EE41+1</f>
        <v>11</v>
      </c>
      <c r="EG41" s="54">
        <f>+EF41+1</f>
        <v>12</v>
      </c>
      <c r="EH41" s="54"/>
      <c r="EI41" s="66"/>
      <c r="EJ41" s="66"/>
      <c r="EK41" s="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127"/>
      <c r="FA41" s="127"/>
      <c r="FB41" s="127"/>
      <c r="FC41" s="127"/>
      <c r="FD41" s="127"/>
      <c r="FE41" s="127"/>
      <c r="FF41" s="64"/>
      <c r="FG41" s="40"/>
      <c r="FH41" s="133"/>
      <c r="FI41" s="133">
        <v>16</v>
      </c>
      <c r="FJ41" s="133">
        <f t="shared" si="32"/>
        <v>42</v>
      </c>
    </row>
    <row r="42" spans="2:166" s="26" customFormat="1" ht="13" x14ac:dyDescent="0.3">
      <c r="B42" s="3" t="s">
        <v>973</v>
      </c>
      <c r="C42" s="23"/>
      <c r="D42" s="23"/>
      <c r="E42" s="23"/>
      <c r="F42" s="23"/>
      <c r="G42" s="23"/>
      <c r="H42" s="23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93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54">
        <f t="shared" si="26"/>
        <v>8</v>
      </c>
      <c r="ED42" s="54">
        <v>14</v>
      </c>
      <c r="EE42" s="54">
        <f>+ED42+3</f>
        <v>17</v>
      </c>
      <c r="EF42" s="54">
        <f>+EE42+3</f>
        <v>20</v>
      </c>
      <c r="EG42" s="54">
        <f>+EF42+3</f>
        <v>23</v>
      </c>
      <c r="EH42" s="54"/>
      <c r="EI42" s="66"/>
      <c r="EJ42" s="66"/>
      <c r="EK42" s="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127"/>
      <c r="FA42" s="127"/>
      <c r="FB42" s="127"/>
      <c r="FC42" s="127"/>
      <c r="FD42" s="127"/>
      <c r="FE42" s="127"/>
      <c r="FF42" s="64"/>
      <c r="FG42" s="40"/>
      <c r="FH42" s="133"/>
      <c r="FI42" s="133">
        <v>8</v>
      </c>
      <c r="FJ42" s="133">
        <f t="shared" si="32"/>
        <v>74</v>
      </c>
    </row>
    <row r="43" spans="2:166" s="26" customFormat="1" ht="13" x14ac:dyDescent="0.3">
      <c r="B43" s="3" t="s">
        <v>139</v>
      </c>
      <c r="C43" s="23"/>
      <c r="D43" s="23"/>
      <c r="E43" s="23"/>
      <c r="F43" s="23"/>
      <c r="G43" s="23"/>
      <c r="H43" s="23"/>
      <c r="I43" s="25">
        <v>1086</v>
      </c>
      <c r="J43" s="25">
        <f>2252-I43</f>
        <v>1166</v>
      </c>
      <c r="K43" s="25">
        <v>1100</v>
      </c>
      <c r="L43" s="25">
        <f>2227-K43</f>
        <v>1127</v>
      </c>
      <c r="M43" s="25">
        <v>1066</v>
      </c>
      <c r="N43" s="25">
        <f>2094-M43</f>
        <v>1028</v>
      </c>
      <c r="O43" s="25">
        <v>892</v>
      </c>
      <c r="P43" s="25">
        <f t="shared" ref="P43:P51" si="42">SUM(BP43:BQ43)</f>
        <v>882</v>
      </c>
      <c r="Q43" s="25">
        <f t="shared" ref="Q43:Q53" si="43">SUM(BR43:BS43)</f>
        <v>789</v>
      </c>
      <c r="R43" s="25">
        <f t="shared" ref="R43:R53" si="44">BT43+BU43</f>
        <v>771</v>
      </c>
      <c r="S43" s="25">
        <v>677</v>
      </c>
      <c r="T43" s="25">
        <f t="shared" si="34"/>
        <v>608</v>
      </c>
      <c r="U43" s="25">
        <f t="shared" si="35"/>
        <v>493</v>
      </c>
      <c r="V43" s="25">
        <f t="shared" si="36"/>
        <v>403</v>
      </c>
      <c r="W43" s="25"/>
      <c r="X43" s="25"/>
      <c r="Y43" s="25"/>
      <c r="Z43" s="25"/>
      <c r="AA43" s="25">
        <v>231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93"/>
      <c r="AX43" s="66">
        <v>489</v>
      </c>
      <c r="AY43" s="66">
        <v>531</v>
      </c>
      <c r="AZ43" s="66">
        <v>528</v>
      </c>
      <c r="BA43" s="66">
        <v>534</v>
      </c>
      <c r="BB43" s="66">
        <v>516</v>
      </c>
      <c r="BC43" s="66">
        <v>570</v>
      </c>
      <c r="BD43" s="66">
        <v>564</v>
      </c>
      <c r="BE43" s="66">
        <v>602</v>
      </c>
      <c r="BF43" s="66">
        <v>535</v>
      </c>
      <c r="BG43" s="66">
        <v>565</v>
      </c>
      <c r="BH43" s="66">
        <v>535</v>
      </c>
      <c r="BI43" s="66">
        <v>592</v>
      </c>
      <c r="BJ43" s="66">
        <v>522</v>
      </c>
      <c r="BK43" s="66">
        <v>544</v>
      </c>
      <c r="BL43" s="66">
        <v>518</v>
      </c>
      <c r="BM43" s="66">
        <v>510</v>
      </c>
      <c r="BN43" s="66">
        <v>442</v>
      </c>
      <c r="BO43" s="66">
        <v>450</v>
      </c>
      <c r="BP43" s="66">
        <v>427</v>
      </c>
      <c r="BQ43" s="66">
        <v>455</v>
      </c>
      <c r="BR43" s="66">
        <v>378</v>
      </c>
      <c r="BS43" s="66">
        <v>411</v>
      </c>
      <c r="BT43" s="66">
        <f>1180-BS43-BR43</f>
        <v>391</v>
      </c>
      <c r="BU43" s="66">
        <v>380</v>
      </c>
      <c r="BV43" s="66">
        <v>339</v>
      </c>
      <c r="BW43" s="66">
        <f t="shared" ref="BW43:BW52" si="45">+S43-BV43</f>
        <v>338</v>
      </c>
      <c r="BX43" s="66">
        <f>989-BW43-BV43</f>
        <v>312</v>
      </c>
      <c r="BY43" s="66">
        <v>296</v>
      </c>
      <c r="BZ43" s="66">
        <v>246</v>
      </c>
      <c r="CA43" s="66">
        <f>493-BZ43</f>
        <v>247</v>
      </c>
      <c r="CB43" s="66">
        <v>197</v>
      </c>
      <c r="CC43" s="66">
        <v>206</v>
      </c>
      <c r="CD43" s="66">
        <v>171</v>
      </c>
      <c r="CE43" s="66">
        <v>180</v>
      </c>
      <c r="CF43" s="66">
        <v>170</v>
      </c>
      <c r="CG43" s="66">
        <v>153</v>
      </c>
      <c r="CH43" s="66">
        <v>131</v>
      </c>
      <c r="CI43" s="66">
        <v>138</v>
      </c>
      <c r="CJ43" s="66">
        <v>131</v>
      </c>
      <c r="CK43" s="66">
        <v>120</v>
      </c>
      <c r="CL43" s="66">
        <v>112</v>
      </c>
      <c r="CM43" s="66">
        <v>119</v>
      </c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54">
        <f t="shared" si="26"/>
        <v>0</v>
      </c>
      <c r="ED43" s="54"/>
      <c r="EE43" s="54"/>
      <c r="EF43" s="54"/>
      <c r="EG43" s="54"/>
      <c r="EH43" s="54"/>
      <c r="EI43" s="66"/>
      <c r="EJ43" s="66"/>
      <c r="EK43" s="5"/>
      <c r="EL43" s="25">
        <v>746</v>
      </c>
      <c r="EM43" s="25">
        <v>1192</v>
      </c>
      <c r="EN43" s="25">
        <v>2051</v>
      </c>
      <c r="EO43" s="25">
        <f t="shared" ref="EO43:EO52" si="46">SUM(AX43:BA43)</f>
        <v>2082</v>
      </c>
      <c r="EP43" s="25">
        <f t="shared" ref="EP43:EP52" si="47">SUM(BB43:BE43)</f>
        <v>2252</v>
      </c>
      <c r="EQ43" s="25">
        <f t="shared" si="23"/>
        <v>2227</v>
      </c>
      <c r="ER43" s="25">
        <f t="shared" si="22"/>
        <v>2094</v>
      </c>
      <c r="ES43" s="25">
        <f t="shared" si="33"/>
        <v>1774</v>
      </c>
      <c r="ET43" s="25">
        <f t="shared" ref="ET43:ET53" si="48">SUM(BR43:BU43)</f>
        <v>1560</v>
      </c>
      <c r="EU43" s="25">
        <f t="shared" si="20"/>
        <v>1285</v>
      </c>
      <c r="EV43" s="25">
        <f t="shared" si="37"/>
        <v>896</v>
      </c>
      <c r="EW43" s="25">
        <f t="shared" si="38"/>
        <v>674</v>
      </c>
      <c r="EX43" s="25">
        <f t="shared" si="39"/>
        <v>520</v>
      </c>
      <c r="EY43" s="25">
        <v>460</v>
      </c>
      <c r="EZ43" s="127">
        <v>366</v>
      </c>
      <c r="FA43" s="127">
        <v>328</v>
      </c>
      <c r="FB43" s="127">
        <v>312</v>
      </c>
      <c r="FC43" s="127">
        <v>288</v>
      </c>
      <c r="FD43" s="127">
        <v>262</v>
      </c>
      <c r="FE43" s="127"/>
      <c r="FF43" s="64"/>
      <c r="FG43" s="40"/>
      <c r="FH43" s="133"/>
      <c r="FI43" s="64"/>
      <c r="FJ43" s="133">
        <f t="shared" si="32"/>
        <v>0</v>
      </c>
    </row>
    <row r="44" spans="2:166" s="26" customFormat="1" ht="13" x14ac:dyDescent="0.3">
      <c r="B44" s="15" t="s">
        <v>34</v>
      </c>
      <c r="C44" s="23"/>
      <c r="D44" s="23"/>
      <c r="E44" s="23"/>
      <c r="F44" s="23"/>
      <c r="G44" s="23"/>
      <c r="H44" s="23"/>
      <c r="I44" s="25">
        <v>680</v>
      </c>
      <c r="J44" s="25">
        <f>1403-I44</f>
        <v>723</v>
      </c>
      <c r="K44" s="25">
        <v>724</v>
      </c>
      <c r="L44" s="25">
        <f>1467-K44</f>
        <v>743</v>
      </c>
      <c r="M44" s="25">
        <v>807</v>
      </c>
      <c r="N44" s="25">
        <f>1637-M44</f>
        <v>830</v>
      </c>
      <c r="O44" s="25">
        <v>785</v>
      </c>
      <c r="P44" s="25">
        <f>SUM(BP44:BQ44)</f>
        <v>850</v>
      </c>
      <c r="Q44" s="25">
        <f t="shared" si="43"/>
        <v>842</v>
      </c>
      <c r="R44" s="25">
        <f t="shared" si="44"/>
        <v>813</v>
      </c>
      <c r="S44" s="25">
        <v>869</v>
      </c>
      <c r="T44" s="25">
        <f t="shared" si="34"/>
        <v>776</v>
      </c>
      <c r="U44" s="25">
        <f t="shared" si="35"/>
        <v>695</v>
      </c>
      <c r="V44" s="25">
        <f t="shared" si="36"/>
        <v>743</v>
      </c>
      <c r="W44" s="25"/>
      <c r="X44" s="25"/>
      <c r="Y44" s="25"/>
      <c r="Z44" s="25"/>
      <c r="AA44" s="25">
        <v>582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93"/>
      <c r="AX44" s="66">
        <v>289</v>
      </c>
      <c r="AY44" s="66">
        <v>295</v>
      </c>
      <c r="AZ44" s="66">
        <v>296</v>
      </c>
      <c r="BA44" s="66">
        <v>299</v>
      </c>
      <c r="BB44" s="66">
        <v>325</v>
      </c>
      <c r="BC44" s="66">
        <v>355</v>
      </c>
      <c r="BD44" s="66">
        <v>350</v>
      </c>
      <c r="BE44" s="66">
        <v>373</v>
      </c>
      <c r="BF44" s="66">
        <v>350</v>
      </c>
      <c r="BG44" s="66">
        <v>374</v>
      </c>
      <c r="BH44" s="66">
        <v>350</v>
      </c>
      <c r="BI44" s="66">
        <v>393</v>
      </c>
      <c r="BJ44" s="66">
        <v>400</v>
      </c>
      <c r="BK44" s="66">
        <v>407</v>
      </c>
      <c r="BL44" s="66">
        <v>383</v>
      </c>
      <c r="BM44" s="66">
        <v>447</v>
      </c>
      <c r="BN44" s="66">
        <v>369</v>
      </c>
      <c r="BO44" s="66">
        <v>416</v>
      </c>
      <c r="BP44" s="66">
        <v>405</v>
      </c>
      <c r="BQ44" s="66">
        <v>445</v>
      </c>
      <c r="BR44" s="66">
        <v>393</v>
      </c>
      <c r="BS44" s="66">
        <v>449</v>
      </c>
      <c r="BT44" s="66">
        <f>1280-BS44-BR44</f>
        <v>438</v>
      </c>
      <c r="BU44" s="66">
        <v>375</v>
      </c>
      <c r="BV44" s="66">
        <v>441</v>
      </c>
      <c r="BW44" s="66">
        <f t="shared" si="45"/>
        <v>428</v>
      </c>
      <c r="BX44" s="66">
        <f>1253-BW44-BV44</f>
        <v>384</v>
      </c>
      <c r="BY44" s="66">
        <v>392</v>
      </c>
      <c r="BZ44" s="66">
        <v>346</v>
      </c>
      <c r="CA44" s="66">
        <f>695-BZ44</f>
        <v>349</v>
      </c>
      <c r="CB44" s="66">
        <v>356</v>
      </c>
      <c r="CC44" s="66">
        <v>387</v>
      </c>
      <c r="CD44" s="66">
        <v>444</v>
      </c>
      <c r="CE44" s="66">
        <v>459</v>
      </c>
      <c r="CF44" s="66">
        <v>374</v>
      </c>
      <c r="CG44" s="66">
        <v>372</v>
      </c>
      <c r="CH44" s="66">
        <v>375</v>
      </c>
      <c r="CI44" s="66">
        <v>349</v>
      </c>
      <c r="CJ44" s="66">
        <v>303</v>
      </c>
      <c r="CK44" s="66">
        <v>285</v>
      </c>
      <c r="CL44" s="66">
        <v>287</v>
      </c>
      <c r="CM44" s="66">
        <v>295</v>
      </c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54">
        <f t="shared" si="26"/>
        <v>0</v>
      </c>
      <c r="ED44" s="54"/>
      <c r="EE44" s="54"/>
      <c r="EF44" s="54"/>
      <c r="EG44" s="54"/>
      <c r="EH44" s="54"/>
      <c r="EI44" s="66"/>
      <c r="EJ44" s="66"/>
      <c r="EK44" s="5"/>
      <c r="EL44" s="25">
        <v>0</v>
      </c>
      <c r="EM44" s="25">
        <v>94</v>
      </c>
      <c r="EN44" s="25">
        <v>719</v>
      </c>
      <c r="EO44" s="25">
        <f t="shared" si="46"/>
        <v>1179</v>
      </c>
      <c r="EP44" s="25">
        <f t="shared" si="47"/>
        <v>1403</v>
      </c>
      <c r="EQ44" s="25">
        <f t="shared" si="23"/>
        <v>1467</v>
      </c>
      <c r="ER44" s="25">
        <f>SUM(M44:N44)</f>
        <v>1637</v>
      </c>
      <c r="ES44" s="25">
        <f t="shared" si="33"/>
        <v>1635</v>
      </c>
      <c r="ET44" s="25">
        <f t="shared" si="48"/>
        <v>1655</v>
      </c>
      <c r="EU44" s="25">
        <f t="shared" si="20"/>
        <v>1645</v>
      </c>
      <c r="EV44" s="25">
        <f t="shared" si="37"/>
        <v>1438</v>
      </c>
      <c r="EW44" s="25">
        <f t="shared" si="38"/>
        <v>1649</v>
      </c>
      <c r="EX44" s="25">
        <f t="shared" si="39"/>
        <v>1312</v>
      </c>
      <c r="EY44" s="25">
        <v>1015</v>
      </c>
      <c r="EZ44" s="127">
        <v>538</v>
      </c>
      <c r="FA44" s="127">
        <v>259</v>
      </c>
      <c r="FB44" s="127"/>
      <c r="FC44" s="127"/>
      <c r="FD44" s="127"/>
      <c r="FE44" s="127"/>
      <c r="FF44" s="64"/>
      <c r="FG44" s="40"/>
      <c r="FH44" s="133"/>
      <c r="FI44" s="64"/>
      <c r="FJ44" s="133">
        <f t="shared" si="32"/>
        <v>0</v>
      </c>
    </row>
    <row r="45" spans="2:166" s="26" customFormat="1" ht="13" x14ac:dyDescent="0.3">
      <c r="B45" s="3" t="s">
        <v>954</v>
      </c>
      <c r="C45" s="23"/>
      <c r="D45" s="23"/>
      <c r="E45" s="23"/>
      <c r="F45" s="23"/>
      <c r="G45" s="23"/>
      <c r="H45" s="23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93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>
        <f>10-DZ45</f>
        <v>10</v>
      </c>
      <c r="EB45" s="66">
        <f>15-EA45-DZ45</f>
        <v>5</v>
      </c>
      <c r="EC45" s="54">
        <f t="shared" si="26"/>
        <v>3</v>
      </c>
      <c r="ED45" s="54">
        <f>+EC45+1</f>
        <v>4</v>
      </c>
      <c r="EE45" s="54">
        <f>+ED45+1</f>
        <v>5</v>
      </c>
      <c r="EF45" s="54">
        <f>+EE45+1</f>
        <v>6</v>
      </c>
      <c r="EG45" s="54">
        <f>+EF45+1</f>
        <v>7</v>
      </c>
      <c r="EH45" s="54"/>
      <c r="EI45" s="66"/>
      <c r="EJ45" s="66"/>
      <c r="EK45" s="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127"/>
      <c r="FA45" s="127"/>
      <c r="FB45" s="127"/>
      <c r="FC45" s="127"/>
      <c r="FD45" s="127"/>
      <c r="FE45" s="127"/>
      <c r="FF45" s="64"/>
      <c r="FG45" s="40"/>
      <c r="FH45" s="133"/>
      <c r="FI45" s="133">
        <v>18</v>
      </c>
      <c r="FJ45" s="133">
        <f t="shared" si="32"/>
        <v>22</v>
      </c>
    </row>
    <row r="46" spans="2:166" s="26" customFormat="1" ht="13" x14ac:dyDescent="0.3">
      <c r="B46" s="15" t="s">
        <v>31</v>
      </c>
      <c r="C46" s="23"/>
      <c r="D46" s="23"/>
      <c r="E46" s="23"/>
      <c r="F46" s="23"/>
      <c r="G46" s="23"/>
      <c r="H46" s="23"/>
      <c r="I46" s="25">
        <v>355</v>
      </c>
      <c r="J46" s="25">
        <f>796-I46</f>
        <v>441</v>
      </c>
      <c r="K46" s="25">
        <v>472</v>
      </c>
      <c r="L46" s="25">
        <f>971-K46</f>
        <v>499</v>
      </c>
      <c r="M46" s="25">
        <v>549</v>
      </c>
      <c r="N46" s="25">
        <f>1151-M46</f>
        <v>602</v>
      </c>
      <c r="O46" s="25">
        <v>573</v>
      </c>
      <c r="P46" s="25">
        <f t="shared" si="42"/>
        <v>638</v>
      </c>
      <c r="Q46" s="25">
        <f t="shared" si="43"/>
        <v>626</v>
      </c>
      <c r="R46" s="25">
        <f t="shared" si="44"/>
        <v>634</v>
      </c>
      <c r="S46" s="25">
        <v>732</v>
      </c>
      <c r="T46" s="25">
        <f t="shared" si="34"/>
        <v>694</v>
      </c>
      <c r="U46" s="25">
        <f t="shared" si="35"/>
        <v>668</v>
      </c>
      <c r="V46" s="25">
        <f t="shared" si="36"/>
        <v>686</v>
      </c>
      <c r="W46" s="25"/>
      <c r="X46" s="25"/>
      <c r="Y46" s="25"/>
      <c r="Z46" s="25"/>
      <c r="AA46" s="25">
        <v>474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93"/>
      <c r="AX46" s="66">
        <v>115</v>
      </c>
      <c r="AY46" s="66">
        <v>128</v>
      </c>
      <c r="AZ46" s="66">
        <v>145</v>
      </c>
      <c r="BA46" s="66">
        <v>146</v>
      </c>
      <c r="BB46" s="66">
        <v>165</v>
      </c>
      <c r="BC46" s="66">
        <v>190</v>
      </c>
      <c r="BD46" s="66">
        <v>213</v>
      </c>
      <c r="BE46" s="66">
        <v>228</v>
      </c>
      <c r="BF46" s="66">
        <v>238</v>
      </c>
      <c r="BG46" s="66">
        <v>234</v>
      </c>
      <c r="BH46" s="66">
        <v>239</v>
      </c>
      <c r="BI46" s="66">
        <v>260</v>
      </c>
      <c r="BJ46" s="66">
        <v>267</v>
      </c>
      <c r="BK46" s="66">
        <v>282</v>
      </c>
      <c r="BL46" s="66">
        <v>290</v>
      </c>
      <c r="BM46" s="66">
        <v>312</v>
      </c>
      <c r="BN46" s="66">
        <v>281</v>
      </c>
      <c r="BO46" s="66">
        <v>292</v>
      </c>
      <c r="BP46" s="66">
        <v>307</v>
      </c>
      <c r="BQ46" s="66">
        <v>331</v>
      </c>
      <c r="BR46" s="66">
        <v>296</v>
      </c>
      <c r="BS46" s="66">
        <v>330</v>
      </c>
      <c r="BT46" s="66">
        <f>952-BS46-BR46</f>
        <v>326</v>
      </c>
      <c r="BU46" s="66">
        <v>308</v>
      </c>
      <c r="BV46" s="66">
        <v>352</v>
      </c>
      <c r="BW46" s="66">
        <f t="shared" si="45"/>
        <v>380</v>
      </c>
      <c r="BX46" s="66">
        <f>1093-BW46-BV46</f>
        <v>361</v>
      </c>
      <c r="BY46" s="66">
        <v>333</v>
      </c>
      <c r="BZ46" s="66">
        <v>342</v>
      </c>
      <c r="CA46" s="66">
        <f>668-BZ46</f>
        <v>326</v>
      </c>
      <c r="CB46" s="66">
        <v>333</v>
      </c>
      <c r="CC46" s="66">
        <v>353</v>
      </c>
      <c r="CD46" s="66">
        <v>382</v>
      </c>
      <c r="CE46" s="66">
        <v>381</v>
      </c>
      <c r="CF46" s="66">
        <v>386</v>
      </c>
      <c r="CG46" s="66">
        <v>374</v>
      </c>
      <c r="CH46" s="66">
        <v>383</v>
      </c>
      <c r="CI46" s="66">
        <v>388</v>
      </c>
      <c r="CJ46" s="66">
        <v>393</v>
      </c>
      <c r="CK46" s="66">
        <v>345</v>
      </c>
      <c r="CL46" s="66">
        <v>293</v>
      </c>
      <c r="CM46" s="66">
        <v>181</v>
      </c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54">
        <f t="shared" si="26"/>
        <v>0</v>
      </c>
      <c r="ED46" s="54"/>
      <c r="EE46" s="54"/>
      <c r="EF46" s="54"/>
      <c r="EG46" s="54"/>
      <c r="EH46" s="54"/>
      <c r="EI46" s="66"/>
      <c r="EJ46" s="66"/>
      <c r="EK46" s="5"/>
      <c r="EL46" s="25">
        <v>260</v>
      </c>
      <c r="EM46" s="25">
        <v>444</v>
      </c>
      <c r="EN46" s="25">
        <v>515</v>
      </c>
      <c r="EO46" s="25">
        <f t="shared" si="46"/>
        <v>534</v>
      </c>
      <c r="EP46" s="25">
        <f t="shared" si="47"/>
        <v>796</v>
      </c>
      <c r="EQ46" s="25">
        <f t="shared" si="23"/>
        <v>971</v>
      </c>
      <c r="ER46" s="25">
        <f t="shared" si="22"/>
        <v>1151</v>
      </c>
      <c r="ES46" s="25">
        <f t="shared" si="33"/>
        <v>1211</v>
      </c>
      <c r="ET46" s="25">
        <f t="shared" si="48"/>
        <v>1260</v>
      </c>
      <c r="EU46" s="25">
        <f t="shared" si="20"/>
        <v>1426</v>
      </c>
      <c r="EV46" s="25">
        <f t="shared" si="37"/>
        <v>1354</v>
      </c>
      <c r="EW46" s="25">
        <f t="shared" si="38"/>
        <v>1523</v>
      </c>
      <c r="EX46" s="25">
        <f t="shared" si="39"/>
        <v>1509</v>
      </c>
      <c r="EY46" s="25">
        <v>776</v>
      </c>
      <c r="EZ46" s="127">
        <v>513</v>
      </c>
      <c r="FA46" s="127">
        <v>506</v>
      </c>
      <c r="FB46" s="127">
        <v>453</v>
      </c>
      <c r="FC46" s="127">
        <v>427</v>
      </c>
      <c r="FD46" s="127">
        <v>406</v>
      </c>
      <c r="FE46" s="127">
        <v>301</v>
      </c>
      <c r="FF46" s="127">
        <v>194</v>
      </c>
      <c r="FG46" s="40"/>
      <c r="FH46" s="133"/>
      <c r="FI46" s="64"/>
      <c r="FJ46" s="133">
        <f t="shared" si="32"/>
        <v>0</v>
      </c>
    </row>
    <row r="47" spans="2:166" s="26" customFormat="1" ht="13" x14ac:dyDescent="0.3">
      <c r="B47" s="15" t="s">
        <v>25</v>
      </c>
      <c r="C47" s="23"/>
      <c r="D47" s="23"/>
      <c r="E47" s="23"/>
      <c r="F47" s="23"/>
      <c r="G47" s="23"/>
      <c r="H47" s="23"/>
      <c r="I47" s="25">
        <v>145</v>
      </c>
      <c r="J47" s="25">
        <f>387-I47</f>
        <v>242</v>
      </c>
      <c r="K47" s="25">
        <v>367</v>
      </c>
      <c r="L47" s="25">
        <f>813-K47</f>
        <v>446</v>
      </c>
      <c r="M47" s="25">
        <v>503</v>
      </c>
      <c r="N47" s="25">
        <f>1062-M47</f>
        <v>559</v>
      </c>
      <c r="O47" s="25">
        <v>587</v>
      </c>
      <c r="P47" s="25">
        <f t="shared" si="42"/>
        <v>628</v>
      </c>
      <c r="Q47" s="25">
        <f t="shared" si="43"/>
        <v>643</v>
      </c>
      <c r="R47" s="25">
        <f t="shared" si="44"/>
        <v>661</v>
      </c>
      <c r="S47" s="25">
        <v>674</v>
      </c>
      <c r="T47" s="25">
        <f t="shared" si="34"/>
        <v>651</v>
      </c>
      <c r="U47" s="25">
        <f t="shared" si="35"/>
        <v>614</v>
      </c>
      <c r="V47" s="25">
        <f t="shared" si="36"/>
        <v>637</v>
      </c>
      <c r="W47" s="25"/>
      <c r="X47" s="25"/>
      <c r="Y47" s="25"/>
      <c r="Z47" s="25"/>
      <c r="AA47" s="25">
        <v>651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93"/>
      <c r="AX47" s="93">
        <v>0</v>
      </c>
      <c r="AY47" s="66">
        <v>0</v>
      </c>
      <c r="AZ47" s="66">
        <v>0</v>
      </c>
      <c r="BA47" s="66">
        <v>17</v>
      </c>
      <c r="BB47" s="66">
        <v>57</v>
      </c>
      <c r="BC47" s="66">
        <v>88</v>
      </c>
      <c r="BD47" s="66">
        <v>101</v>
      </c>
      <c r="BE47" s="66">
        <v>141</v>
      </c>
      <c r="BF47" s="66">
        <v>172</v>
      </c>
      <c r="BG47" s="66">
        <v>195</v>
      </c>
      <c r="BH47" s="66">
        <v>211</v>
      </c>
      <c r="BI47" s="66">
        <v>235</v>
      </c>
      <c r="BJ47" s="66">
        <v>243</v>
      </c>
      <c r="BK47" s="66">
        <v>260</v>
      </c>
      <c r="BL47" s="66">
        <v>271</v>
      </c>
      <c r="BM47" s="66">
        <v>288</v>
      </c>
      <c r="BN47" s="66">
        <v>286</v>
      </c>
      <c r="BO47" s="66">
        <v>301</v>
      </c>
      <c r="BP47" s="66">
        <v>298</v>
      </c>
      <c r="BQ47" s="66">
        <v>330</v>
      </c>
      <c r="BR47" s="66">
        <v>320</v>
      </c>
      <c r="BS47" s="66">
        <v>323</v>
      </c>
      <c r="BT47" s="66">
        <f>962-BS47-BR47</f>
        <v>319</v>
      </c>
      <c r="BU47" s="66">
        <v>342</v>
      </c>
      <c r="BV47" s="66">
        <v>326</v>
      </c>
      <c r="BW47" s="66">
        <f t="shared" si="45"/>
        <v>348</v>
      </c>
      <c r="BX47" s="66">
        <f>1005-BW47-BV47</f>
        <v>331</v>
      </c>
      <c r="BY47" s="66">
        <v>320</v>
      </c>
      <c r="BZ47" s="66">
        <v>317</v>
      </c>
      <c r="CA47" s="66">
        <f>614-BZ47</f>
        <v>297</v>
      </c>
      <c r="CB47" s="66">
        <v>307</v>
      </c>
      <c r="CC47" s="66">
        <v>330</v>
      </c>
      <c r="CD47" s="66">
        <v>337</v>
      </c>
      <c r="CE47" s="66">
        <v>329</v>
      </c>
      <c r="CF47" s="66">
        <v>323</v>
      </c>
      <c r="CG47" s="66">
        <v>325</v>
      </c>
      <c r="CH47" s="66">
        <v>336</v>
      </c>
      <c r="CI47" s="66">
        <v>355</v>
      </c>
      <c r="CJ47" s="66">
        <v>327</v>
      </c>
      <c r="CK47" s="66">
        <v>321</v>
      </c>
      <c r="CL47" s="66">
        <v>304</v>
      </c>
      <c r="CM47" s="66">
        <v>347</v>
      </c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54">
        <f t="shared" si="26"/>
        <v>0</v>
      </c>
      <c r="ED47" s="54"/>
      <c r="EE47" s="54"/>
      <c r="EF47" s="54"/>
      <c r="EG47" s="54"/>
      <c r="EH47" s="54"/>
      <c r="EI47" s="66"/>
      <c r="EJ47" s="66"/>
      <c r="EK47" s="5"/>
      <c r="EL47" s="25">
        <v>0</v>
      </c>
      <c r="EM47" s="25">
        <v>0</v>
      </c>
      <c r="EN47" s="25">
        <v>0</v>
      </c>
      <c r="EO47" s="25">
        <f t="shared" si="46"/>
        <v>17</v>
      </c>
      <c r="EP47" s="25">
        <f t="shared" si="47"/>
        <v>387</v>
      </c>
      <c r="EQ47" s="25">
        <f t="shared" si="23"/>
        <v>813</v>
      </c>
      <c r="ER47" s="25">
        <f t="shared" si="22"/>
        <v>1062</v>
      </c>
      <c r="ES47" s="25">
        <f t="shared" si="33"/>
        <v>1215</v>
      </c>
      <c r="ET47" s="25">
        <f t="shared" si="48"/>
        <v>1304</v>
      </c>
      <c r="EU47" s="25">
        <f t="shared" si="20"/>
        <v>1325</v>
      </c>
      <c r="EV47" s="25">
        <f t="shared" si="37"/>
        <v>1251</v>
      </c>
      <c r="EW47" s="25">
        <f t="shared" si="38"/>
        <v>1314</v>
      </c>
      <c r="EX47" s="25">
        <f t="shared" si="39"/>
        <v>1339</v>
      </c>
      <c r="EY47" s="25">
        <v>1292</v>
      </c>
      <c r="EZ47" s="127">
        <v>1181</v>
      </c>
      <c r="FA47" s="127">
        <v>1024</v>
      </c>
      <c r="FB47" s="127">
        <v>843</v>
      </c>
      <c r="FC47" s="127">
        <v>538</v>
      </c>
      <c r="FD47" s="127">
        <v>298</v>
      </c>
      <c r="FE47" s="127"/>
      <c r="FF47" s="64"/>
      <c r="FG47" s="40"/>
      <c r="FH47" s="133"/>
      <c r="FI47" s="64"/>
      <c r="FJ47" s="133">
        <f t="shared" si="32"/>
        <v>0</v>
      </c>
    </row>
    <row r="48" spans="2:166" s="26" customFormat="1" ht="13" x14ac:dyDescent="0.3">
      <c r="B48" s="15" t="s">
        <v>140</v>
      </c>
      <c r="C48" s="23"/>
      <c r="D48" s="23"/>
      <c r="E48" s="23"/>
      <c r="F48" s="23"/>
      <c r="G48" s="23"/>
      <c r="H48" s="23"/>
      <c r="I48" s="25">
        <v>21</v>
      </c>
      <c r="J48" s="25">
        <f>BD48+BE48</f>
        <v>65</v>
      </c>
      <c r="K48" s="25">
        <v>167</v>
      </c>
      <c r="L48" s="25">
        <f>488-K48</f>
        <v>321</v>
      </c>
      <c r="M48" s="25">
        <v>374</v>
      </c>
      <c r="N48" s="25">
        <f>887-M48</f>
        <v>513</v>
      </c>
      <c r="O48" s="25">
        <v>507</v>
      </c>
      <c r="P48" s="25">
        <f>SUM(BP48:BQ48)</f>
        <v>601</v>
      </c>
      <c r="Q48" s="25">
        <f t="shared" si="43"/>
        <v>525</v>
      </c>
      <c r="R48" s="25">
        <f t="shared" si="44"/>
        <v>533</v>
      </c>
      <c r="S48" s="25">
        <v>544</v>
      </c>
      <c r="T48" s="25">
        <f t="shared" si="34"/>
        <v>469</v>
      </c>
      <c r="U48" s="25">
        <f t="shared" si="35"/>
        <v>394</v>
      </c>
      <c r="V48" s="25">
        <f t="shared" si="36"/>
        <v>302</v>
      </c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93"/>
      <c r="AX48" s="66">
        <v>0</v>
      </c>
      <c r="AY48" s="66">
        <v>0</v>
      </c>
      <c r="AZ48" s="66">
        <v>0</v>
      </c>
      <c r="BA48" s="66">
        <v>0</v>
      </c>
      <c r="BB48" s="66">
        <v>0</v>
      </c>
      <c r="BC48" s="66">
        <v>21</v>
      </c>
      <c r="BD48" s="66">
        <v>14</v>
      </c>
      <c r="BE48" s="66">
        <v>51</v>
      </c>
      <c r="BF48" s="66">
        <v>75</v>
      </c>
      <c r="BG48" s="66">
        <v>92</v>
      </c>
      <c r="BH48" s="66">
        <v>142</v>
      </c>
      <c r="BI48" s="66">
        <v>179</v>
      </c>
      <c r="BJ48" s="66">
        <v>170</v>
      </c>
      <c r="BK48" s="66">
        <v>204</v>
      </c>
      <c r="BL48" s="66">
        <v>230</v>
      </c>
      <c r="BM48" s="66">
        <v>283</v>
      </c>
      <c r="BN48" s="66">
        <v>241</v>
      </c>
      <c r="BO48" s="66">
        <v>266</v>
      </c>
      <c r="BP48" s="66">
        <v>268</v>
      </c>
      <c r="BQ48" s="66">
        <v>333</v>
      </c>
      <c r="BR48" s="66">
        <v>249</v>
      </c>
      <c r="BS48" s="66">
        <v>276</v>
      </c>
      <c r="BT48" s="66">
        <v>255</v>
      </c>
      <c r="BU48" s="66">
        <v>278</v>
      </c>
      <c r="BV48" s="66">
        <v>277</v>
      </c>
      <c r="BW48" s="66">
        <f t="shared" si="45"/>
        <v>267</v>
      </c>
      <c r="BX48" s="66">
        <f>790-BW48-BV48</f>
        <v>246</v>
      </c>
      <c r="BY48" s="66">
        <v>223</v>
      </c>
      <c r="BZ48" s="66">
        <v>212</v>
      </c>
      <c r="CA48" s="66">
        <f>394-BZ48</f>
        <v>182</v>
      </c>
      <c r="CB48" s="66">
        <v>157</v>
      </c>
      <c r="CC48" s="66">
        <v>145</v>
      </c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54">
        <f t="shared" si="26"/>
        <v>0</v>
      </c>
      <c r="ED48" s="54"/>
      <c r="EE48" s="54"/>
      <c r="EF48" s="54"/>
      <c r="EG48" s="54"/>
      <c r="EH48" s="54"/>
      <c r="EI48" s="66"/>
      <c r="EJ48" s="66"/>
      <c r="EK48" s="5"/>
      <c r="EL48" s="25">
        <v>0</v>
      </c>
      <c r="EM48" s="25">
        <v>0</v>
      </c>
      <c r="EN48" s="25">
        <v>0</v>
      </c>
      <c r="EO48" s="25">
        <f t="shared" si="46"/>
        <v>0</v>
      </c>
      <c r="EP48" s="25">
        <f t="shared" si="47"/>
        <v>86</v>
      </c>
      <c r="EQ48" s="25">
        <f t="shared" ref="EQ48:EQ52" si="49">SUM(K48:L48)</f>
        <v>488</v>
      </c>
      <c r="ER48" s="25">
        <f>SUM(M48:N48)</f>
        <v>887</v>
      </c>
      <c r="ES48" s="25">
        <f t="shared" ref="ES48:ES53" si="50">SUM(BN48:BQ48)</f>
        <v>1108</v>
      </c>
      <c r="ET48" s="25">
        <f t="shared" si="48"/>
        <v>1058</v>
      </c>
      <c r="EU48" s="25">
        <f t="shared" si="20"/>
        <v>1013</v>
      </c>
      <c r="EV48" s="25">
        <f t="shared" si="37"/>
        <v>696</v>
      </c>
      <c r="EW48" s="25"/>
      <c r="EX48" s="25"/>
      <c r="EY48" s="25"/>
      <c r="EZ48" s="127"/>
      <c r="FA48" s="127"/>
      <c r="FB48" s="127"/>
      <c r="FC48" s="127"/>
      <c r="FD48" s="127"/>
      <c r="FE48" s="127"/>
      <c r="FF48" s="64"/>
      <c r="FG48" s="40"/>
      <c r="FH48" s="133"/>
      <c r="FI48" s="64"/>
      <c r="FJ48" s="133">
        <f t="shared" si="32"/>
        <v>0</v>
      </c>
    </row>
    <row r="49" spans="2:174" s="26" customFormat="1" ht="13" x14ac:dyDescent="0.3">
      <c r="B49" s="15" t="s">
        <v>33</v>
      </c>
      <c r="C49" s="23"/>
      <c r="D49" s="23"/>
      <c r="E49" s="23"/>
      <c r="F49" s="23"/>
      <c r="G49" s="23"/>
      <c r="H49" s="23"/>
      <c r="I49" s="25">
        <v>580</v>
      </c>
      <c r="J49" s="25">
        <f>1558-I49</f>
        <v>978</v>
      </c>
      <c r="K49" s="25">
        <v>961</v>
      </c>
      <c r="L49" s="25">
        <f>2627-K49</f>
        <v>1666</v>
      </c>
      <c r="M49" s="25">
        <v>1316</v>
      </c>
      <c r="N49" s="25">
        <f>2085-M49</f>
        <v>769</v>
      </c>
      <c r="O49" s="25">
        <v>327</v>
      </c>
      <c r="P49" s="25">
        <f>SUM(BP49:BQ49)</f>
        <v>282</v>
      </c>
      <c r="Q49" s="25">
        <f t="shared" si="43"/>
        <v>1010</v>
      </c>
      <c r="R49" s="25">
        <f t="shared" si="44"/>
        <v>2190</v>
      </c>
      <c r="S49" s="25">
        <v>710</v>
      </c>
      <c r="T49" s="25">
        <f t="shared" si="34"/>
        <v>163</v>
      </c>
      <c r="U49" s="25">
        <f t="shared" si="35"/>
        <v>262</v>
      </c>
      <c r="V49" s="25">
        <f t="shared" si="36"/>
        <v>97</v>
      </c>
      <c r="W49" s="25"/>
      <c r="X49" s="25"/>
      <c r="Y49" s="25"/>
      <c r="Z49" s="25"/>
      <c r="AA49" s="25">
        <v>372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93"/>
      <c r="AX49" s="66">
        <v>108</v>
      </c>
      <c r="AY49" s="66">
        <v>19</v>
      </c>
      <c r="AZ49" s="66">
        <v>110</v>
      </c>
      <c r="BA49" s="66">
        <v>93</v>
      </c>
      <c r="BB49" s="66">
        <v>424</v>
      </c>
      <c r="BC49" s="66">
        <v>156</v>
      </c>
      <c r="BD49" s="66">
        <v>279</v>
      </c>
      <c r="BE49" s="66">
        <v>699</v>
      </c>
      <c r="BF49" s="66">
        <v>601</v>
      </c>
      <c r="BG49" s="66">
        <v>360</v>
      </c>
      <c r="BH49" s="66">
        <v>669</v>
      </c>
      <c r="BI49" s="66">
        <v>997</v>
      </c>
      <c r="BJ49" s="66">
        <v>865</v>
      </c>
      <c r="BK49" s="66">
        <v>451</v>
      </c>
      <c r="BL49" s="66">
        <v>257</v>
      </c>
      <c r="BM49" s="66">
        <v>512</v>
      </c>
      <c r="BN49" s="66">
        <v>278</v>
      </c>
      <c r="BO49" s="66">
        <v>49</v>
      </c>
      <c r="BP49" s="66">
        <v>101</v>
      </c>
      <c r="BQ49" s="66">
        <v>181</v>
      </c>
      <c r="BR49" s="66">
        <v>401</v>
      </c>
      <c r="BS49" s="66">
        <v>609</v>
      </c>
      <c r="BT49" s="66">
        <f>2004-BS49-BR49</f>
        <v>994</v>
      </c>
      <c r="BU49" s="66">
        <v>1196</v>
      </c>
      <c r="BV49" s="66">
        <v>517</v>
      </c>
      <c r="BW49" s="66">
        <f t="shared" si="45"/>
        <v>193</v>
      </c>
      <c r="BX49" s="66">
        <f>808-BW49-BV49</f>
        <v>98</v>
      </c>
      <c r="BY49" s="66">
        <v>65</v>
      </c>
      <c r="BZ49" s="66">
        <v>252</v>
      </c>
      <c r="CA49" s="66">
        <f>262-BZ49</f>
        <v>10</v>
      </c>
      <c r="CB49" s="66">
        <v>39</v>
      </c>
      <c r="CC49" s="66">
        <v>58</v>
      </c>
      <c r="CD49" s="66">
        <v>187</v>
      </c>
      <c r="CE49" s="66">
        <v>34</v>
      </c>
      <c r="CF49" s="66">
        <v>20</v>
      </c>
      <c r="CG49" s="66">
        <v>319</v>
      </c>
      <c r="CH49" s="66">
        <v>335</v>
      </c>
      <c r="CI49" s="66">
        <v>45</v>
      </c>
      <c r="CJ49" s="66">
        <v>34</v>
      </c>
      <c r="CK49" s="66">
        <v>221</v>
      </c>
      <c r="CL49" s="66">
        <v>344</v>
      </c>
      <c r="CM49" s="66">
        <v>28</v>
      </c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54">
        <f t="shared" si="26"/>
        <v>0</v>
      </c>
      <c r="ED49" s="54"/>
      <c r="EE49" s="54"/>
      <c r="EF49" s="54"/>
      <c r="EG49" s="54"/>
      <c r="EH49" s="54"/>
      <c r="EI49" s="66"/>
      <c r="EJ49" s="66"/>
      <c r="EK49" s="5"/>
      <c r="EL49" s="25">
        <v>110</v>
      </c>
      <c r="EM49" s="25">
        <v>175</v>
      </c>
      <c r="EN49" s="25">
        <v>431</v>
      </c>
      <c r="EO49" s="25">
        <f t="shared" si="46"/>
        <v>330</v>
      </c>
      <c r="EP49" s="25">
        <f t="shared" si="47"/>
        <v>1558</v>
      </c>
      <c r="EQ49" s="25">
        <f t="shared" si="49"/>
        <v>2627</v>
      </c>
      <c r="ER49" s="25">
        <f>SUM(M49:N49)</f>
        <v>2085</v>
      </c>
      <c r="ES49" s="25">
        <f t="shared" si="50"/>
        <v>609</v>
      </c>
      <c r="ET49" s="25">
        <f t="shared" si="48"/>
        <v>3200</v>
      </c>
      <c r="EU49" s="25">
        <f t="shared" si="20"/>
        <v>873</v>
      </c>
      <c r="EV49" s="25">
        <f t="shared" si="37"/>
        <v>359</v>
      </c>
      <c r="EW49" s="25">
        <f t="shared" si="38"/>
        <v>560</v>
      </c>
      <c r="EX49" s="25">
        <f t="shared" si="39"/>
        <v>635</v>
      </c>
      <c r="EY49" s="25">
        <v>959</v>
      </c>
      <c r="EZ49" s="127">
        <v>705</v>
      </c>
      <c r="FA49" s="127">
        <v>794</v>
      </c>
      <c r="FB49" s="127">
        <v>535</v>
      </c>
      <c r="FC49" s="127">
        <v>378</v>
      </c>
      <c r="FD49" s="127">
        <v>377</v>
      </c>
      <c r="FE49" s="127">
        <v>272</v>
      </c>
      <c r="FF49" s="127">
        <v>58</v>
      </c>
      <c r="FG49" s="40"/>
      <c r="FH49" s="133"/>
      <c r="FI49" s="64"/>
      <c r="FJ49" s="133">
        <f t="shared" si="32"/>
        <v>0</v>
      </c>
    </row>
    <row r="50" spans="2:174" s="26" customFormat="1" ht="13" x14ac:dyDescent="0.3">
      <c r="B50" s="15" t="s">
        <v>158</v>
      </c>
      <c r="C50" s="23"/>
      <c r="D50" s="23"/>
      <c r="E50" s="23"/>
      <c r="F50" s="23"/>
      <c r="G50" s="23"/>
      <c r="H50" s="23"/>
      <c r="I50" s="25">
        <v>185</v>
      </c>
      <c r="J50" s="25">
        <f>394-I50</f>
        <v>209</v>
      </c>
      <c r="K50" s="25">
        <v>223</v>
      </c>
      <c r="L50" s="25">
        <f>488-K50</f>
        <v>265</v>
      </c>
      <c r="M50" s="25">
        <v>261</v>
      </c>
      <c r="N50" s="25">
        <f>542-M50</f>
        <v>281</v>
      </c>
      <c r="O50" s="25">
        <v>261</v>
      </c>
      <c r="P50" s="25">
        <f t="shared" si="42"/>
        <v>292</v>
      </c>
      <c r="Q50" s="25">
        <f t="shared" si="43"/>
        <v>274</v>
      </c>
      <c r="R50" s="25">
        <f t="shared" si="44"/>
        <v>290</v>
      </c>
      <c r="S50" s="25">
        <v>296</v>
      </c>
      <c r="T50" s="25">
        <f t="shared" si="34"/>
        <v>309</v>
      </c>
      <c r="U50" s="25">
        <f t="shared" si="35"/>
        <v>282</v>
      </c>
      <c r="V50" s="25">
        <f t="shared" si="36"/>
        <v>287</v>
      </c>
      <c r="W50" s="25"/>
      <c r="X50" s="25"/>
      <c r="Y50" s="25"/>
      <c r="Z50" s="25"/>
      <c r="AA50" s="25">
        <v>353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93"/>
      <c r="AX50" s="66">
        <v>86</v>
      </c>
      <c r="AY50" s="66">
        <v>79</v>
      </c>
      <c r="AZ50" s="66">
        <v>81</v>
      </c>
      <c r="BA50" s="66">
        <v>83</v>
      </c>
      <c r="BB50" s="66">
        <v>86</v>
      </c>
      <c r="BC50" s="66">
        <v>99</v>
      </c>
      <c r="BD50" s="66">
        <v>100</v>
      </c>
      <c r="BE50" s="66">
        <v>109</v>
      </c>
      <c r="BF50" s="66">
        <v>110</v>
      </c>
      <c r="BG50" s="66">
        <v>113</v>
      </c>
      <c r="BH50" s="66">
        <v>126</v>
      </c>
      <c r="BI50" s="66">
        <v>139</v>
      </c>
      <c r="BJ50" s="66">
        <v>124</v>
      </c>
      <c r="BK50" s="66">
        <v>137</v>
      </c>
      <c r="BL50" s="66">
        <v>137</v>
      </c>
      <c r="BM50" s="66">
        <v>144</v>
      </c>
      <c r="BN50" s="66">
        <v>128</v>
      </c>
      <c r="BO50" s="66">
        <v>136</v>
      </c>
      <c r="BP50" s="66">
        <v>143</v>
      </c>
      <c r="BQ50" s="66">
        <v>149</v>
      </c>
      <c r="BR50" s="66">
        <v>131</v>
      </c>
      <c r="BS50" s="66">
        <v>143</v>
      </c>
      <c r="BT50" s="66">
        <v>148</v>
      </c>
      <c r="BU50" s="66">
        <v>142</v>
      </c>
      <c r="BV50" s="66">
        <v>149</v>
      </c>
      <c r="BW50" s="66">
        <f t="shared" si="45"/>
        <v>147</v>
      </c>
      <c r="BX50" s="66">
        <f>453-BW50-BV50</f>
        <v>157</v>
      </c>
      <c r="BY50" s="66">
        <v>152</v>
      </c>
      <c r="BZ50" s="66">
        <v>145</v>
      </c>
      <c r="CA50" s="66">
        <f>282-BZ50</f>
        <v>137</v>
      </c>
      <c r="CB50" s="66">
        <v>143</v>
      </c>
      <c r="CC50" s="66">
        <v>144</v>
      </c>
      <c r="CD50" s="66">
        <v>153</v>
      </c>
      <c r="CE50" s="66">
        <v>154</v>
      </c>
      <c r="CF50" s="66">
        <v>171</v>
      </c>
      <c r="CG50" s="66">
        <v>160</v>
      </c>
      <c r="CH50" s="66">
        <v>166</v>
      </c>
      <c r="CI50" s="66">
        <v>167</v>
      </c>
      <c r="CJ50" s="66">
        <v>166</v>
      </c>
      <c r="CK50" s="66">
        <v>194</v>
      </c>
      <c r="CL50" s="66">
        <v>177</v>
      </c>
      <c r="CM50" s="66">
        <v>176</v>
      </c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54">
        <f t="shared" si="26"/>
        <v>0</v>
      </c>
      <c r="ED50" s="54"/>
      <c r="EE50" s="54"/>
      <c r="EF50" s="54"/>
      <c r="EG50" s="54"/>
      <c r="EH50" s="54"/>
      <c r="EI50" s="66"/>
      <c r="EJ50" s="66"/>
      <c r="EK50" s="5"/>
      <c r="EL50" s="25">
        <v>292</v>
      </c>
      <c r="EM50" s="25">
        <v>296</v>
      </c>
      <c r="EN50" s="25">
        <v>281</v>
      </c>
      <c r="EO50" s="25">
        <f t="shared" si="46"/>
        <v>329</v>
      </c>
      <c r="EP50" s="25">
        <f t="shared" si="47"/>
        <v>394</v>
      </c>
      <c r="EQ50" s="25">
        <f t="shared" si="49"/>
        <v>488</v>
      </c>
      <c r="ER50" s="25">
        <f t="shared" si="22"/>
        <v>542</v>
      </c>
      <c r="ES50" s="25">
        <f t="shared" si="50"/>
        <v>556</v>
      </c>
      <c r="ET50" s="25">
        <f t="shared" si="48"/>
        <v>564</v>
      </c>
      <c r="EU50" s="25">
        <f t="shared" si="20"/>
        <v>605</v>
      </c>
      <c r="EV50" s="25">
        <f t="shared" si="37"/>
        <v>569</v>
      </c>
      <c r="EW50" s="25">
        <f t="shared" si="38"/>
        <v>638</v>
      </c>
      <c r="EX50" s="25">
        <f t="shared" si="39"/>
        <v>693</v>
      </c>
      <c r="EY50" s="25">
        <v>726</v>
      </c>
      <c r="EZ50" s="127">
        <v>369</v>
      </c>
      <c r="FA50" s="127">
        <v>306</v>
      </c>
      <c r="FB50" s="127"/>
      <c r="FC50" s="127"/>
      <c r="FD50" s="127"/>
      <c r="FE50" s="127"/>
      <c r="FF50" s="64"/>
      <c r="FG50" s="40"/>
      <c r="FH50" s="133"/>
      <c r="FI50" s="64"/>
      <c r="FJ50" s="133">
        <f t="shared" si="32"/>
        <v>0</v>
      </c>
    </row>
    <row r="51" spans="2:174" s="26" customFormat="1" ht="13" x14ac:dyDescent="0.3">
      <c r="B51" s="15" t="s">
        <v>142</v>
      </c>
      <c r="C51" s="23"/>
      <c r="D51" s="23"/>
      <c r="E51" s="23"/>
      <c r="F51" s="23"/>
      <c r="G51" s="23"/>
      <c r="H51" s="23"/>
      <c r="I51" s="25">
        <v>232</v>
      </c>
      <c r="J51" s="25">
        <f>476-I51</f>
        <v>244</v>
      </c>
      <c r="K51" s="25">
        <v>244</v>
      </c>
      <c r="L51" s="25">
        <f>494-K51</f>
        <v>250</v>
      </c>
      <c r="M51" s="25">
        <v>239</v>
      </c>
      <c r="N51" s="25">
        <f>470-M51</f>
        <v>231</v>
      </c>
      <c r="O51" s="25">
        <v>195</v>
      </c>
      <c r="P51" s="25">
        <f t="shared" si="42"/>
        <v>218</v>
      </c>
      <c r="Q51" s="25">
        <f t="shared" si="43"/>
        <v>211</v>
      </c>
      <c r="R51" s="25">
        <f t="shared" si="44"/>
        <v>189</v>
      </c>
      <c r="S51" s="25">
        <v>193</v>
      </c>
      <c r="T51" s="25">
        <f t="shared" si="34"/>
        <v>212</v>
      </c>
      <c r="U51" s="25">
        <f t="shared" si="35"/>
        <v>169</v>
      </c>
      <c r="V51" s="25">
        <f t="shared" si="36"/>
        <v>148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93"/>
      <c r="AX51" s="66">
        <v>109</v>
      </c>
      <c r="AY51" s="66">
        <v>116</v>
      </c>
      <c r="AZ51" s="66">
        <v>110</v>
      </c>
      <c r="BA51" s="66">
        <v>114</v>
      </c>
      <c r="BB51" s="66">
        <v>110</v>
      </c>
      <c r="BC51" s="66">
        <v>122</v>
      </c>
      <c r="BD51" s="66">
        <v>116</v>
      </c>
      <c r="BE51" s="66">
        <v>128</v>
      </c>
      <c r="BF51" s="66">
        <v>118</v>
      </c>
      <c r="BG51" s="66">
        <v>126</v>
      </c>
      <c r="BH51" s="66">
        <v>118</v>
      </c>
      <c r="BI51" s="66">
        <v>132</v>
      </c>
      <c r="BJ51" s="66">
        <v>117</v>
      </c>
      <c r="BK51" s="66">
        <v>122</v>
      </c>
      <c r="BL51" s="66">
        <v>118</v>
      </c>
      <c r="BM51" s="66">
        <v>113</v>
      </c>
      <c r="BN51" s="66">
        <v>97</v>
      </c>
      <c r="BO51" s="66">
        <v>98</v>
      </c>
      <c r="BP51" s="66">
        <v>106</v>
      </c>
      <c r="BQ51" s="66">
        <v>112</v>
      </c>
      <c r="BR51" s="66">
        <v>104</v>
      </c>
      <c r="BS51" s="66">
        <v>107</v>
      </c>
      <c r="BT51" s="66">
        <v>100</v>
      </c>
      <c r="BU51" s="66">
        <v>89</v>
      </c>
      <c r="BV51" s="66">
        <v>91</v>
      </c>
      <c r="BW51" s="66">
        <f t="shared" si="45"/>
        <v>102</v>
      </c>
      <c r="BX51" s="66">
        <f>310-BW51-BV51</f>
        <v>117</v>
      </c>
      <c r="BY51" s="66">
        <v>95</v>
      </c>
      <c r="BZ51" s="66">
        <v>87</v>
      </c>
      <c r="CA51" s="66">
        <f>169-BZ51</f>
        <v>82</v>
      </c>
      <c r="CB51" s="66">
        <v>73</v>
      </c>
      <c r="CC51" s="66">
        <v>75</v>
      </c>
      <c r="CD51" s="66">
        <v>77</v>
      </c>
      <c r="CE51" s="66">
        <v>77</v>
      </c>
      <c r="CF51" s="66">
        <v>77</v>
      </c>
      <c r="CG51" s="66">
        <v>73</v>
      </c>
      <c r="CH51" s="66">
        <v>73</v>
      </c>
      <c r="CI51" s="66">
        <v>71</v>
      </c>
      <c r="CJ51" s="66">
        <v>69</v>
      </c>
      <c r="CK51" s="66">
        <v>61</v>
      </c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54">
        <f t="shared" si="26"/>
        <v>0</v>
      </c>
      <c r="ED51" s="54"/>
      <c r="EE51" s="54"/>
      <c r="EF51" s="54"/>
      <c r="EG51" s="54"/>
      <c r="EH51" s="54"/>
      <c r="EI51" s="66"/>
      <c r="EJ51" s="66"/>
      <c r="EK51" s="5"/>
      <c r="EL51" s="25">
        <v>435</v>
      </c>
      <c r="EM51" s="25">
        <v>477</v>
      </c>
      <c r="EN51" s="25">
        <v>442</v>
      </c>
      <c r="EO51" s="25">
        <f t="shared" si="46"/>
        <v>449</v>
      </c>
      <c r="EP51" s="25">
        <f t="shared" si="47"/>
        <v>476</v>
      </c>
      <c r="EQ51" s="25">
        <f t="shared" si="49"/>
        <v>494</v>
      </c>
      <c r="ER51" s="25">
        <f t="shared" si="22"/>
        <v>470</v>
      </c>
      <c r="ES51" s="25">
        <f t="shared" si="50"/>
        <v>413</v>
      </c>
      <c r="ET51" s="25">
        <f t="shared" si="48"/>
        <v>400</v>
      </c>
      <c r="EU51" s="25">
        <f t="shared" si="20"/>
        <v>405</v>
      </c>
      <c r="EV51" s="25">
        <f t="shared" si="37"/>
        <v>317</v>
      </c>
      <c r="EW51" s="25">
        <f t="shared" si="38"/>
        <v>304</v>
      </c>
      <c r="EX51" s="25">
        <f t="shared" si="39"/>
        <v>274</v>
      </c>
      <c r="EY51" s="25">
        <v>214</v>
      </c>
      <c r="EZ51" s="127"/>
      <c r="FA51" s="127"/>
      <c r="FB51" s="127"/>
      <c r="FC51" s="127"/>
      <c r="FD51" s="127"/>
      <c r="FE51" s="127"/>
      <c r="FF51" s="64"/>
      <c r="FG51" s="40"/>
      <c r="FH51" s="133"/>
      <c r="FI51" s="64"/>
      <c r="FJ51" s="133">
        <f t="shared" si="32"/>
        <v>0</v>
      </c>
    </row>
    <row r="52" spans="2:174" s="26" customFormat="1" ht="13" x14ac:dyDescent="0.3">
      <c r="B52" s="15" t="s">
        <v>30</v>
      </c>
      <c r="C52" s="23"/>
      <c r="D52" s="23"/>
      <c r="E52" s="23"/>
      <c r="F52" s="23"/>
      <c r="G52" s="23"/>
      <c r="H52" s="23"/>
      <c r="I52" s="25">
        <v>169</v>
      </c>
      <c r="J52" s="25">
        <f>364-I52</f>
        <v>195</v>
      </c>
      <c r="K52" s="25">
        <v>188</v>
      </c>
      <c r="L52" s="25">
        <f>379-K52</f>
        <v>191</v>
      </c>
      <c r="M52" s="25">
        <v>195</v>
      </c>
      <c r="N52" s="25">
        <f>405-M52</f>
        <v>210</v>
      </c>
      <c r="O52" s="25">
        <v>192</v>
      </c>
      <c r="P52" s="25">
        <f>SUM(BP52:BQ52)</f>
        <v>212</v>
      </c>
      <c r="Q52" s="25">
        <f t="shared" si="43"/>
        <v>188</v>
      </c>
      <c r="R52" s="25">
        <f t="shared" si="44"/>
        <v>197</v>
      </c>
      <c r="S52" s="25">
        <v>167</v>
      </c>
      <c r="T52" s="25">
        <f t="shared" si="34"/>
        <v>164</v>
      </c>
      <c r="U52" s="25">
        <f t="shared" si="35"/>
        <v>135</v>
      </c>
      <c r="V52" s="25">
        <f t="shared" si="36"/>
        <v>143</v>
      </c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93"/>
      <c r="AX52" s="66">
        <v>76</v>
      </c>
      <c r="AY52" s="66">
        <v>80</v>
      </c>
      <c r="AZ52" s="66">
        <v>81</v>
      </c>
      <c r="BA52" s="66">
        <v>88</v>
      </c>
      <c r="BB52" s="66">
        <v>80</v>
      </c>
      <c r="BC52" s="66">
        <v>89</v>
      </c>
      <c r="BD52" s="66">
        <v>97</v>
      </c>
      <c r="BE52" s="66">
        <v>98</v>
      </c>
      <c r="BF52" s="66">
        <v>93</v>
      </c>
      <c r="BG52" s="66">
        <v>95</v>
      </c>
      <c r="BH52" s="66">
        <v>91</v>
      </c>
      <c r="BI52" s="66">
        <v>100</v>
      </c>
      <c r="BJ52" s="66">
        <v>96</v>
      </c>
      <c r="BK52" s="66">
        <v>99</v>
      </c>
      <c r="BL52" s="66">
        <v>100</v>
      </c>
      <c r="BM52" s="66">
        <v>110</v>
      </c>
      <c r="BN52" s="66">
        <v>95</v>
      </c>
      <c r="BO52" s="66">
        <v>97</v>
      </c>
      <c r="BP52" s="66">
        <v>98</v>
      </c>
      <c r="BQ52" s="66">
        <v>114</v>
      </c>
      <c r="BR52" s="66">
        <v>90</v>
      </c>
      <c r="BS52" s="66">
        <v>98</v>
      </c>
      <c r="BT52" s="66">
        <v>101</v>
      </c>
      <c r="BU52" s="66">
        <v>96</v>
      </c>
      <c r="BV52" s="66">
        <v>81</v>
      </c>
      <c r="BW52" s="66">
        <f t="shared" si="45"/>
        <v>86</v>
      </c>
      <c r="BX52" s="66">
        <f>249-BW52-BV52</f>
        <v>82</v>
      </c>
      <c r="BY52" s="66">
        <v>82</v>
      </c>
      <c r="BZ52" s="66">
        <v>61</v>
      </c>
      <c r="CA52" s="66">
        <v>74</v>
      </c>
      <c r="CB52" s="66">
        <v>65</v>
      </c>
      <c r="CC52" s="66">
        <v>78</v>
      </c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54">
        <f t="shared" si="26"/>
        <v>0</v>
      </c>
      <c r="ED52" s="54"/>
      <c r="EE52" s="54"/>
      <c r="EF52" s="54"/>
      <c r="EG52" s="54"/>
      <c r="EH52" s="54"/>
      <c r="EI52" s="66"/>
      <c r="EJ52" s="66"/>
      <c r="EK52" s="5"/>
      <c r="EL52" s="25">
        <v>0</v>
      </c>
      <c r="EM52" s="25">
        <v>0</v>
      </c>
      <c r="EN52" s="25">
        <v>315</v>
      </c>
      <c r="EO52" s="25">
        <f t="shared" si="46"/>
        <v>325</v>
      </c>
      <c r="EP52" s="25">
        <f t="shared" si="47"/>
        <v>364</v>
      </c>
      <c r="EQ52" s="25">
        <f t="shared" si="49"/>
        <v>379</v>
      </c>
      <c r="ER52" s="25">
        <f>SUM(M52:N52)</f>
        <v>405</v>
      </c>
      <c r="ES52" s="25">
        <f t="shared" si="50"/>
        <v>404</v>
      </c>
      <c r="ET52" s="25">
        <f t="shared" si="48"/>
        <v>385</v>
      </c>
      <c r="EU52" s="25">
        <f t="shared" si="20"/>
        <v>331</v>
      </c>
      <c r="EV52" s="25">
        <f t="shared" si="37"/>
        <v>278</v>
      </c>
      <c r="EW52" s="25"/>
      <c r="EX52" s="25"/>
      <c r="EY52" s="25"/>
      <c r="EZ52" s="127"/>
      <c r="FA52" s="127"/>
      <c r="FB52" s="127"/>
      <c r="FC52" s="127"/>
      <c r="FD52" s="127"/>
      <c r="FE52" s="127"/>
      <c r="FF52" s="64"/>
      <c r="FG52" s="40"/>
      <c r="FH52" s="133"/>
      <c r="FI52" s="64"/>
      <c r="FJ52" s="133">
        <f t="shared" si="32"/>
        <v>0</v>
      </c>
    </row>
    <row r="53" spans="2:174" s="26" customFormat="1" ht="13" x14ac:dyDescent="0.3">
      <c r="B53" s="15" t="s">
        <v>38</v>
      </c>
      <c r="C53" s="23"/>
      <c r="D53" s="23"/>
      <c r="E53" s="23"/>
      <c r="F53" s="23"/>
      <c r="G53" s="23"/>
      <c r="H53" s="23"/>
      <c r="I53" s="25"/>
      <c r="J53" s="25"/>
      <c r="K53" s="25"/>
      <c r="L53" s="25"/>
      <c r="M53" s="25"/>
      <c r="N53" s="25"/>
      <c r="O53" s="25">
        <v>154</v>
      </c>
      <c r="P53" s="25">
        <f>SUM(BP53:BQ53)</f>
        <v>157</v>
      </c>
      <c r="Q53" s="25">
        <f t="shared" si="43"/>
        <v>140</v>
      </c>
      <c r="R53" s="25">
        <f t="shared" si="44"/>
        <v>146</v>
      </c>
      <c r="S53" s="25">
        <v>0</v>
      </c>
      <c r="T53" s="25">
        <f t="shared" si="34"/>
        <v>77</v>
      </c>
      <c r="U53" s="25">
        <f t="shared" si="35"/>
        <v>150</v>
      </c>
      <c r="V53" s="25">
        <f t="shared" si="36"/>
        <v>144</v>
      </c>
      <c r="W53" s="25"/>
      <c r="X53" s="25"/>
      <c r="Y53" s="25"/>
      <c r="Z53" s="25"/>
      <c r="AA53" s="25">
        <v>135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93"/>
      <c r="AX53" s="93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>
        <v>75</v>
      </c>
      <c r="BK53" s="66">
        <v>77</v>
      </c>
      <c r="BL53" s="66">
        <v>76</v>
      </c>
      <c r="BM53" s="66">
        <v>83</v>
      </c>
      <c r="BN53" s="66">
        <v>74</v>
      </c>
      <c r="BO53" s="66">
        <v>80</v>
      </c>
      <c r="BP53" s="66">
        <v>77</v>
      </c>
      <c r="BQ53" s="66">
        <v>80</v>
      </c>
      <c r="BR53" s="66">
        <v>68</v>
      </c>
      <c r="BS53" s="66">
        <v>72</v>
      </c>
      <c r="BT53" s="66">
        <v>71</v>
      </c>
      <c r="BU53" s="66">
        <v>75</v>
      </c>
      <c r="BV53" s="66"/>
      <c r="BW53" s="66"/>
      <c r="BX53" s="66"/>
      <c r="BY53" s="66">
        <v>77</v>
      </c>
      <c r="BZ53" s="66">
        <v>75</v>
      </c>
      <c r="CA53" s="66">
        <v>75</v>
      </c>
      <c r="CB53" s="66">
        <v>72</v>
      </c>
      <c r="CC53" s="66">
        <v>72</v>
      </c>
      <c r="CD53" s="66">
        <v>75</v>
      </c>
      <c r="CE53" s="66">
        <v>82</v>
      </c>
      <c r="CF53" s="66">
        <v>78</v>
      </c>
      <c r="CG53" s="66">
        <v>75</v>
      </c>
      <c r="CH53" s="66">
        <v>80</v>
      </c>
      <c r="CI53" s="66">
        <v>78</v>
      </c>
      <c r="CJ53" s="66">
        <v>77</v>
      </c>
      <c r="CK53" s="66">
        <v>78</v>
      </c>
      <c r="CL53" s="66">
        <v>59</v>
      </c>
      <c r="CM53" s="66">
        <v>76</v>
      </c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54">
        <f t="shared" si="26"/>
        <v>368</v>
      </c>
      <c r="ED53" s="54"/>
      <c r="EE53" s="54"/>
      <c r="EF53" s="54"/>
      <c r="EG53" s="54"/>
      <c r="EH53" s="54"/>
      <c r="EI53" s="66"/>
      <c r="EJ53" s="66"/>
      <c r="EK53" s="5"/>
      <c r="EL53" s="25"/>
      <c r="EM53" s="25"/>
      <c r="EN53" s="25"/>
      <c r="EO53" s="25"/>
      <c r="EP53" s="25"/>
      <c r="EQ53" s="25"/>
      <c r="ER53" s="25">
        <f>SUM(BJ53:BM53)</f>
        <v>311</v>
      </c>
      <c r="ES53" s="25">
        <f t="shared" si="50"/>
        <v>311</v>
      </c>
      <c r="ET53" s="25">
        <f t="shared" si="48"/>
        <v>286</v>
      </c>
      <c r="EU53" s="25"/>
      <c r="EV53" s="25">
        <f t="shared" si="37"/>
        <v>294</v>
      </c>
      <c r="EW53" s="25">
        <f t="shared" si="38"/>
        <v>310</v>
      </c>
      <c r="EX53" s="25">
        <f t="shared" si="39"/>
        <v>313</v>
      </c>
      <c r="EY53" s="25">
        <v>292</v>
      </c>
      <c r="EZ53" s="127">
        <v>275</v>
      </c>
      <c r="FA53" s="127">
        <v>290</v>
      </c>
      <c r="FB53" s="127">
        <v>334</v>
      </c>
      <c r="FC53" s="127">
        <v>341</v>
      </c>
      <c r="FD53" s="127">
        <v>367</v>
      </c>
      <c r="FE53" s="127">
        <v>361</v>
      </c>
      <c r="FF53" s="127">
        <v>394</v>
      </c>
      <c r="FG53" s="127">
        <v>379</v>
      </c>
      <c r="FH53" s="133">
        <v>355</v>
      </c>
      <c r="FI53" s="133">
        <v>368</v>
      </c>
      <c r="FJ53" s="133">
        <f t="shared" si="32"/>
        <v>0</v>
      </c>
    </row>
    <row r="54" spans="2:174" s="26" customFormat="1" ht="13" x14ac:dyDescent="0.3">
      <c r="B54" s="3" t="s">
        <v>50</v>
      </c>
      <c r="C54" s="23"/>
      <c r="D54" s="23"/>
      <c r="E54" s="23"/>
      <c r="F54" s="23"/>
      <c r="G54" s="23"/>
      <c r="H54" s="23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>
        <f t="shared" si="35"/>
        <v>138</v>
      </c>
      <c r="V54" s="25">
        <f>344-U54</f>
        <v>206</v>
      </c>
      <c r="W54" s="25"/>
      <c r="X54" s="25"/>
      <c r="Y54" s="25"/>
      <c r="Z54" s="25"/>
      <c r="AA54" s="25">
        <v>203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93"/>
      <c r="AX54" s="93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>
        <v>70</v>
      </c>
      <c r="BZ54" s="66">
        <v>70</v>
      </c>
      <c r="CA54" s="66">
        <f>138-BZ54</f>
        <v>68</v>
      </c>
      <c r="CB54" s="66">
        <v>99</v>
      </c>
      <c r="CC54" s="66">
        <v>107</v>
      </c>
      <c r="CD54" s="66">
        <v>90</v>
      </c>
      <c r="CE54" s="66">
        <v>87</v>
      </c>
      <c r="CF54" s="66">
        <v>96</v>
      </c>
      <c r="CG54" s="66">
        <v>111</v>
      </c>
      <c r="CH54" s="66">
        <v>94</v>
      </c>
      <c r="CI54" s="66">
        <v>106</v>
      </c>
      <c r="CJ54" s="66">
        <v>107</v>
      </c>
      <c r="CK54" s="66">
        <v>118</v>
      </c>
      <c r="CL54" s="66">
        <v>103</v>
      </c>
      <c r="CM54" s="66">
        <v>100</v>
      </c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>
        <v>108</v>
      </c>
      <c r="DZ54" s="66">
        <v>96</v>
      </c>
      <c r="EA54" s="66">
        <v>77</v>
      </c>
      <c r="EB54" s="66">
        <v>131</v>
      </c>
      <c r="EC54" s="54">
        <f t="shared" si="26"/>
        <v>93</v>
      </c>
      <c r="ED54" s="54"/>
      <c r="EE54" s="54"/>
      <c r="EF54" s="54"/>
      <c r="EG54" s="54"/>
      <c r="EH54" s="54"/>
      <c r="EI54" s="66"/>
      <c r="EJ54" s="66"/>
      <c r="EK54" s="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>
        <f t="shared" si="37"/>
        <v>344</v>
      </c>
      <c r="EW54" s="25">
        <f t="shared" si="38"/>
        <v>384</v>
      </c>
      <c r="EX54" s="25">
        <f t="shared" si="39"/>
        <v>425</v>
      </c>
      <c r="EY54" s="25">
        <v>417</v>
      </c>
      <c r="EZ54" s="127">
        <v>475</v>
      </c>
      <c r="FA54" s="127">
        <v>512</v>
      </c>
      <c r="FB54" s="127">
        <v>505</v>
      </c>
      <c r="FC54" s="127">
        <v>532</v>
      </c>
      <c r="FD54" s="127">
        <v>591</v>
      </c>
      <c r="FE54" s="127">
        <v>470</v>
      </c>
      <c r="FF54" s="127">
        <v>435</v>
      </c>
      <c r="FG54" s="2">
        <v>408</v>
      </c>
      <c r="FH54" s="133">
        <v>426</v>
      </c>
      <c r="FI54" s="133">
        <v>397</v>
      </c>
      <c r="FJ54" s="133">
        <f t="shared" si="32"/>
        <v>0</v>
      </c>
    </row>
    <row r="55" spans="2:174" s="26" customFormat="1" ht="13" hidden="1" x14ac:dyDescent="0.3">
      <c r="B55" s="15" t="s">
        <v>39</v>
      </c>
      <c r="C55" s="23"/>
      <c r="D55" s="23"/>
      <c r="E55" s="23"/>
      <c r="F55" s="23"/>
      <c r="G55" s="23"/>
      <c r="H55" s="23"/>
      <c r="I55" s="25">
        <v>312</v>
      </c>
      <c r="J55" s="25">
        <f>635-I55</f>
        <v>323</v>
      </c>
      <c r="K55" s="25">
        <v>363</v>
      </c>
      <c r="L55" s="25">
        <f>693-K55</f>
        <v>330</v>
      </c>
      <c r="M55" s="25">
        <v>339</v>
      </c>
      <c r="N55" s="25">
        <f>632-M55</f>
        <v>293</v>
      </c>
      <c r="O55" s="25">
        <v>264</v>
      </c>
      <c r="P55" s="25">
        <f>SUM(BP55:BQ55)</f>
        <v>238</v>
      </c>
      <c r="Q55" s="25">
        <f>SUM(BR55:BS55)</f>
        <v>209</v>
      </c>
      <c r="R55" s="25">
        <f>BT55+BU55</f>
        <v>188</v>
      </c>
      <c r="S55" s="25">
        <v>183</v>
      </c>
      <c r="T55" s="25">
        <f>+BY55+BX55</f>
        <v>154</v>
      </c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93"/>
      <c r="AX55" s="66">
        <v>146</v>
      </c>
      <c r="AY55" s="66">
        <v>165</v>
      </c>
      <c r="AZ55" s="66">
        <v>145</v>
      </c>
      <c r="BA55" s="66">
        <v>137</v>
      </c>
      <c r="BB55" s="66">
        <v>147</v>
      </c>
      <c r="BC55" s="66">
        <v>165</v>
      </c>
      <c r="BD55" s="66">
        <v>162</v>
      </c>
      <c r="BE55" s="66">
        <v>161</v>
      </c>
      <c r="BF55" s="66">
        <v>181</v>
      </c>
      <c r="BG55" s="66">
        <v>182</v>
      </c>
      <c r="BH55" s="66">
        <v>160</v>
      </c>
      <c r="BI55" s="66">
        <v>170</v>
      </c>
      <c r="BJ55" s="66">
        <v>163</v>
      </c>
      <c r="BK55" s="66">
        <v>176</v>
      </c>
      <c r="BL55" s="66">
        <v>151</v>
      </c>
      <c r="BM55" s="66">
        <v>142</v>
      </c>
      <c r="BN55" s="66">
        <v>136</v>
      </c>
      <c r="BO55" s="66">
        <v>128</v>
      </c>
      <c r="BP55" s="66">
        <v>126</v>
      </c>
      <c r="BQ55" s="66">
        <v>112</v>
      </c>
      <c r="BR55" s="66">
        <v>103</v>
      </c>
      <c r="BS55" s="66">
        <v>106</v>
      </c>
      <c r="BT55" s="66">
        <v>98</v>
      </c>
      <c r="BU55" s="66">
        <v>90</v>
      </c>
      <c r="BV55" s="66">
        <v>91</v>
      </c>
      <c r="BW55" s="66">
        <f>+S55-BV55</f>
        <v>92</v>
      </c>
      <c r="BX55" s="66">
        <f>259-BW55-BV55</f>
        <v>76</v>
      </c>
      <c r="BY55" s="66">
        <v>78</v>
      </c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54">
        <f t="shared" si="26"/>
        <v>0</v>
      </c>
      <c r="ED55" s="54"/>
      <c r="EE55" s="54"/>
      <c r="EF55" s="54"/>
      <c r="EG55" s="54"/>
      <c r="EH55" s="54"/>
      <c r="EI55" s="66"/>
      <c r="EJ55" s="66"/>
      <c r="EK55" s="5"/>
      <c r="EL55" s="25">
        <v>963</v>
      </c>
      <c r="EM55" s="25">
        <v>763</v>
      </c>
      <c r="EN55" s="25">
        <v>618</v>
      </c>
      <c r="EO55" s="25">
        <f>SUM(AX55:BA55)</f>
        <v>593</v>
      </c>
      <c r="EP55" s="25">
        <f>SUM(BB55:BE55)</f>
        <v>635</v>
      </c>
      <c r="EQ55" s="25">
        <f>SUM(K55:L55)</f>
        <v>693</v>
      </c>
      <c r="ER55" s="25">
        <f>SUM(M55:N55)</f>
        <v>632</v>
      </c>
      <c r="ES55" s="25">
        <f>SUM(BN55:BQ55)</f>
        <v>502</v>
      </c>
      <c r="ET55" s="25">
        <f>SUM(BR55:BU55)</f>
        <v>397</v>
      </c>
      <c r="EU55" s="25">
        <f>SUM(BV55:BY55)</f>
        <v>337</v>
      </c>
      <c r="EV55" s="25">
        <f t="shared" ref="EV55:EV62" si="51">SUM(BZ55:CC55)</f>
        <v>0</v>
      </c>
      <c r="EW55" s="25">
        <f t="shared" si="38"/>
        <v>0</v>
      </c>
      <c r="EX55" s="25">
        <f t="shared" si="39"/>
        <v>0</v>
      </c>
      <c r="EY55" s="25"/>
      <c r="EZ55" s="127"/>
      <c r="FA55" s="127"/>
      <c r="FB55" s="127"/>
      <c r="FC55" s="127"/>
      <c r="FD55" s="127"/>
      <c r="FE55" s="127"/>
      <c r="FF55" s="64"/>
      <c r="FG55" s="40"/>
      <c r="FH55" s="133">
        <f t="shared" si="24"/>
        <v>0</v>
      </c>
      <c r="FI55" s="64"/>
      <c r="FJ55" s="133">
        <f t="shared" si="32"/>
        <v>0</v>
      </c>
    </row>
    <row r="56" spans="2:174" s="26" customFormat="1" ht="13" hidden="1" x14ac:dyDescent="0.3">
      <c r="B56" s="15" t="s">
        <v>32</v>
      </c>
      <c r="C56" s="23"/>
      <c r="D56" s="23"/>
      <c r="E56" s="23"/>
      <c r="F56" s="23"/>
      <c r="G56" s="23"/>
      <c r="H56" s="23"/>
      <c r="I56" s="25">
        <v>235</v>
      </c>
      <c r="J56" s="25">
        <f>500-I56</f>
        <v>265</v>
      </c>
      <c r="K56" s="25">
        <v>254</v>
      </c>
      <c r="L56" s="25">
        <f>498-K56</f>
        <v>244</v>
      </c>
      <c r="M56" s="25">
        <v>205</v>
      </c>
      <c r="N56" s="25">
        <f>425-M56</f>
        <v>220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93"/>
      <c r="AX56" s="66">
        <v>109</v>
      </c>
      <c r="AY56" s="66">
        <v>111</v>
      </c>
      <c r="AZ56" s="66">
        <v>114</v>
      </c>
      <c r="BA56" s="66">
        <v>123</v>
      </c>
      <c r="BB56" s="66">
        <v>105</v>
      </c>
      <c r="BC56" s="66">
        <v>130</v>
      </c>
      <c r="BD56" s="66">
        <v>130</v>
      </c>
      <c r="BE56" s="66">
        <v>135</v>
      </c>
      <c r="BF56" s="66">
        <v>130</v>
      </c>
      <c r="BG56" s="66">
        <v>124</v>
      </c>
      <c r="BH56" s="66">
        <v>127</v>
      </c>
      <c r="BI56" s="66">
        <v>117</v>
      </c>
      <c r="BJ56" s="66">
        <v>105</v>
      </c>
      <c r="BK56" s="66">
        <v>100</v>
      </c>
      <c r="BL56" s="66">
        <v>110</v>
      </c>
      <c r="BM56" s="66">
        <v>110</v>
      </c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54">
        <f t="shared" si="26"/>
        <v>0</v>
      </c>
      <c r="ED56" s="54"/>
      <c r="EE56" s="54"/>
      <c r="EF56" s="54"/>
      <c r="EG56" s="54"/>
      <c r="EH56" s="54"/>
      <c r="EI56" s="66"/>
      <c r="EJ56" s="66"/>
      <c r="EK56" s="5"/>
      <c r="EL56" s="25">
        <v>437</v>
      </c>
      <c r="EM56" s="25">
        <v>451</v>
      </c>
      <c r="EN56" s="25">
        <v>437</v>
      </c>
      <c r="EO56" s="25">
        <f t="shared" ref="EO56:EO62" si="52">SUM(AX56:BA56)</f>
        <v>457</v>
      </c>
      <c r="EP56" s="25">
        <f t="shared" ref="EP56:EP62" si="53">SUM(BB56:BE56)</f>
        <v>500</v>
      </c>
      <c r="EQ56" s="25">
        <f>SUM(K56:L56)</f>
        <v>498</v>
      </c>
      <c r="ER56" s="25">
        <f>SUM(M56:N56)</f>
        <v>425</v>
      </c>
      <c r="ES56" s="25"/>
      <c r="ET56" s="25"/>
      <c r="EV56" s="25">
        <f t="shared" si="51"/>
        <v>0</v>
      </c>
      <c r="EW56" s="25">
        <f t="shared" si="38"/>
        <v>0</v>
      </c>
      <c r="EX56" s="25">
        <f t="shared" si="39"/>
        <v>0</v>
      </c>
      <c r="EZ56" s="128"/>
      <c r="FA56" s="128"/>
      <c r="FB56" s="128"/>
      <c r="FC56" s="128"/>
      <c r="FD56" s="128"/>
      <c r="FE56" s="128"/>
      <c r="FF56" s="64"/>
      <c r="FG56" s="135"/>
      <c r="FH56" s="133">
        <f t="shared" si="24"/>
        <v>0</v>
      </c>
      <c r="FI56" s="127"/>
      <c r="FJ56" s="133">
        <f t="shared" si="32"/>
        <v>0</v>
      </c>
      <c r="FK56" s="25"/>
      <c r="FL56" s="25"/>
      <c r="FM56" s="25"/>
      <c r="FN56" s="25"/>
      <c r="FO56" s="25"/>
      <c r="FP56" s="25"/>
      <c r="FQ56" s="25"/>
      <c r="FR56" s="25"/>
    </row>
    <row r="57" spans="2:174" s="26" customFormat="1" ht="13" hidden="1" x14ac:dyDescent="0.3">
      <c r="B57" s="3" t="s">
        <v>36</v>
      </c>
      <c r="C57" s="23"/>
      <c r="D57" s="23"/>
      <c r="E57" s="23"/>
      <c r="F57" s="23"/>
      <c r="G57" s="23"/>
      <c r="H57" s="23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93"/>
      <c r="AX57" s="66">
        <v>31</v>
      </c>
      <c r="AY57" s="66">
        <v>47</v>
      </c>
      <c r="AZ57" s="66">
        <v>43</v>
      </c>
      <c r="BA57" s="66">
        <v>47</v>
      </c>
      <c r="BB57" s="66">
        <v>50</v>
      </c>
      <c r="BC57" s="66">
        <v>66</v>
      </c>
      <c r="BD57" s="66">
        <v>62</v>
      </c>
      <c r="BE57" s="66">
        <v>81</v>
      </c>
      <c r="BF57" s="66">
        <v>72</v>
      </c>
      <c r="BG57" s="66">
        <v>71</v>
      </c>
      <c r="BH57" s="66">
        <v>78</v>
      </c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54">
        <f t="shared" si="26"/>
        <v>0</v>
      </c>
      <c r="ED57" s="54"/>
      <c r="EE57" s="54"/>
      <c r="EF57" s="54"/>
      <c r="EG57" s="54"/>
      <c r="EH57" s="54"/>
      <c r="EI57" s="66"/>
      <c r="EJ57" s="66"/>
      <c r="EK57" s="5"/>
      <c r="EL57" s="25">
        <v>0</v>
      </c>
      <c r="EM57" s="25">
        <v>0</v>
      </c>
      <c r="EN57" s="25">
        <v>49</v>
      </c>
      <c r="EO57" s="25">
        <f t="shared" si="52"/>
        <v>168</v>
      </c>
      <c r="EP57" s="25">
        <f t="shared" si="53"/>
        <v>259</v>
      </c>
      <c r="EQ57" s="25"/>
      <c r="ER57" s="25"/>
      <c r="ES57" s="25"/>
      <c r="ET57" s="25"/>
      <c r="EU57" s="25"/>
      <c r="EV57" s="25">
        <f t="shared" si="51"/>
        <v>0</v>
      </c>
      <c r="EW57" s="25">
        <f t="shared" si="38"/>
        <v>0</v>
      </c>
      <c r="EX57" s="25">
        <f t="shared" si="39"/>
        <v>0</v>
      </c>
      <c r="EY57" s="25"/>
      <c r="EZ57" s="127"/>
      <c r="FA57" s="127"/>
      <c r="FB57" s="127"/>
      <c r="FC57" s="127"/>
      <c r="FD57" s="127"/>
      <c r="FE57" s="127"/>
      <c r="FF57" s="64"/>
      <c r="FG57" s="136"/>
      <c r="FH57" s="133">
        <f t="shared" si="24"/>
        <v>0</v>
      </c>
      <c r="FI57" s="137"/>
      <c r="FJ57" s="133">
        <f t="shared" si="32"/>
        <v>0</v>
      </c>
      <c r="FK57" s="99"/>
      <c r="FL57" s="99"/>
      <c r="FM57" s="99"/>
      <c r="FN57" s="99"/>
      <c r="FO57" s="99"/>
      <c r="FP57" s="99"/>
      <c r="FQ57" s="99"/>
      <c r="FR57" s="99"/>
    </row>
    <row r="58" spans="2:174" s="26" customFormat="1" ht="13" hidden="1" x14ac:dyDescent="0.3">
      <c r="B58" s="3" t="s">
        <v>477</v>
      </c>
      <c r="C58" s="23"/>
      <c r="D58" s="23"/>
      <c r="E58" s="23"/>
      <c r="F58" s="23"/>
      <c r="G58" s="23"/>
      <c r="H58" s="23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93"/>
      <c r="AX58" s="66">
        <v>7.904642409033876</v>
      </c>
      <c r="AY58" s="66">
        <v>16.813048933500628</v>
      </c>
      <c r="AZ58" s="66">
        <v>23.282308657465496</v>
      </c>
      <c r="BA58" s="66">
        <v>22</v>
      </c>
      <c r="BB58" s="66">
        <v>28</v>
      </c>
      <c r="BC58" s="66">
        <v>31</v>
      </c>
      <c r="BD58" s="66">
        <v>28</v>
      </c>
      <c r="BE58" s="66">
        <v>30</v>
      </c>
      <c r="BF58" s="66">
        <v>31</v>
      </c>
      <c r="BG58" s="66">
        <v>31</v>
      </c>
      <c r="BH58" s="66">
        <v>32</v>
      </c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54">
        <f t="shared" si="26"/>
        <v>0</v>
      </c>
      <c r="ED58" s="54"/>
      <c r="EE58" s="54"/>
      <c r="EF58" s="54"/>
      <c r="EG58" s="54"/>
      <c r="EH58" s="54"/>
      <c r="EI58" s="66"/>
      <c r="EJ58" s="66"/>
      <c r="EK58" s="5"/>
      <c r="EL58" s="25">
        <v>0</v>
      </c>
      <c r="EM58" s="25">
        <v>0</v>
      </c>
      <c r="EN58" s="25">
        <v>3</v>
      </c>
      <c r="EO58" s="25">
        <f t="shared" si="52"/>
        <v>70</v>
      </c>
      <c r="EP58" s="25">
        <f t="shared" si="53"/>
        <v>117</v>
      </c>
      <c r="EQ58" s="25"/>
      <c r="ER58" s="25"/>
      <c r="ES58" s="25"/>
      <c r="ET58" s="25"/>
      <c r="EU58" s="25"/>
      <c r="EV58" s="25">
        <f t="shared" si="51"/>
        <v>0</v>
      </c>
      <c r="EW58" s="25">
        <f t="shared" si="38"/>
        <v>0</v>
      </c>
      <c r="EX58" s="25">
        <f t="shared" si="39"/>
        <v>0</v>
      </c>
      <c r="EY58" s="25"/>
      <c r="EZ58" s="127"/>
      <c r="FA58" s="127"/>
      <c r="FB58" s="127"/>
      <c r="FC58" s="127"/>
      <c r="FD58" s="127"/>
      <c r="FE58" s="127"/>
      <c r="FF58" s="64"/>
      <c r="FG58" s="40"/>
      <c r="FH58" s="133">
        <f t="shared" si="24"/>
        <v>0</v>
      </c>
      <c r="FI58" s="64"/>
      <c r="FJ58" s="133">
        <f t="shared" si="32"/>
        <v>0</v>
      </c>
    </row>
    <row r="59" spans="2:174" s="26" customFormat="1" ht="13" hidden="1" x14ac:dyDescent="0.3">
      <c r="B59" s="3" t="s">
        <v>476</v>
      </c>
      <c r="C59" s="23"/>
      <c r="D59" s="23"/>
      <c r="E59" s="23"/>
      <c r="F59" s="23"/>
      <c r="G59" s="23"/>
      <c r="H59" s="23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93"/>
      <c r="AX59" s="66">
        <v>104</v>
      </c>
      <c r="AY59" s="66">
        <v>96</v>
      </c>
      <c r="AZ59" s="66">
        <v>86</v>
      </c>
      <c r="BA59" s="66">
        <v>75</v>
      </c>
      <c r="BB59" s="66">
        <v>83</v>
      </c>
      <c r="BC59" s="66">
        <v>84</v>
      </c>
      <c r="BD59" s="66">
        <v>79</v>
      </c>
      <c r="BE59" s="66">
        <v>80</v>
      </c>
      <c r="BF59" s="66">
        <v>81</v>
      </c>
      <c r="BG59" s="66">
        <v>78</v>
      </c>
      <c r="BH59" s="66">
        <v>75</v>
      </c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54">
        <f t="shared" si="26"/>
        <v>0</v>
      </c>
      <c r="ED59" s="54"/>
      <c r="EE59" s="54"/>
      <c r="EF59" s="54"/>
      <c r="EG59" s="54"/>
      <c r="EH59" s="54"/>
      <c r="EI59" s="66"/>
      <c r="EJ59" s="66"/>
      <c r="EK59" s="5"/>
      <c r="EL59" s="25">
        <v>289</v>
      </c>
      <c r="EM59" s="25">
        <v>329</v>
      </c>
      <c r="EN59" s="25">
        <v>392</v>
      </c>
      <c r="EO59" s="25">
        <f t="shared" si="52"/>
        <v>361</v>
      </c>
      <c r="EP59" s="25">
        <f t="shared" si="53"/>
        <v>326</v>
      </c>
      <c r="EQ59" s="25"/>
      <c r="ER59" s="25"/>
      <c r="ES59" s="25"/>
      <c r="ET59" s="25"/>
      <c r="EU59" s="25"/>
      <c r="EV59" s="25">
        <f t="shared" si="51"/>
        <v>0</v>
      </c>
      <c r="EW59" s="25">
        <f t="shared" si="38"/>
        <v>0</v>
      </c>
      <c r="EX59" s="25">
        <f t="shared" si="39"/>
        <v>0</v>
      </c>
      <c r="EY59" s="25"/>
      <c r="EZ59" s="127"/>
      <c r="FA59" s="127"/>
      <c r="FB59" s="127"/>
      <c r="FC59" s="127"/>
      <c r="FD59" s="127"/>
      <c r="FE59" s="127"/>
      <c r="FF59" s="64"/>
      <c r="FG59" s="40"/>
      <c r="FH59" s="133">
        <f t="shared" si="24"/>
        <v>0</v>
      </c>
      <c r="FI59" s="64"/>
      <c r="FJ59" s="133">
        <f t="shared" si="32"/>
        <v>0</v>
      </c>
    </row>
    <row r="60" spans="2:174" s="26" customFormat="1" ht="13" hidden="1" x14ac:dyDescent="0.3">
      <c r="B60" s="3" t="s">
        <v>478</v>
      </c>
      <c r="C60" s="23"/>
      <c r="D60" s="23"/>
      <c r="E60" s="23"/>
      <c r="F60" s="23"/>
      <c r="G60" s="23"/>
      <c r="H60" s="23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93"/>
      <c r="AX60" s="66">
        <v>0</v>
      </c>
      <c r="AY60" s="66">
        <v>17</v>
      </c>
      <c r="AZ60" s="66">
        <v>6</v>
      </c>
      <c r="BA60" s="66">
        <v>15</v>
      </c>
      <c r="BB60" s="66">
        <v>16</v>
      </c>
      <c r="BC60" s="66">
        <v>25</v>
      </c>
      <c r="BD60" s="66">
        <v>28</v>
      </c>
      <c r="BE60" s="66">
        <v>35</v>
      </c>
      <c r="BF60" s="66">
        <v>27</v>
      </c>
      <c r="BG60" s="66">
        <v>37</v>
      </c>
      <c r="BH60" s="66">
        <v>37</v>
      </c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54">
        <f t="shared" si="26"/>
        <v>0</v>
      </c>
      <c r="ED60" s="54"/>
      <c r="EE60" s="54"/>
      <c r="EF60" s="54"/>
      <c r="EG60" s="54"/>
      <c r="EH60" s="54"/>
      <c r="EI60" s="66"/>
      <c r="EJ60" s="66"/>
      <c r="EK60" s="5"/>
      <c r="EL60" s="25">
        <v>0</v>
      </c>
      <c r="EM60" s="25">
        <v>0</v>
      </c>
      <c r="EN60" s="25">
        <v>0</v>
      </c>
      <c r="EO60" s="25">
        <f t="shared" si="52"/>
        <v>38</v>
      </c>
      <c r="EP60" s="25">
        <f t="shared" si="53"/>
        <v>104</v>
      </c>
      <c r="EQ60" s="25"/>
      <c r="ER60" s="25"/>
      <c r="ES60" s="25"/>
      <c r="ET60" s="25"/>
      <c r="EU60" s="25"/>
      <c r="EV60" s="25">
        <f t="shared" si="51"/>
        <v>0</v>
      </c>
      <c r="EW60" s="25">
        <f t="shared" si="38"/>
        <v>0</v>
      </c>
      <c r="EX60" s="25">
        <f t="shared" si="39"/>
        <v>0</v>
      </c>
      <c r="EY60" s="25"/>
      <c r="EZ60" s="127"/>
      <c r="FA60" s="127"/>
      <c r="FB60" s="127"/>
      <c r="FC60" s="127"/>
      <c r="FD60" s="127"/>
      <c r="FE60" s="127"/>
      <c r="FF60" s="64"/>
      <c r="FG60" s="40"/>
      <c r="FH60" s="133">
        <f t="shared" si="24"/>
        <v>0</v>
      </c>
      <c r="FI60" s="64"/>
      <c r="FJ60" s="133">
        <f t="shared" si="32"/>
        <v>0</v>
      </c>
    </row>
    <row r="61" spans="2:174" s="26" customFormat="1" ht="13" hidden="1" x14ac:dyDescent="0.3">
      <c r="B61" s="3" t="s">
        <v>479</v>
      </c>
      <c r="C61" s="23"/>
      <c r="D61" s="23"/>
      <c r="E61" s="23"/>
      <c r="F61" s="23"/>
      <c r="G61" s="23"/>
      <c r="H61" s="23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93"/>
      <c r="AX61" s="66">
        <v>11</v>
      </c>
      <c r="AY61" s="66">
        <v>11</v>
      </c>
      <c r="AZ61" s="66">
        <v>11</v>
      </c>
      <c r="BA61" s="66">
        <v>12</v>
      </c>
      <c r="BB61" s="66">
        <v>11</v>
      </c>
      <c r="BC61" s="66">
        <v>15</v>
      </c>
      <c r="BD61" s="66">
        <v>15</v>
      </c>
      <c r="BE61" s="66">
        <v>16</v>
      </c>
      <c r="BF61" s="66">
        <v>13</v>
      </c>
      <c r="BG61" s="66">
        <v>16</v>
      </c>
      <c r="BH61" s="66">
        <v>17</v>
      </c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54">
        <f t="shared" si="26"/>
        <v>0</v>
      </c>
      <c r="ED61" s="54"/>
      <c r="EE61" s="54"/>
      <c r="EF61" s="54"/>
      <c r="EG61" s="54"/>
      <c r="EH61" s="54"/>
      <c r="EI61" s="66"/>
      <c r="EJ61" s="66"/>
      <c r="EK61" s="5"/>
      <c r="EL61" s="25">
        <v>0</v>
      </c>
      <c r="EM61" s="25">
        <v>0</v>
      </c>
      <c r="EN61" s="25">
        <v>0</v>
      </c>
      <c r="EO61" s="25">
        <f t="shared" si="52"/>
        <v>45</v>
      </c>
      <c r="EP61" s="25">
        <f t="shared" si="53"/>
        <v>57</v>
      </c>
      <c r="EQ61" s="25"/>
      <c r="ER61" s="25"/>
      <c r="ES61" s="25"/>
      <c r="ET61" s="25"/>
      <c r="EU61" s="25"/>
      <c r="EV61" s="25">
        <f t="shared" si="51"/>
        <v>0</v>
      </c>
      <c r="EW61" s="25">
        <f t="shared" si="38"/>
        <v>0</v>
      </c>
      <c r="EX61" s="25">
        <f t="shared" si="39"/>
        <v>0</v>
      </c>
      <c r="EY61" s="25"/>
      <c r="EZ61" s="127"/>
      <c r="FA61" s="127"/>
      <c r="FB61" s="127"/>
      <c r="FC61" s="127"/>
      <c r="FD61" s="127"/>
      <c r="FE61" s="127"/>
      <c r="FF61" s="64"/>
      <c r="FG61" s="40"/>
      <c r="FH61" s="133">
        <f t="shared" si="24"/>
        <v>0</v>
      </c>
      <c r="FI61" s="64"/>
      <c r="FJ61" s="133">
        <f t="shared" si="32"/>
        <v>0</v>
      </c>
    </row>
    <row r="62" spans="2:174" s="26" customFormat="1" ht="13" hidden="1" x14ac:dyDescent="0.3">
      <c r="B62" s="3" t="s">
        <v>35</v>
      </c>
      <c r="C62" s="23"/>
      <c r="D62" s="23"/>
      <c r="E62" s="23"/>
      <c r="F62" s="23"/>
      <c r="G62" s="23"/>
      <c r="H62" s="23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93"/>
      <c r="AX62" s="66">
        <v>102</v>
      </c>
      <c r="AY62" s="66">
        <v>95</v>
      </c>
      <c r="AZ62" s="66">
        <v>99</v>
      </c>
      <c r="BA62" s="66">
        <v>87</v>
      </c>
      <c r="BB62" s="66">
        <v>104</v>
      </c>
      <c r="BC62" s="66">
        <v>109</v>
      </c>
      <c r="BD62" s="66">
        <v>107</v>
      </c>
      <c r="BE62" s="66">
        <v>87</v>
      </c>
      <c r="BF62" s="66">
        <v>60</v>
      </c>
      <c r="BG62" s="66">
        <v>57</v>
      </c>
      <c r="BH62" s="66">
        <v>53</v>
      </c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54">
        <f t="shared" si="26"/>
        <v>0</v>
      </c>
      <c r="ED62" s="54"/>
      <c r="EE62" s="54"/>
      <c r="EF62" s="54"/>
      <c r="EG62" s="54"/>
      <c r="EH62" s="54"/>
      <c r="EI62" s="66"/>
      <c r="EJ62" s="66"/>
      <c r="EK62" s="5"/>
      <c r="EL62" s="25">
        <v>0</v>
      </c>
      <c r="EM62" s="25">
        <v>0</v>
      </c>
      <c r="EN62" s="25">
        <v>223</v>
      </c>
      <c r="EO62" s="25">
        <f t="shared" si="52"/>
        <v>383</v>
      </c>
      <c r="EP62" s="25">
        <f t="shared" si="53"/>
        <v>407</v>
      </c>
      <c r="EQ62" s="25"/>
      <c r="ER62" s="25"/>
      <c r="ES62" s="25"/>
      <c r="ET62" s="25"/>
      <c r="EU62" s="25"/>
      <c r="EV62" s="25">
        <f t="shared" si="51"/>
        <v>0</v>
      </c>
      <c r="EW62" s="25">
        <f t="shared" si="38"/>
        <v>0</v>
      </c>
      <c r="EX62" s="25">
        <f t="shared" si="39"/>
        <v>0</v>
      </c>
      <c r="EY62" s="25"/>
      <c r="EZ62" s="127"/>
      <c r="FA62" s="127"/>
      <c r="FB62" s="127"/>
      <c r="FC62" s="127"/>
      <c r="FD62" s="127"/>
      <c r="FE62" s="127"/>
      <c r="FF62" s="64"/>
      <c r="FG62" s="40"/>
      <c r="FH62" s="133">
        <f t="shared" si="24"/>
        <v>0</v>
      </c>
      <c r="FI62" s="64"/>
      <c r="FJ62" s="133">
        <f t="shared" si="32"/>
        <v>0</v>
      </c>
    </row>
    <row r="63" spans="2:174" s="26" customFormat="1" ht="13" x14ac:dyDescent="0.3">
      <c r="B63" s="3" t="s">
        <v>719</v>
      </c>
      <c r="C63" s="23"/>
      <c r="D63" s="23"/>
      <c r="E63" s="23"/>
      <c r="F63" s="23"/>
      <c r="G63" s="23"/>
      <c r="H63" s="23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>
        <v>31</v>
      </c>
      <c r="W63" s="25"/>
      <c r="X63" s="25"/>
      <c r="Y63" s="25"/>
      <c r="Z63" s="25"/>
      <c r="AA63" s="25">
        <v>155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93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>
        <v>32</v>
      </c>
      <c r="CE63" s="66">
        <v>60</v>
      </c>
      <c r="CF63" s="66">
        <v>65</v>
      </c>
      <c r="CG63" s="66">
        <v>77</v>
      </c>
      <c r="CH63" s="66">
        <v>84</v>
      </c>
      <c r="CI63" s="66">
        <v>87</v>
      </c>
      <c r="CJ63" s="66">
        <v>89</v>
      </c>
      <c r="CK63" s="66">
        <v>94</v>
      </c>
      <c r="CL63" s="66">
        <v>79</v>
      </c>
      <c r="CM63" s="66">
        <v>76</v>
      </c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54">
        <f t="shared" si="26"/>
        <v>0</v>
      </c>
      <c r="ED63" s="54"/>
      <c r="EE63" s="54"/>
      <c r="EF63" s="54"/>
      <c r="EG63" s="54"/>
      <c r="EH63" s="54"/>
      <c r="EI63" s="66"/>
      <c r="EJ63" s="66"/>
      <c r="EK63" s="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>
        <f t="shared" si="38"/>
        <v>234</v>
      </c>
      <c r="EX63" s="25">
        <f t="shared" si="39"/>
        <v>354</v>
      </c>
      <c r="EY63" s="25">
        <v>301</v>
      </c>
      <c r="EZ63" s="127"/>
      <c r="FA63" s="127"/>
      <c r="FB63" s="127"/>
      <c r="FC63" s="127"/>
      <c r="FD63" s="127"/>
      <c r="FE63" s="127"/>
      <c r="FF63" s="64"/>
      <c r="FG63" s="40"/>
      <c r="FH63" s="133"/>
      <c r="FI63" s="64"/>
      <c r="FJ63" s="133">
        <f t="shared" si="32"/>
        <v>0</v>
      </c>
    </row>
    <row r="64" spans="2:174" s="26" customFormat="1" ht="13" x14ac:dyDescent="0.3">
      <c r="B64" s="15" t="s">
        <v>37</v>
      </c>
      <c r="C64" s="23"/>
      <c r="D64" s="23"/>
      <c r="E64" s="23"/>
      <c r="F64" s="23"/>
      <c r="G64" s="23"/>
      <c r="H64" s="23"/>
      <c r="I64" s="25">
        <v>614</v>
      </c>
      <c r="J64" s="25">
        <f>927-I64</f>
        <v>313</v>
      </c>
      <c r="K64" s="25">
        <v>216</v>
      </c>
      <c r="L64" s="25">
        <f>416-K64</f>
        <v>200</v>
      </c>
      <c r="M64" s="25">
        <v>204</v>
      </c>
      <c r="N64" s="25">
        <f>399-M64</f>
        <v>195</v>
      </c>
      <c r="O64" s="25">
        <v>176</v>
      </c>
      <c r="P64" s="25">
        <f>SUM(BP64:BQ64)</f>
        <v>168</v>
      </c>
      <c r="Q64" s="25">
        <f>SUM(BR64:BS64)</f>
        <v>164</v>
      </c>
      <c r="R64" s="25">
        <f>BT64+BU64</f>
        <v>143</v>
      </c>
      <c r="S64" s="25">
        <v>165</v>
      </c>
      <c r="T64" s="25">
        <f>+BY64+BX64</f>
        <v>146</v>
      </c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93"/>
      <c r="AX64" s="66">
        <v>369</v>
      </c>
      <c r="AY64" s="66">
        <v>305</v>
      </c>
      <c r="AZ64" s="66">
        <v>307</v>
      </c>
      <c r="BA64" s="66">
        <v>321</v>
      </c>
      <c r="BB64" s="66">
        <v>330</v>
      </c>
      <c r="BC64" s="66">
        <v>284</v>
      </c>
      <c r="BD64" s="66">
        <v>152</v>
      </c>
      <c r="BE64" s="66">
        <v>161</v>
      </c>
      <c r="BF64" s="66">
        <v>110</v>
      </c>
      <c r="BG64" s="66">
        <v>106</v>
      </c>
      <c r="BH64" s="66">
        <v>96</v>
      </c>
      <c r="BI64" s="66">
        <v>104</v>
      </c>
      <c r="BJ64" s="66">
        <v>100</v>
      </c>
      <c r="BK64" s="66">
        <v>104</v>
      </c>
      <c r="BL64" s="66">
        <v>95</v>
      </c>
      <c r="BM64" s="66">
        <v>100</v>
      </c>
      <c r="BN64" s="66">
        <v>91</v>
      </c>
      <c r="BO64" s="66">
        <v>85</v>
      </c>
      <c r="BP64" s="66">
        <v>76</v>
      </c>
      <c r="BQ64" s="66">
        <v>92</v>
      </c>
      <c r="BR64" s="66">
        <v>77</v>
      </c>
      <c r="BS64" s="66">
        <v>87</v>
      </c>
      <c r="BT64" s="66">
        <v>73</v>
      </c>
      <c r="BU64" s="66">
        <v>70</v>
      </c>
      <c r="BV64" s="66">
        <v>82</v>
      </c>
      <c r="BW64" s="66">
        <f>+S64-BV64</f>
        <v>83</v>
      </c>
      <c r="BX64" s="66">
        <f>242-BW64-BV64</f>
        <v>77</v>
      </c>
      <c r="BY64" s="66">
        <v>69</v>
      </c>
      <c r="BZ64" s="66"/>
      <c r="CA64" s="66"/>
      <c r="CB64" s="66"/>
      <c r="CC64" s="66"/>
      <c r="CD64" s="66">
        <v>73</v>
      </c>
      <c r="CE64" s="66">
        <v>60</v>
      </c>
      <c r="CF64" s="66">
        <v>65</v>
      </c>
      <c r="CG64" s="66">
        <v>68</v>
      </c>
      <c r="CH64" s="66">
        <v>68</v>
      </c>
      <c r="CI64" s="66">
        <v>70</v>
      </c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54">
        <f t="shared" si="26"/>
        <v>0</v>
      </c>
      <c r="ED64" s="54"/>
      <c r="EE64" s="54"/>
      <c r="EF64" s="54"/>
      <c r="EG64" s="54"/>
      <c r="EH64" s="54"/>
      <c r="EI64" s="66"/>
      <c r="EJ64" s="66"/>
      <c r="EK64" s="5"/>
      <c r="EL64" s="25">
        <v>1755</v>
      </c>
      <c r="EM64" s="25">
        <v>1548</v>
      </c>
      <c r="EN64" s="25">
        <v>1375</v>
      </c>
      <c r="EO64" s="25">
        <f>SUM(AX64:BA64)</f>
        <v>1302</v>
      </c>
      <c r="EP64" s="25">
        <f>SUM(BB64:BE64)</f>
        <v>927</v>
      </c>
      <c r="EQ64" s="25">
        <f>SUM(K64:L64)</f>
        <v>416</v>
      </c>
      <c r="ER64" s="25">
        <f>SUM(M64:N64)</f>
        <v>399</v>
      </c>
      <c r="ES64" s="25">
        <f>SUM(BN64:BQ64)</f>
        <v>344</v>
      </c>
      <c r="ET64" s="25">
        <f>SUM(BR64:BU64)</f>
        <v>307</v>
      </c>
      <c r="EU64" s="25">
        <f>SUM(BV64:BY64)</f>
        <v>311</v>
      </c>
      <c r="EV64" s="25"/>
      <c r="EW64" s="25">
        <f t="shared" si="38"/>
        <v>266</v>
      </c>
      <c r="EX64" s="25">
        <v>268</v>
      </c>
      <c r="EY64" s="25">
        <v>283</v>
      </c>
      <c r="EZ64" s="127">
        <v>279</v>
      </c>
      <c r="FA64" s="127">
        <v>298</v>
      </c>
      <c r="FB64" s="127">
        <v>299</v>
      </c>
      <c r="FC64" s="127">
        <v>305</v>
      </c>
      <c r="FD64" s="127">
        <v>342</v>
      </c>
      <c r="FE64" s="127">
        <v>252</v>
      </c>
      <c r="FF64" s="127">
        <v>244</v>
      </c>
      <c r="FG64" s="40"/>
      <c r="FH64" s="133"/>
      <c r="FI64" s="64"/>
      <c r="FJ64" s="133">
        <f t="shared" si="32"/>
        <v>0</v>
      </c>
    </row>
    <row r="65" spans="2:167" s="26" customFormat="1" ht="13" x14ac:dyDescent="0.3">
      <c r="B65" s="3" t="s">
        <v>1027</v>
      </c>
      <c r="C65" s="23"/>
      <c r="D65" s="23"/>
      <c r="E65" s="23"/>
      <c r="F65" s="23"/>
      <c r="G65" s="23"/>
      <c r="H65" s="23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93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54"/>
      <c r="ED65" s="54"/>
      <c r="EE65" s="54"/>
      <c r="EF65" s="54"/>
      <c r="EG65" s="54"/>
      <c r="EH65" s="54"/>
      <c r="EI65" s="66"/>
      <c r="EJ65" s="66"/>
      <c r="EK65" s="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>
        <v>698</v>
      </c>
      <c r="EY65" s="25">
        <v>679</v>
      </c>
      <c r="EZ65" s="127">
        <v>763</v>
      </c>
      <c r="FA65" s="127">
        <v>1050</v>
      </c>
      <c r="FB65" s="127">
        <v>676</v>
      </c>
      <c r="FC65" s="127">
        <v>645</v>
      </c>
      <c r="FD65" s="127">
        <v>647</v>
      </c>
      <c r="FE65" s="127"/>
      <c r="FF65" s="127"/>
      <c r="FG65" s="40"/>
      <c r="FH65" s="133">
        <v>526</v>
      </c>
      <c r="FI65" s="133">
        <v>419</v>
      </c>
      <c r="FJ65" s="133">
        <f t="shared" si="32"/>
        <v>0</v>
      </c>
    </row>
    <row r="66" spans="2:167" s="26" customFormat="1" ht="13" x14ac:dyDescent="0.3">
      <c r="B66" s="3" t="s">
        <v>1028</v>
      </c>
      <c r="C66" s="23"/>
      <c r="D66" s="23"/>
      <c r="E66" s="23"/>
      <c r="F66" s="23"/>
      <c r="G66" s="23"/>
      <c r="H66" s="23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93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54"/>
      <c r="ED66" s="54"/>
      <c r="EE66" s="54"/>
      <c r="EF66" s="54"/>
      <c r="EG66" s="54"/>
      <c r="EH66" s="54"/>
      <c r="EI66" s="66"/>
      <c r="EJ66" s="66"/>
      <c r="EK66" s="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>
        <f>272+164</f>
        <v>436</v>
      </c>
      <c r="EY66" s="25">
        <f>183+211</f>
        <v>394</v>
      </c>
      <c r="EZ66" s="127">
        <f>114+160</f>
        <v>274</v>
      </c>
      <c r="FA66" s="127">
        <f>116+104</f>
        <v>220</v>
      </c>
      <c r="FB66" s="127">
        <f>91+523</f>
        <v>614</v>
      </c>
      <c r="FC66" s="127">
        <f>88+401</f>
        <v>489</v>
      </c>
      <c r="FD66" s="127">
        <f>111+370</f>
        <v>481</v>
      </c>
      <c r="FE66" s="127"/>
      <c r="FF66" s="127"/>
      <c r="FG66" s="40"/>
      <c r="FH66" s="133">
        <v>58</v>
      </c>
      <c r="FI66" s="133">
        <v>87</v>
      </c>
      <c r="FJ66" s="133">
        <f t="shared" si="32"/>
        <v>0</v>
      </c>
    </row>
    <row r="67" spans="2:167" s="26" customFormat="1" ht="13" x14ac:dyDescent="0.3">
      <c r="B67" s="3" t="s">
        <v>1029</v>
      </c>
      <c r="C67" s="23"/>
      <c r="D67" s="23"/>
      <c r="E67" s="23"/>
      <c r="F67" s="23"/>
      <c r="G67" s="23"/>
      <c r="H67" s="23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93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54"/>
      <c r="ED67" s="54"/>
      <c r="EE67" s="54"/>
      <c r="EF67" s="54"/>
      <c r="EG67" s="54"/>
      <c r="EH67" s="54"/>
      <c r="EI67" s="66"/>
      <c r="EJ67" s="66"/>
      <c r="EK67" s="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>
        <v>497</v>
      </c>
      <c r="EY67" s="25">
        <v>434</v>
      </c>
      <c r="EZ67" s="127">
        <v>373</v>
      </c>
      <c r="FA67" s="127">
        <v>367</v>
      </c>
      <c r="FB67" s="127">
        <v>339</v>
      </c>
      <c r="FC67" s="127">
        <v>311</v>
      </c>
      <c r="FD67" s="127">
        <v>283</v>
      </c>
      <c r="FE67" s="127"/>
      <c r="FF67" s="127"/>
      <c r="FG67" s="40"/>
      <c r="FH67" s="133">
        <v>34</v>
      </c>
      <c r="FI67" s="133">
        <v>24</v>
      </c>
      <c r="FJ67" s="133">
        <f t="shared" si="32"/>
        <v>0</v>
      </c>
    </row>
    <row r="68" spans="2:167" s="26" customFormat="1" ht="13" x14ac:dyDescent="0.3">
      <c r="B68" s="3"/>
      <c r="C68" s="23"/>
      <c r="D68" s="23"/>
      <c r="E68" s="23"/>
      <c r="F68" s="23"/>
      <c r="G68" s="23"/>
      <c r="H68" s="23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93"/>
      <c r="AX68" s="93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54"/>
      <c r="ED68" s="54"/>
      <c r="EE68" s="54"/>
      <c r="EF68" s="54"/>
      <c r="EG68" s="54"/>
      <c r="EH68" s="54"/>
      <c r="EI68" s="66"/>
      <c r="EJ68" s="66"/>
      <c r="EK68" s="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127"/>
      <c r="FA68" s="127"/>
      <c r="FB68" s="127"/>
      <c r="FC68" s="127"/>
      <c r="FD68" s="127"/>
      <c r="FE68" s="127"/>
      <c r="FF68" s="64"/>
      <c r="FG68" s="40"/>
      <c r="FH68" s="133"/>
      <c r="FI68" s="64"/>
      <c r="FJ68" s="133">
        <f t="shared" si="32"/>
        <v>0</v>
      </c>
    </row>
    <row r="69" spans="2:167" s="26" customFormat="1" ht="13" x14ac:dyDescent="0.3">
      <c r="B69" s="3" t="s">
        <v>339</v>
      </c>
      <c r="C69" s="23"/>
      <c r="D69" s="23"/>
      <c r="E69" s="23"/>
      <c r="F69" s="23"/>
      <c r="G69" s="23"/>
      <c r="H69" s="23"/>
      <c r="I69" s="25"/>
      <c r="J69" s="25"/>
      <c r="K69" s="25"/>
      <c r="L69" s="25"/>
      <c r="M69" s="25"/>
      <c r="N69" s="25"/>
      <c r="O69" s="25"/>
      <c r="P69" s="25"/>
      <c r="Q69" s="68">
        <f>Q8+Q4+Q5-SUM(Q22:Q53)</f>
        <v>8792</v>
      </c>
      <c r="R69" s="68">
        <f>R8+R4+R5-SUM(R22:R53)</f>
        <v>6342</v>
      </c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93"/>
      <c r="AX69" s="66">
        <v>1354</v>
      </c>
      <c r="AY69" s="66">
        <v>1389</v>
      </c>
      <c r="AZ69" s="66">
        <v>1247</v>
      </c>
      <c r="BA69" s="66">
        <v>1287</v>
      </c>
      <c r="BB69" s="66">
        <v>1332</v>
      </c>
      <c r="BC69" s="66">
        <v>1387.7282626022334</v>
      </c>
      <c r="BD69" s="66">
        <v>1301.2717373977657</v>
      </c>
      <c r="BE69" s="66">
        <v>1442</v>
      </c>
      <c r="BF69" s="66">
        <v>1278</v>
      </c>
      <c r="BG69" s="66">
        <v>1338</v>
      </c>
      <c r="BH69" s="66">
        <v>1286.2578675886843</v>
      </c>
      <c r="BI69" s="66">
        <v>1242.1465217449652</v>
      </c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25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>
        <v>787</v>
      </c>
      <c r="DS69" s="66"/>
      <c r="DT69" s="66"/>
      <c r="DU69" s="66"/>
      <c r="DV69" s="66"/>
      <c r="DW69" s="66"/>
      <c r="DX69" s="66"/>
      <c r="DY69" s="66"/>
      <c r="DZ69" s="66">
        <v>779</v>
      </c>
      <c r="EA69" s="66"/>
      <c r="EB69" s="66"/>
      <c r="EC69" s="54">
        <f t="shared" si="26"/>
        <v>1397</v>
      </c>
      <c r="ED69" s="54">
        <v>629</v>
      </c>
      <c r="EE69" s="54">
        <f>+ED69</f>
        <v>629</v>
      </c>
      <c r="EF69" s="54">
        <f>+EE69</f>
        <v>629</v>
      </c>
      <c r="EG69" s="54">
        <f>+EF69</f>
        <v>629</v>
      </c>
      <c r="EH69" s="54"/>
      <c r="EI69" s="66"/>
      <c r="EJ69" s="66"/>
      <c r="EK69" s="5"/>
      <c r="EL69" s="25">
        <v>7640</v>
      </c>
      <c r="EM69" s="25">
        <v>6710</v>
      </c>
      <c r="EN69" s="25">
        <v>6004</v>
      </c>
      <c r="EO69" s="25">
        <f>SUM(AX69:BA69)</f>
        <v>5277</v>
      </c>
      <c r="EP69" s="25">
        <f>SUM(BB69:BE69)</f>
        <v>5462.9999999999991</v>
      </c>
      <c r="EQ69" s="25">
        <f>SUM(BF69:BI69)</f>
        <v>5144.4043893336493</v>
      </c>
      <c r="ER69" s="25"/>
      <c r="ES69" s="25"/>
      <c r="ET69" s="25"/>
      <c r="EU69" s="25"/>
      <c r="EV69" s="25"/>
      <c r="EW69" s="25"/>
      <c r="EX69" s="25">
        <v>1542</v>
      </c>
      <c r="EY69" s="25">
        <v>1353</v>
      </c>
      <c r="EZ69" s="127">
        <v>1447</v>
      </c>
      <c r="FA69" s="127">
        <v>1508</v>
      </c>
      <c r="FB69" s="127">
        <v>1517</v>
      </c>
      <c r="FC69" s="127">
        <v>1548</v>
      </c>
      <c r="FD69" s="127">
        <v>1593</v>
      </c>
      <c r="FE69" s="127"/>
      <c r="FF69" s="64"/>
      <c r="FG69" s="40"/>
      <c r="FH69" s="133">
        <v>2770</v>
      </c>
      <c r="FI69" s="133">
        <v>2176</v>
      </c>
      <c r="FJ69" s="133">
        <f t="shared" si="32"/>
        <v>2516</v>
      </c>
    </row>
    <row r="70" spans="2:167" s="26" customFormat="1" ht="13" x14ac:dyDescent="0.3">
      <c r="B70" s="3" t="s">
        <v>18</v>
      </c>
      <c r="C70" s="23"/>
      <c r="D70" s="23"/>
      <c r="E70" s="23"/>
      <c r="F70" s="23"/>
      <c r="G70" s="23"/>
      <c r="H70" s="23"/>
      <c r="I70" s="27">
        <f t="shared" ref="I70:P70" si="54">I8+I4+I5-SUM(I22:I53)</f>
        <v>7606</v>
      </c>
      <c r="J70" s="27">
        <f t="shared" si="54"/>
        <v>7873</v>
      </c>
      <c r="K70" s="27">
        <f t="shared" si="54"/>
        <v>8448</v>
      </c>
      <c r="L70" s="27">
        <f t="shared" si="54"/>
        <v>8812</v>
      </c>
      <c r="M70" s="27">
        <f t="shared" si="54"/>
        <v>9113</v>
      </c>
      <c r="N70" s="27">
        <f t="shared" si="54"/>
        <v>9363</v>
      </c>
      <c r="O70" s="27">
        <f t="shared" si="54"/>
        <v>8582</v>
      </c>
      <c r="P70" s="27">
        <f t="shared" si="54"/>
        <v>9042</v>
      </c>
      <c r="Q70" s="46"/>
      <c r="R70" s="27"/>
      <c r="S70" s="27">
        <f>+BV70+BW70</f>
        <v>8893</v>
      </c>
      <c r="T70" s="27">
        <f>+BY70+BX70</f>
        <v>8280</v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25">
        <f t="shared" ref="BH70:BT70" si="55">BH4+BH5+BH8-SUM(BH22:BH53)</f>
        <v>4080.910722056241</v>
      </c>
      <c r="BI70" s="25">
        <f t="shared" si="55"/>
        <v>4365.2622756988276</v>
      </c>
      <c r="BJ70" s="25">
        <f t="shared" si="55"/>
        <v>4394</v>
      </c>
      <c r="BK70" s="25">
        <f t="shared" si="55"/>
        <v>4567</v>
      </c>
      <c r="BL70" s="25">
        <f t="shared" si="55"/>
        <v>4474</v>
      </c>
      <c r="BM70" s="25">
        <f t="shared" si="55"/>
        <v>4730</v>
      </c>
      <c r="BN70" s="25">
        <f t="shared" si="55"/>
        <v>4244</v>
      </c>
      <c r="BO70" s="25">
        <f t="shared" si="55"/>
        <v>4335</v>
      </c>
      <c r="BP70" s="25">
        <f t="shared" si="55"/>
        <v>4395</v>
      </c>
      <c r="BQ70" s="25">
        <f t="shared" si="55"/>
        <v>4647</v>
      </c>
      <c r="BR70" s="25">
        <f t="shared" si="55"/>
        <v>4259</v>
      </c>
      <c r="BS70" s="25">
        <f t="shared" si="55"/>
        <v>4533</v>
      </c>
      <c r="BT70" s="25">
        <f t="shared" si="55"/>
        <v>4303</v>
      </c>
      <c r="BU70" s="25">
        <f t="shared" ref="BU70:CC70" si="56">BU4+BU5+BU7+BU8-SUM(BU22:BU69)</f>
        <v>4117</v>
      </c>
      <c r="BV70" s="25">
        <f t="shared" si="56"/>
        <v>4386</v>
      </c>
      <c r="BW70" s="25">
        <f t="shared" si="56"/>
        <v>4507</v>
      </c>
      <c r="BX70" s="25">
        <f t="shared" si="56"/>
        <v>4237</v>
      </c>
      <c r="BY70" s="25">
        <f t="shared" si="56"/>
        <v>4043</v>
      </c>
      <c r="BZ70" s="25">
        <f t="shared" si="56"/>
        <v>4217</v>
      </c>
      <c r="CA70" s="25">
        <f t="shared" si="56"/>
        <v>4087</v>
      </c>
      <c r="CB70" s="25">
        <f t="shared" si="56"/>
        <v>3723</v>
      </c>
      <c r="CC70" s="25">
        <f t="shared" si="56"/>
        <v>4220</v>
      </c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5"/>
      <c r="EL70" s="25"/>
      <c r="EM70" s="25"/>
      <c r="EN70" s="25"/>
      <c r="EO70" s="25"/>
      <c r="EP70" s="25"/>
      <c r="EQ70" s="25">
        <f>SUM(K70:L70)</f>
        <v>17260</v>
      </c>
      <c r="ER70" s="25">
        <f>SUM(M70:N70)</f>
        <v>18476</v>
      </c>
      <c r="ES70" s="25">
        <f>SUM(BN70:BQ70)</f>
        <v>17621</v>
      </c>
      <c r="ET70" s="25">
        <f>SUM(BR70:BU70)</f>
        <v>17212</v>
      </c>
      <c r="EU70" s="25">
        <f>SUM(BV70:BY70)</f>
        <v>17173</v>
      </c>
      <c r="EV70" s="25">
        <f>SUM(BZ70:CC70)</f>
        <v>16247</v>
      </c>
      <c r="EW70" s="25"/>
      <c r="EX70" s="25"/>
      <c r="EY70" s="25"/>
      <c r="EZ70" s="127"/>
      <c r="FA70" s="127"/>
      <c r="FB70" s="127"/>
      <c r="FC70" s="127"/>
      <c r="FD70" s="127"/>
      <c r="FE70" s="127">
        <f>464+93+195+337+1758</f>
        <v>2847</v>
      </c>
      <c r="FF70" s="127">
        <f>1576+2+294+224+106+382</f>
        <v>2584</v>
      </c>
      <c r="FG70" s="134"/>
      <c r="FH70" s="133"/>
      <c r="FI70" s="64"/>
      <c r="FJ70" s="133">
        <f t="shared" si="32"/>
        <v>0</v>
      </c>
      <c r="FK70" s="97"/>
    </row>
    <row r="71" spans="2:167" s="17" customFormat="1" ht="13" x14ac:dyDescent="0.3">
      <c r="B71" s="17" t="s">
        <v>63</v>
      </c>
      <c r="C71" s="69">
        <v>12810</v>
      </c>
      <c r="D71" s="69">
        <v>14380</v>
      </c>
      <c r="E71" s="27">
        <v>14526</v>
      </c>
      <c r="F71" s="27">
        <v>14996</v>
      </c>
      <c r="G71" s="27"/>
      <c r="H71" s="27"/>
      <c r="I71" s="27">
        <f t="shared" ref="I71:Q71" si="57">+I4+I5+I6+I8</f>
        <v>16622</v>
      </c>
      <c r="J71" s="27">
        <f t="shared" si="57"/>
        <v>18889</v>
      </c>
      <c r="K71" s="27">
        <f t="shared" si="57"/>
        <v>19849</v>
      </c>
      <c r="L71" s="27">
        <f t="shared" si="57"/>
        <v>22192</v>
      </c>
      <c r="M71" s="27">
        <f t="shared" si="57"/>
        <v>22827</v>
      </c>
      <c r="N71" s="27">
        <f t="shared" si="57"/>
        <v>23306</v>
      </c>
      <c r="O71" s="27">
        <f t="shared" si="57"/>
        <v>22004</v>
      </c>
      <c r="P71" s="27">
        <f t="shared" si="57"/>
        <v>23613</v>
      </c>
      <c r="Q71" s="27">
        <f t="shared" si="57"/>
        <v>24006</v>
      </c>
      <c r="R71" s="27">
        <f>R6+R3</f>
        <v>25216</v>
      </c>
      <c r="S71" s="27">
        <f>SUM(S22:S70)+S6</f>
        <v>24636</v>
      </c>
      <c r="T71" s="27">
        <f>SUM(T22:T70)+T6</f>
        <v>22767</v>
      </c>
      <c r="U71" s="27">
        <f>SUM(U22:U70)+U6</f>
        <v>13367</v>
      </c>
      <c r="V71" s="27">
        <f>SUM(V22:V70)+V6</f>
        <v>12948</v>
      </c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48"/>
      <c r="AX71" s="48"/>
      <c r="AY71" s="24"/>
      <c r="AZ71" s="24"/>
      <c r="BA71" s="24"/>
      <c r="BB71" s="24"/>
      <c r="BC71" s="24"/>
      <c r="BD71" s="24"/>
      <c r="BE71" s="24"/>
      <c r="BF71" s="24"/>
      <c r="BG71" s="24"/>
      <c r="BH71" s="27">
        <f t="shared" ref="BH71:BU71" si="58">SUM(BH22:BH70)+BH6</f>
        <v>12262.168589644925</v>
      </c>
      <c r="BI71" s="27">
        <f t="shared" si="58"/>
        <v>13158.408797443793</v>
      </c>
      <c r="BJ71" s="27">
        <f t="shared" si="58"/>
        <v>11726</v>
      </c>
      <c r="BK71" s="27">
        <f t="shared" si="58"/>
        <v>11849</v>
      </c>
      <c r="BL71" s="27">
        <f t="shared" si="58"/>
        <v>11476</v>
      </c>
      <c r="BM71" s="27">
        <f t="shared" si="58"/>
        <v>12538</v>
      </c>
      <c r="BN71" s="27">
        <f t="shared" si="58"/>
        <v>11082</v>
      </c>
      <c r="BO71" s="27">
        <f t="shared" si="58"/>
        <v>11362</v>
      </c>
      <c r="BP71" s="27">
        <f t="shared" si="58"/>
        <v>11503</v>
      </c>
      <c r="BQ71" s="27">
        <f t="shared" si="58"/>
        <v>12516</v>
      </c>
      <c r="BR71" s="27">
        <f t="shared" si="58"/>
        <v>11757</v>
      </c>
      <c r="BS71" s="27">
        <f t="shared" si="58"/>
        <v>12622</v>
      </c>
      <c r="BT71" s="27">
        <f t="shared" si="58"/>
        <v>12564</v>
      </c>
      <c r="BU71" s="27">
        <f t="shared" si="58"/>
        <v>12652</v>
      </c>
      <c r="BV71" s="27">
        <f>SUM(BV22:BV69)+BV6</f>
        <v>7859</v>
      </c>
      <c r="BW71" s="27">
        <f t="shared" ref="BW71:CC71" si="59">SUM(BW22:BW70)+BW6</f>
        <v>12391</v>
      </c>
      <c r="BX71" s="27">
        <f t="shared" si="59"/>
        <v>11491</v>
      </c>
      <c r="BY71" s="27">
        <f t="shared" si="59"/>
        <v>11346</v>
      </c>
      <c r="BZ71" s="27">
        <f t="shared" si="59"/>
        <v>11120</v>
      </c>
      <c r="CA71" s="27">
        <f t="shared" si="59"/>
        <v>10551</v>
      </c>
      <c r="CB71" s="27">
        <f t="shared" si="59"/>
        <v>9821</v>
      </c>
      <c r="CC71" s="27">
        <f t="shared" si="59"/>
        <v>11039</v>
      </c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>
        <f t="shared" ref="DY71:EG71" si="60">SUM(DY6:DY70)</f>
        <v>13855</v>
      </c>
      <c r="DZ71" s="27">
        <f t="shared" si="60"/>
        <v>14399</v>
      </c>
      <c r="EA71" s="27">
        <f t="shared" si="60"/>
        <v>15079</v>
      </c>
      <c r="EB71" s="27">
        <f t="shared" si="60"/>
        <v>14594</v>
      </c>
      <c r="EC71" s="27">
        <f t="shared" si="60"/>
        <v>17051</v>
      </c>
      <c r="ED71" s="27">
        <f t="shared" si="60"/>
        <v>15296</v>
      </c>
      <c r="EE71" s="27">
        <f t="shared" si="60"/>
        <v>15727.390000000001</v>
      </c>
      <c r="EF71" s="27">
        <f t="shared" si="60"/>
        <v>15301.030000000002</v>
      </c>
      <c r="EG71" s="27">
        <f t="shared" si="60"/>
        <v>15811.09</v>
      </c>
      <c r="EH71" s="27"/>
      <c r="EI71" s="27"/>
      <c r="EJ71" s="27"/>
      <c r="EL71" s="27"/>
      <c r="EM71" s="27">
        <v>26066</v>
      </c>
      <c r="EN71" s="27">
        <v>27190</v>
      </c>
      <c r="EO71" s="27">
        <v>29522</v>
      </c>
      <c r="EP71" s="27">
        <f>I71+J71</f>
        <v>35511</v>
      </c>
      <c r="EQ71" s="27">
        <f>L71+K71</f>
        <v>42041</v>
      </c>
      <c r="ER71" s="27">
        <f>N71+M71</f>
        <v>46133</v>
      </c>
      <c r="ES71" s="27">
        <f>SUM(ES22:ES70,ES6)</f>
        <v>46463</v>
      </c>
      <c r="ET71" s="27">
        <f>SUM(ET22:ET70,ET6)</f>
        <v>49595</v>
      </c>
      <c r="EU71" s="27">
        <f>SUM(EU22:EU70)+EU6</f>
        <v>47326</v>
      </c>
      <c r="EV71" s="27">
        <f>EV3+EV6</f>
        <v>42531</v>
      </c>
      <c r="EW71" s="27">
        <f>SUM(EW22:EW70)+EW6</f>
        <v>17131</v>
      </c>
      <c r="EX71" s="27">
        <f t="shared" ref="EX71:FD71" si="61">SUM(EX6:EX70)</f>
        <v>46780</v>
      </c>
      <c r="EY71" s="27">
        <f t="shared" si="61"/>
        <v>47462</v>
      </c>
      <c r="EZ71" s="125">
        <f t="shared" si="61"/>
        <v>48145</v>
      </c>
      <c r="FA71" s="125">
        <f t="shared" si="61"/>
        <v>50576</v>
      </c>
      <c r="FB71" s="125">
        <f t="shared" si="61"/>
        <v>53299</v>
      </c>
      <c r="FC71" s="125">
        <f t="shared" si="61"/>
        <v>56846</v>
      </c>
      <c r="FD71" s="125">
        <f t="shared" si="61"/>
        <v>61466</v>
      </c>
      <c r="FE71" s="125">
        <f t="shared" ref="FE71:FJ71" si="62">SUM(FE9:FE70)+FE6</f>
        <v>58323</v>
      </c>
      <c r="FF71" s="125">
        <f t="shared" si="62"/>
        <v>62801</v>
      </c>
      <c r="FG71" s="125">
        <f t="shared" si="62"/>
        <v>60279</v>
      </c>
      <c r="FH71" s="125">
        <f t="shared" si="62"/>
        <v>59912</v>
      </c>
      <c r="FI71" s="125">
        <f t="shared" si="62"/>
        <v>61653</v>
      </c>
      <c r="FJ71" s="125">
        <f t="shared" si="62"/>
        <v>62135.51</v>
      </c>
    </row>
    <row r="72" spans="2:167" x14ac:dyDescent="0.25">
      <c r="B72" s="15" t="s">
        <v>64</v>
      </c>
      <c r="C72" s="70"/>
      <c r="D72" s="70"/>
      <c r="E72" s="25">
        <v>790</v>
      </c>
      <c r="F72" s="25">
        <v>860</v>
      </c>
      <c r="G72" s="70">
        <v>710</v>
      </c>
      <c r="H72" s="25"/>
      <c r="I72" s="25">
        <v>710</v>
      </c>
      <c r="J72" s="25">
        <f>1447-I72</f>
        <v>737</v>
      </c>
      <c r="K72" s="25">
        <v>727</v>
      </c>
      <c r="L72" s="25">
        <f>1466-K72</f>
        <v>739</v>
      </c>
      <c r="M72" s="25">
        <f>1191-492-74-22-2</f>
        <v>601</v>
      </c>
      <c r="N72" s="25">
        <f>2243-M72-259-722-55-5</f>
        <v>601</v>
      </c>
      <c r="O72" s="25">
        <v>1136</v>
      </c>
      <c r="P72" s="25">
        <f>+O72+15</f>
        <v>1151</v>
      </c>
      <c r="Q72" s="25">
        <v>1116</v>
      </c>
      <c r="R72" s="25">
        <f>2100-Q72</f>
        <v>984</v>
      </c>
      <c r="S72" s="25">
        <v>878</v>
      </c>
      <c r="T72" s="25">
        <f>1694-S72</f>
        <v>816</v>
      </c>
      <c r="U72" s="25"/>
      <c r="V72" s="25"/>
      <c r="W72" s="25"/>
      <c r="X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EL72" s="25"/>
      <c r="EM72" s="25"/>
      <c r="EN72" s="25"/>
      <c r="EO72" s="25">
        <v>1570</v>
      </c>
      <c r="EP72" s="25">
        <f>I72+J72</f>
        <v>1447</v>
      </c>
      <c r="EQ72" s="25">
        <f>L72+K72</f>
        <v>1466</v>
      </c>
      <c r="ER72" s="25">
        <f>N72+M72</f>
        <v>1202</v>
      </c>
      <c r="ES72" s="25">
        <f>SUM(O72:P72)</f>
        <v>2287</v>
      </c>
      <c r="ET72" s="25">
        <f>SUM(Q72:R72)</f>
        <v>2100</v>
      </c>
      <c r="EU72" s="25">
        <f>T72+S72</f>
        <v>1694</v>
      </c>
      <c r="EV72" s="25">
        <v>1582</v>
      </c>
      <c r="EW72" s="25"/>
      <c r="EX72" s="25">
        <v>1832</v>
      </c>
      <c r="EY72" s="25">
        <v>2404</v>
      </c>
      <c r="EZ72" s="127"/>
      <c r="FA72" s="127"/>
      <c r="FB72" s="127">
        <v>2447</v>
      </c>
      <c r="FC72" s="127">
        <v>2651</v>
      </c>
      <c r="FD72" s="127">
        <f t="shared" ref="FD72" si="63">FC72</f>
        <v>2651</v>
      </c>
      <c r="FE72" s="127">
        <v>2020</v>
      </c>
      <c r="FF72" s="130">
        <v>3049</v>
      </c>
      <c r="FH72" s="130">
        <v>1725</v>
      </c>
    </row>
    <row r="73" spans="2:167" s="17" customFormat="1" ht="13" x14ac:dyDescent="0.3">
      <c r="B73" s="15" t="s">
        <v>13</v>
      </c>
      <c r="C73" s="25">
        <v>2895</v>
      </c>
      <c r="D73" s="25">
        <v>3202</v>
      </c>
      <c r="E73" s="25">
        <v>3193</v>
      </c>
      <c r="F73" s="25">
        <v>3363</v>
      </c>
      <c r="G73" s="25">
        <v>3760</v>
      </c>
      <c r="H73" s="25">
        <v>3958</v>
      </c>
      <c r="I73" s="25">
        <v>4348</v>
      </c>
      <c r="J73" s="25">
        <f>9304-I73</f>
        <v>4956</v>
      </c>
      <c r="K73" s="25">
        <v>4934</v>
      </c>
      <c r="L73" s="25">
        <f>10616-K73</f>
        <v>5682</v>
      </c>
      <c r="M73" s="25">
        <v>5629</v>
      </c>
      <c r="N73" s="71">
        <f>13743-M73</f>
        <v>8114</v>
      </c>
      <c r="O73" s="25">
        <v>6532</v>
      </c>
      <c r="P73" s="25">
        <f>O73+597</f>
        <v>7129</v>
      </c>
      <c r="Q73" s="25">
        <v>7100</v>
      </c>
      <c r="R73" s="25">
        <f>14615-Q73</f>
        <v>7515</v>
      </c>
      <c r="S73" s="25">
        <v>6870</v>
      </c>
      <c r="T73" s="25">
        <f>13293-S73</f>
        <v>6423</v>
      </c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4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  <c r="CG73" s="93"/>
      <c r="CH73" s="93"/>
      <c r="CI73" s="93"/>
      <c r="CJ73" s="93"/>
      <c r="CK73" s="93"/>
      <c r="CL73" s="93"/>
      <c r="CM73" s="93"/>
      <c r="CN73" s="93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3"/>
      <c r="DB73" s="93"/>
      <c r="DC73" s="93"/>
      <c r="DD73" s="93"/>
      <c r="DE73" s="93"/>
      <c r="DF73" s="93"/>
      <c r="DG73" s="93"/>
      <c r="DH73" s="93"/>
      <c r="DI73" s="93"/>
      <c r="DJ73" s="93"/>
      <c r="DK73" s="93"/>
      <c r="DL73" s="93"/>
      <c r="DM73" s="93"/>
      <c r="DN73" s="93"/>
      <c r="DO73" s="93"/>
      <c r="DP73" s="93"/>
      <c r="DQ73" s="93"/>
      <c r="DR73" s="93"/>
      <c r="DS73" s="93"/>
      <c r="DT73" s="93"/>
      <c r="DU73" s="93"/>
      <c r="DV73" s="93"/>
      <c r="DW73" s="93"/>
      <c r="DX73" s="93"/>
      <c r="DY73" s="93"/>
      <c r="DZ73" s="93"/>
      <c r="EA73" s="93"/>
      <c r="EB73" s="93"/>
      <c r="EC73" s="93"/>
      <c r="ED73" s="93"/>
      <c r="EE73" s="93"/>
      <c r="EF73" s="93"/>
      <c r="EG73" s="93"/>
      <c r="EH73" s="93"/>
      <c r="EI73" s="93"/>
      <c r="EJ73" s="93"/>
      <c r="EK73" s="5"/>
      <c r="EL73" s="25"/>
      <c r="EM73" s="25">
        <v>5984</v>
      </c>
      <c r="EN73" s="25">
        <v>6097</v>
      </c>
      <c r="EO73" s="25">
        <v>7718</v>
      </c>
      <c r="EP73" s="25">
        <f>I73+J73</f>
        <v>9304</v>
      </c>
      <c r="EQ73" s="25">
        <f>L73+K73</f>
        <v>10616</v>
      </c>
      <c r="ER73" s="25">
        <f>N73+M73</f>
        <v>13743</v>
      </c>
      <c r="ES73" s="25">
        <f>SUM(O73:P73)</f>
        <v>13661</v>
      </c>
      <c r="ET73" s="25">
        <f>SUM(Q73:R73)</f>
        <v>14615</v>
      </c>
      <c r="EU73" s="25">
        <f>T73+S73</f>
        <v>13293</v>
      </c>
      <c r="EV73" s="25">
        <v>11942</v>
      </c>
      <c r="EW73" s="25">
        <f t="shared" ref="EW73:FD73" si="64">EW71-EW74+EW72</f>
        <v>17131</v>
      </c>
      <c r="EX73" s="25">
        <v>11948</v>
      </c>
      <c r="EY73" s="25">
        <v>13381</v>
      </c>
      <c r="EZ73" s="127">
        <f t="shared" si="64"/>
        <v>48145</v>
      </c>
      <c r="FA73" s="127">
        <f t="shared" si="64"/>
        <v>50576</v>
      </c>
      <c r="FB73" s="127">
        <v>18179</v>
      </c>
      <c r="FC73" s="127">
        <v>17269</v>
      </c>
      <c r="FD73" s="127">
        <f t="shared" si="64"/>
        <v>64117</v>
      </c>
      <c r="FE73" s="127">
        <v>14567</v>
      </c>
      <c r="FF73" s="127">
        <v>18138</v>
      </c>
      <c r="FG73" s="91"/>
      <c r="FH73" s="127">
        <v>15251</v>
      </c>
      <c r="FI73" s="138"/>
    </row>
    <row r="74" spans="2:167" s="17" customFormat="1" ht="13" x14ac:dyDescent="0.3">
      <c r="B74" s="15" t="s">
        <v>0</v>
      </c>
      <c r="C74" s="25">
        <v>9915</v>
      </c>
      <c r="D74" s="25">
        <v>11178</v>
      </c>
      <c r="E74" s="25">
        <v>11333</v>
      </c>
      <c r="F74" s="25">
        <v>11633</v>
      </c>
      <c r="G74" s="25">
        <v>10766</v>
      </c>
      <c r="H74" s="25">
        <v>11038</v>
      </c>
      <c r="I74" s="25">
        <f t="shared" ref="I74:N74" si="65">I71-I73+I72</f>
        <v>12984</v>
      </c>
      <c r="J74" s="25">
        <f t="shared" si="65"/>
        <v>14670</v>
      </c>
      <c r="K74" s="25">
        <f t="shared" si="65"/>
        <v>15642</v>
      </c>
      <c r="L74" s="25">
        <f t="shared" si="65"/>
        <v>17249</v>
      </c>
      <c r="M74" s="25">
        <f>M71-M73+M72</f>
        <v>17799</v>
      </c>
      <c r="N74" s="25">
        <f t="shared" si="65"/>
        <v>15793</v>
      </c>
      <c r="O74" s="25">
        <f t="shared" ref="O74:T74" si="66">O71-O73+O72</f>
        <v>16608</v>
      </c>
      <c r="P74" s="25">
        <f t="shared" si="66"/>
        <v>17635</v>
      </c>
      <c r="Q74" s="25">
        <f t="shared" si="66"/>
        <v>18022</v>
      </c>
      <c r="R74" s="25">
        <f t="shared" si="66"/>
        <v>18685</v>
      </c>
      <c r="S74" s="25">
        <f t="shared" si="66"/>
        <v>18644</v>
      </c>
      <c r="T74" s="25">
        <f t="shared" si="66"/>
        <v>17160</v>
      </c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3"/>
      <c r="ED74" s="93"/>
      <c r="EE74" s="93"/>
      <c r="EF74" s="93"/>
      <c r="EG74" s="93"/>
      <c r="EH74" s="93"/>
      <c r="EI74" s="93"/>
      <c r="EJ74" s="93"/>
      <c r="EK74" s="5"/>
      <c r="EL74" s="25"/>
      <c r="EM74" s="25">
        <v>20082</v>
      </c>
      <c r="EN74" s="25">
        <v>21093</v>
      </c>
      <c r="EO74" s="25">
        <v>21804</v>
      </c>
      <c r="EP74" s="25">
        <f t="shared" ref="EP74:EQ74" si="67">EP71+EP72-EP73</f>
        <v>27654</v>
      </c>
      <c r="EQ74" s="25">
        <f t="shared" si="67"/>
        <v>32891</v>
      </c>
      <c r="ER74" s="25">
        <f>ER71+ER72-ER73</f>
        <v>33592</v>
      </c>
      <c r="ES74" s="25">
        <f>ES71+ES72-ES73</f>
        <v>35089</v>
      </c>
      <c r="ET74" s="25">
        <f>SUM(Q74:R74)</f>
        <v>36707</v>
      </c>
      <c r="EU74" s="25">
        <f>EU71+EU72-EU73</f>
        <v>35727</v>
      </c>
      <c r="EV74" s="25">
        <f>EV71+EV72-EV73</f>
        <v>32171</v>
      </c>
      <c r="EW74" s="25">
        <f t="shared" ref="EW74:FD74" si="68">EW71*EW93</f>
        <v>0</v>
      </c>
      <c r="EX74" s="127">
        <f>+EX71+EX72-EX73</f>
        <v>36664</v>
      </c>
      <c r="EY74" s="127">
        <f>+EY71+EY72-EY73</f>
        <v>36485</v>
      </c>
      <c r="EZ74" s="127">
        <f t="shared" si="68"/>
        <v>0</v>
      </c>
      <c r="FA74" s="127">
        <f t="shared" si="68"/>
        <v>0</v>
      </c>
      <c r="FB74" s="127">
        <f>+FB71+FB72-FB73</f>
        <v>37567</v>
      </c>
      <c r="FC74" s="127">
        <f>+FC71+FC72-FC73</f>
        <v>42228</v>
      </c>
      <c r="FD74" s="127">
        <f t="shared" si="68"/>
        <v>0</v>
      </c>
      <c r="FE74" s="127">
        <f>FE71+FE72-FE73</f>
        <v>45776</v>
      </c>
      <c r="FF74" s="127">
        <f>FF71+FF72-FF73</f>
        <v>47712</v>
      </c>
      <c r="FG74" s="91"/>
      <c r="FH74" s="127">
        <f>FH71+FH72-FH73</f>
        <v>46386</v>
      </c>
      <c r="FI74" s="138"/>
    </row>
    <row r="75" spans="2:167" x14ac:dyDescent="0.25">
      <c r="B75" s="15" t="s">
        <v>186</v>
      </c>
      <c r="C75" s="25">
        <v>3658</v>
      </c>
      <c r="D75" s="25">
        <v>4159</v>
      </c>
      <c r="E75" s="25">
        <v>3983</v>
      </c>
      <c r="F75" s="25">
        <v>4292</v>
      </c>
      <c r="G75" s="25">
        <v>4000</v>
      </c>
      <c r="H75" s="25">
        <v>4338</v>
      </c>
      <c r="I75" s="25">
        <v>4409</v>
      </c>
      <c r="J75" s="25">
        <f>9625-I75</f>
        <v>5216</v>
      </c>
      <c r="K75" s="25">
        <v>5208</v>
      </c>
      <c r="L75" s="25">
        <f>10856-K75</f>
        <v>5648</v>
      </c>
      <c r="M75" s="25">
        <v>5552</v>
      </c>
      <c r="N75" s="71">
        <f>9327-M75</f>
        <v>3775</v>
      </c>
      <c r="O75" s="25">
        <v>4371</v>
      </c>
      <c r="P75" s="25">
        <f>O75+428</f>
        <v>4799</v>
      </c>
      <c r="Q75" s="25">
        <v>4567</v>
      </c>
      <c r="R75" s="25">
        <f>9475-Q75</f>
        <v>4908</v>
      </c>
      <c r="S75" s="25">
        <v>4546</v>
      </c>
      <c r="T75" s="25">
        <f>9488-S75</f>
        <v>4942</v>
      </c>
      <c r="U75" s="25"/>
      <c r="V75" s="25"/>
      <c r="W75" s="25"/>
      <c r="X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EL75" s="25"/>
      <c r="EM75" s="25">
        <v>7859</v>
      </c>
      <c r="EN75" s="25">
        <v>7817</v>
      </c>
      <c r="EO75" s="25">
        <v>8338</v>
      </c>
      <c r="EP75" s="25">
        <v>9507</v>
      </c>
      <c r="EQ75" s="25">
        <f>SUM(K75:L75)</f>
        <v>10856</v>
      </c>
      <c r="ER75" s="25">
        <f>N75+M75</f>
        <v>9327</v>
      </c>
      <c r="ES75" s="25">
        <f>SUM(O75:P75)</f>
        <v>9170</v>
      </c>
      <c r="ET75" s="25">
        <f t="shared" ref="ET75" si="69">SUM(Q75:R75)</f>
        <v>9475</v>
      </c>
      <c r="EU75" s="25">
        <f>T75+S75</f>
        <v>9488</v>
      </c>
      <c r="EV75" s="25">
        <v>8049</v>
      </c>
      <c r="EW75" s="25">
        <f t="shared" ref="EW75:FD75" si="70">EV75*0.99</f>
        <v>7968.51</v>
      </c>
      <c r="EX75" s="25">
        <v>8373</v>
      </c>
      <c r="EY75" s="25">
        <v>8657</v>
      </c>
      <c r="EZ75" s="127">
        <f t="shared" si="70"/>
        <v>8570.43</v>
      </c>
      <c r="FA75" s="127">
        <f t="shared" si="70"/>
        <v>8484.7257000000009</v>
      </c>
      <c r="FB75" s="127">
        <v>9847</v>
      </c>
      <c r="FC75" s="127">
        <v>10109</v>
      </c>
      <c r="FD75" s="127">
        <f t="shared" si="70"/>
        <v>10007.91</v>
      </c>
      <c r="FE75" s="127">
        <v>9361</v>
      </c>
      <c r="FF75" s="127">
        <v>9444</v>
      </c>
      <c r="FH75" s="127"/>
    </row>
    <row r="76" spans="2:167" s="17" customFormat="1" ht="13" x14ac:dyDescent="0.3">
      <c r="B76" s="15" t="s">
        <v>185</v>
      </c>
      <c r="C76" s="25">
        <v>633</v>
      </c>
      <c r="D76" s="25">
        <v>727</v>
      </c>
      <c r="E76" s="25">
        <v>677</v>
      </c>
      <c r="F76" s="25">
        <v>721</v>
      </c>
      <c r="G76" s="25">
        <v>1059</v>
      </c>
      <c r="H76" s="25">
        <v>1026</v>
      </c>
      <c r="I76" s="25">
        <v>1145</v>
      </c>
      <c r="J76" s="25">
        <f>2288-I76</f>
        <v>1143</v>
      </c>
      <c r="K76" s="25">
        <v>1072</v>
      </c>
      <c r="L76" s="25">
        <f>2542-K76</f>
        <v>1470</v>
      </c>
      <c r="M76" s="25">
        <v>1237</v>
      </c>
      <c r="N76" s="25">
        <f>2453-M76</f>
        <v>1216</v>
      </c>
      <c r="O76" s="25">
        <v>1089</v>
      </c>
      <c r="P76" s="25">
        <f>O76+154</f>
        <v>1243</v>
      </c>
      <c r="Q76" s="25">
        <v>967</v>
      </c>
      <c r="R76" s="25">
        <f>2175-Q76</f>
        <v>1208</v>
      </c>
      <c r="S76" s="25">
        <v>871</v>
      </c>
      <c r="T76" s="25">
        <f>2874-S76</f>
        <v>2003</v>
      </c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3"/>
      <c r="CF76" s="93"/>
      <c r="CG76" s="93"/>
      <c r="CH76" s="93"/>
      <c r="CI76" s="93"/>
      <c r="CJ76" s="93"/>
      <c r="CK76" s="93"/>
      <c r="CL76" s="93"/>
      <c r="CM76" s="93"/>
      <c r="CN76" s="93"/>
      <c r="CO76" s="93"/>
      <c r="CP76" s="93"/>
      <c r="CQ76" s="93"/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C76" s="93"/>
      <c r="DD76" s="93"/>
      <c r="DE76" s="93"/>
      <c r="DF76" s="93"/>
      <c r="DG76" s="93"/>
      <c r="DH76" s="93"/>
      <c r="DI76" s="93"/>
      <c r="DJ76" s="93"/>
      <c r="DK76" s="93"/>
      <c r="DL76" s="93"/>
      <c r="DM76" s="93"/>
      <c r="DN76" s="93"/>
      <c r="DO76" s="93"/>
      <c r="DP76" s="93"/>
      <c r="DQ76" s="93"/>
      <c r="DR76" s="93"/>
      <c r="DS76" s="93"/>
      <c r="DT76" s="93"/>
      <c r="DU76" s="93"/>
      <c r="DV76" s="93"/>
      <c r="DW76" s="93"/>
      <c r="DX76" s="93"/>
      <c r="DY76" s="93"/>
      <c r="DZ76" s="93"/>
      <c r="EA76" s="93"/>
      <c r="EB76" s="93"/>
      <c r="EC76" s="93"/>
      <c r="ED76" s="93"/>
      <c r="EE76" s="93"/>
      <c r="EF76" s="93"/>
      <c r="EG76" s="93"/>
      <c r="EH76" s="93"/>
      <c r="EI76" s="93"/>
      <c r="EJ76" s="93"/>
      <c r="EK76" s="5"/>
      <c r="EL76" s="25"/>
      <c r="EM76" s="25">
        <v>1193</v>
      </c>
      <c r="EN76" s="25">
        <v>1360</v>
      </c>
      <c r="EO76" s="25">
        <v>2085</v>
      </c>
      <c r="EP76" s="25">
        <v>2309</v>
      </c>
      <c r="EQ76" s="25">
        <f>SUM(K76:L76)</f>
        <v>2542</v>
      </c>
      <c r="ER76" s="25">
        <f>N76+M76</f>
        <v>2453</v>
      </c>
      <c r="ES76" s="25">
        <f>SUM(O76:P76)</f>
        <v>2332</v>
      </c>
      <c r="ET76" s="25">
        <f t="shared" ref="ET76" si="71">SUM(Q76:R76)</f>
        <v>2175</v>
      </c>
      <c r="EU76" s="25">
        <f>T76+S76</f>
        <v>2874</v>
      </c>
      <c r="EV76" s="25">
        <v>2342</v>
      </c>
      <c r="EW76" s="25">
        <f t="shared" ref="EW76:FD76" si="72">EV76*0.99</f>
        <v>2318.58</v>
      </c>
      <c r="EX76" s="25">
        <v>9270</v>
      </c>
      <c r="EY76" s="25">
        <v>9895</v>
      </c>
      <c r="EZ76" s="127">
        <f t="shared" si="72"/>
        <v>9796.0499999999993</v>
      </c>
      <c r="FA76" s="127">
        <f t="shared" si="72"/>
        <v>9698.0895</v>
      </c>
      <c r="FB76" s="127">
        <v>3425</v>
      </c>
      <c r="FC76" s="127">
        <v>5258</v>
      </c>
      <c r="FD76" s="127">
        <f t="shared" si="72"/>
        <v>5205.42</v>
      </c>
      <c r="FE76" s="127">
        <v>2726</v>
      </c>
      <c r="FF76" s="127">
        <v>2663</v>
      </c>
      <c r="FG76" s="91"/>
      <c r="FH76" s="127">
        <v>13518</v>
      </c>
      <c r="FI76" s="138"/>
    </row>
    <row r="77" spans="2:167" x14ac:dyDescent="0.25">
      <c r="B77" s="15" t="s">
        <v>1</v>
      </c>
      <c r="C77" s="25">
        <v>2173</v>
      </c>
      <c r="D77" s="25">
        <v>2451</v>
      </c>
      <c r="E77" s="25">
        <v>2333</v>
      </c>
      <c r="F77" s="25">
        <v>2720</v>
      </c>
      <c r="G77" s="25">
        <v>2361</v>
      </c>
      <c r="H77" s="25">
        <v>2793</v>
      </c>
      <c r="I77" s="25">
        <v>2559</v>
      </c>
      <c r="J77" s="25">
        <f>5705-I77</f>
        <v>3146</v>
      </c>
      <c r="K77" s="72">
        <v>3063</v>
      </c>
      <c r="L77" s="72">
        <f>6589-K77</f>
        <v>3526</v>
      </c>
      <c r="M77" s="25">
        <v>3635</v>
      </c>
      <c r="N77" s="25">
        <f>8385-M77</f>
        <v>4750</v>
      </c>
      <c r="O77" s="25">
        <v>4107</v>
      </c>
      <c r="P77" s="25">
        <f>8845-O77</f>
        <v>4738</v>
      </c>
      <c r="Q77" s="25">
        <v>4518</v>
      </c>
      <c r="R77" s="25">
        <f>9874-Q77</f>
        <v>5356</v>
      </c>
      <c r="S77" s="25">
        <v>4471</v>
      </c>
      <c r="T77" s="25">
        <f>10026-S77</f>
        <v>5555</v>
      </c>
      <c r="U77" s="25"/>
      <c r="V77" s="25"/>
      <c r="W77" s="25"/>
      <c r="X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EL77" s="25"/>
      <c r="EM77" s="25">
        <v>4132</v>
      </c>
      <c r="EN77" s="25">
        <v>4624</v>
      </c>
      <c r="EO77" s="25">
        <v>5154</v>
      </c>
      <c r="EP77" s="25">
        <f>I77+J77</f>
        <v>5705</v>
      </c>
      <c r="EQ77" s="25">
        <f>L77+K77</f>
        <v>6589</v>
      </c>
      <c r="ER77" s="25">
        <f>N77+M77</f>
        <v>8385</v>
      </c>
      <c r="ES77" s="25">
        <f>SUM(O77:P77)</f>
        <v>8845</v>
      </c>
      <c r="ET77" s="25">
        <f t="shared" ref="ET77" si="73">SUM(Q77:R77)</f>
        <v>9874</v>
      </c>
      <c r="EU77" s="25">
        <f>T77+S77</f>
        <v>10026</v>
      </c>
      <c r="EV77" s="25">
        <v>8326</v>
      </c>
      <c r="EW77" s="25"/>
      <c r="EX77" s="25">
        <v>2645</v>
      </c>
      <c r="EY77" s="25">
        <v>3843</v>
      </c>
      <c r="EZ77" s="127"/>
      <c r="FA77" s="127"/>
      <c r="FB77" s="127">
        <v>11292</v>
      </c>
      <c r="FC77" s="127">
        <v>12092</v>
      </c>
      <c r="FD77" s="127"/>
      <c r="FE77" s="127">
        <v>12153</v>
      </c>
      <c r="FF77" s="130">
        <v>13708</v>
      </c>
      <c r="FH77" s="130">
        <v>15251</v>
      </c>
    </row>
    <row r="78" spans="2:167" x14ac:dyDescent="0.25">
      <c r="B78" s="15" t="s">
        <v>183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>
        <f>736+472+2</f>
        <v>1210</v>
      </c>
      <c r="N78" s="25">
        <f>1560+976+6+58-M78</f>
        <v>1390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EL78" s="25"/>
      <c r="EM78" s="25"/>
      <c r="EN78" s="25"/>
      <c r="EO78" s="25"/>
      <c r="EP78" s="25"/>
      <c r="EQ78" s="25">
        <f>M78+L78</f>
        <v>1210</v>
      </c>
      <c r="ER78" s="25">
        <f>N78+M78</f>
        <v>2600</v>
      </c>
      <c r="ES78" s="25"/>
      <c r="ET78" s="25"/>
      <c r="EU78" s="25"/>
      <c r="EV78" s="25"/>
      <c r="EW78" s="25"/>
      <c r="EX78" s="25"/>
      <c r="EY78" s="25"/>
      <c r="EZ78" s="127"/>
      <c r="FA78" s="127"/>
      <c r="FB78" s="127"/>
      <c r="FC78" s="127"/>
      <c r="FD78" s="127"/>
      <c r="FE78" s="127"/>
    </row>
    <row r="79" spans="2:167" x14ac:dyDescent="0.25">
      <c r="B79" s="3" t="s">
        <v>580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>
        <f t="shared" ref="M79:Q79" si="74">SUM(M75:M77)-M78</f>
        <v>9214</v>
      </c>
      <c r="N79" s="25">
        <f t="shared" si="74"/>
        <v>8351</v>
      </c>
      <c r="O79" s="25">
        <f t="shared" si="74"/>
        <v>9567</v>
      </c>
      <c r="P79" s="25">
        <f t="shared" si="74"/>
        <v>10780</v>
      </c>
      <c r="Q79" s="25">
        <f t="shared" si="74"/>
        <v>10052</v>
      </c>
      <c r="R79" s="25">
        <f>SUM(R75:R77)-R78</f>
        <v>11472</v>
      </c>
      <c r="S79" s="25">
        <f>SUM(S75:S77)-S78</f>
        <v>9888</v>
      </c>
      <c r="T79" s="25">
        <f>SUM(T75:T77)-T78</f>
        <v>12500</v>
      </c>
      <c r="U79" s="25"/>
      <c r="V79" s="25"/>
      <c r="W79" s="25"/>
      <c r="X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EL79" s="25"/>
      <c r="EM79" s="25"/>
      <c r="EN79" s="25"/>
      <c r="EO79" s="25"/>
      <c r="EP79" s="25"/>
      <c r="EQ79" s="25">
        <f t="shared" ref="EQ79:EV79" si="75">SUM(EQ75:EQ77)-EQ78</f>
        <v>18777</v>
      </c>
      <c r="ER79" s="25">
        <f t="shared" si="75"/>
        <v>17565</v>
      </c>
      <c r="ES79" s="25">
        <f t="shared" si="75"/>
        <v>20347</v>
      </c>
      <c r="ET79" s="25">
        <f t="shared" si="75"/>
        <v>21524</v>
      </c>
      <c r="EU79" s="25">
        <f t="shared" si="75"/>
        <v>22388</v>
      </c>
      <c r="EV79" s="25">
        <f t="shared" si="75"/>
        <v>18717</v>
      </c>
      <c r="EW79" s="25">
        <f t="shared" ref="EW79:FD79" si="76">SUM(EW75:EW77)-EW78</f>
        <v>10287.09</v>
      </c>
      <c r="EX79" s="25">
        <f t="shared" si="76"/>
        <v>20288</v>
      </c>
      <c r="EY79" s="25">
        <f t="shared" si="76"/>
        <v>22395</v>
      </c>
      <c r="EZ79" s="127">
        <f t="shared" si="76"/>
        <v>18366.48</v>
      </c>
      <c r="FA79" s="127">
        <f t="shared" si="76"/>
        <v>18182.815200000001</v>
      </c>
      <c r="FB79" s="127">
        <f>SUM(FB75:FB77)-FB78</f>
        <v>24564</v>
      </c>
      <c r="FC79" s="127">
        <f>SUM(FC75:FC77)-FC78</f>
        <v>27459</v>
      </c>
      <c r="FD79" s="127">
        <f t="shared" si="76"/>
        <v>15213.33</v>
      </c>
      <c r="FE79" s="130">
        <f>SUM(FE75:FE77)</f>
        <v>24240</v>
      </c>
      <c r="FF79" s="130">
        <f>SUM(FF75:FF77)</f>
        <v>25815</v>
      </c>
      <c r="FH79" s="130">
        <f>SUM(FH75:FH77)</f>
        <v>28769</v>
      </c>
    </row>
    <row r="80" spans="2:167" s="17" customFormat="1" ht="13" x14ac:dyDescent="0.3">
      <c r="B80" s="17" t="s">
        <v>149</v>
      </c>
      <c r="C80" s="27">
        <v>2833</v>
      </c>
      <c r="D80" s="27">
        <v>2960</v>
      </c>
      <c r="E80" s="27">
        <v>3701</v>
      </c>
      <c r="F80" s="27">
        <v>3249</v>
      </c>
      <c r="G80" s="27">
        <v>3527</v>
      </c>
      <c r="H80" s="27">
        <v>3239</v>
      </c>
      <c r="I80" s="27">
        <f>I74-I75-I76-I77</f>
        <v>4871</v>
      </c>
      <c r="J80" s="27">
        <f>J74-J75-J76-J77</f>
        <v>5165</v>
      </c>
      <c r="K80" s="27">
        <f>K74-K75-K76-K77</f>
        <v>6299</v>
      </c>
      <c r="L80" s="27">
        <f>L74-L75-L76-L77</f>
        <v>6605</v>
      </c>
      <c r="M80" s="27">
        <f t="shared" ref="M80:Q80" si="77">M74-M79</f>
        <v>8585</v>
      </c>
      <c r="N80" s="27">
        <f t="shared" si="77"/>
        <v>7442</v>
      </c>
      <c r="O80" s="27">
        <f t="shared" si="77"/>
        <v>7041</v>
      </c>
      <c r="P80" s="27">
        <f t="shared" si="77"/>
        <v>6855</v>
      </c>
      <c r="Q80" s="27">
        <f t="shared" si="77"/>
        <v>7970</v>
      </c>
      <c r="R80" s="27">
        <f>R74-R79</f>
        <v>7213</v>
      </c>
      <c r="S80" s="27">
        <f>S74-S79</f>
        <v>8756</v>
      </c>
      <c r="T80" s="27">
        <f>T74-T79</f>
        <v>4660</v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3"/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3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3"/>
      <c r="DD80" s="93"/>
      <c r="DE80" s="93"/>
      <c r="DF80" s="93"/>
      <c r="DG80" s="93"/>
      <c r="DH80" s="93"/>
      <c r="DI80" s="93"/>
      <c r="DJ80" s="93"/>
      <c r="DK80" s="93"/>
      <c r="DL80" s="93"/>
      <c r="DM80" s="93"/>
      <c r="DN80" s="93"/>
      <c r="DO80" s="93"/>
      <c r="DP80" s="93"/>
      <c r="DQ80" s="93"/>
      <c r="DR80" s="93"/>
      <c r="DS80" s="93"/>
      <c r="DT80" s="93"/>
      <c r="DU80" s="93"/>
      <c r="DV80" s="93"/>
      <c r="DW80" s="93"/>
      <c r="DX80" s="93"/>
      <c r="DY80" s="93"/>
      <c r="DZ80" s="93"/>
      <c r="EA80" s="93"/>
      <c r="EB80" s="93"/>
      <c r="EC80" s="93"/>
      <c r="ED80" s="93"/>
      <c r="EE80" s="93"/>
      <c r="EF80" s="93"/>
      <c r="EG80" s="93"/>
      <c r="EH80" s="93"/>
      <c r="EI80" s="93"/>
      <c r="EJ80" s="93"/>
      <c r="EK80" s="5"/>
      <c r="EL80" s="27"/>
      <c r="EM80" s="27">
        <v>5223</v>
      </c>
      <c r="EN80" s="27">
        <v>5793</v>
      </c>
      <c r="EO80" s="27">
        <v>6766</v>
      </c>
      <c r="EP80" s="27">
        <f>EP74-EP75-EP76-EP77</f>
        <v>10133</v>
      </c>
      <c r="EQ80" s="27">
        <f t="shared" ref="EQ80:EV80" si="78">EQ74-EQ79</f>
        <v>14114</v>
      </c>
      <c r="ER80" s="27">
        <f t="shared" si="78"/>
        <v>16027</v>
      </c>
      <c r="ES80" s="27">
        <f t="shared" si="78"/>
        <v>14742</v>
      </c>
      <c r="ET80" s="27">
        <f t="shared" si="78"/>
        <v>15183</v>
      </c>
      <c r="EU80" s="27">
        <f t="shared" si="78"/>
        <v>13339</v>
      </c>
      <c r="EV80" s="27">
        <f t="shared" si="78"/>
        <v>13454</v>
      </c>
      <c r="EW80" s="27">
        <f t="shared" ref="EW80:FE80" si="79">EW74-EW79</f>
        <v>-10287.09</v>
      </c>
      <c r="EX80" s="27">
        <f t="shared" si="79"/>
        <v>16376</v>
      </c>
      <c r="EY80" s="27">
        <f t="shared" si="79"/>
        <v>14090</v>
      </c>
      <c r="EZ80" s="125">
        <f t="shared" si="79"/>
        <v>-18366.48</v>
      </c>
      <c r="FA80" s="125">
        <f t="shared" si="79"/>
        <v>-18182.815200000001</v>
      </c>
      <c r="FB80" s="125">
        <f>FB74-FB79</f>
        <v>13003</v>
      </c>
      <c r="FC80" s="125">
        <f>FC74-FC79</f>
        <v>14769</v>
      </c>
      <c r="FD80" s="125">
        <f t="shared" si="79"/>
        <v>-15213.33</v>
      </c>
      <c r="FE80" s="125">
        <f t="shared" si="79"/>
        <v>21536</v>
      </c>
      <c r="FF80" s="139">
        <f>FF74-FF79</f>
        <v>21897</v>
      </c>
      <c r="FG80" s="91"/>
      <c r="FH80" s="139">
        <f>FH74-FH79</f>
        <v>17617</v>
      </c>
      <c r="FI80" s="138"/>
    </row>
    <row r="81" spans="2:238" x14ac:dyDescent="0.25">
      <c r="B81" s="15" t="s">
        <v>2</v>
      </c>
      <c r="C81" s="23">
        <v>-75</v>
      </c>
      <c r="D81" s="23">
        <v>122</v>
      </c>
      <c r="E81" s="23">
        <v>131</v>
      </c>
      <c r="F81" s="23">
        <v>106</v>
      </c>
      <c r="G81" s="67">
        <v>213</v>
      </c>
      <c r="H81" s="67">
        <v>156</v>
      </c>
      <c r="I81" s="67">
        <v>241</v>
      </c>
      <c r="J81" s="67">
        <f>678-I81</f>
        <v>437</v>
      </c>
      <c r="K81" s="67">
        <v>902</v>
      </c>
      <c r="L81" s="67">
        <f>1829-K81</f>
        <v>927</v>
      </c>
      <c r="M81" s="67">
        <v>979</v>
      </c>
      <c r="N81" s="67">
        <f>1805-M81</f>
        <v>826</v>
      </c>
      <c r="O81" s="67">
        <v>684</v>
      </c>
      <c r="P81" s="67">
        <f>O81</f>
        <v>684</v>
      </c>
      <c r="Q81" s="67">
        <v>484</v>
      </c>
      <c r="R81" s="67">
        <f>792-Q81</f>
        <v>308</v>
      </c>
      <c r="S81" s="67">
        <v>302</v>
      </c>
      <c r="T81" s="67">
        <f>-3+557-S81</f>
        <v>252</v>
      </c>
      <c r="EL81" s="25"/>
      <c r="EM81" s="25">
        <v>2000</v>
      </c>
      <c r="EN81" s="25">
        <v>47</v>
      </c>
      <c r="EO81" s="25">
        <v>369</v>
      </c>
      <c r="EP81" s="25">
        <v>1313</v>
      </c>
      <c r="EQ81" s="25">
        <f>SUM(K81:L81)</f>
        <v>1829</v>
      </c>
      <c r="ER81" s="25">
        <f>N81+M81</f>
        <v>1805</v>
      </c>
      <c r="ES81" s="25">
        <v>1123</v>
      </c>
      <c r="ET81" s="25">
        <f t="shared" ref="ET81:ET82" si="80">SUM(Q81:R81)</f>
        <v>792</v>
      </c>
      <c r="EU81" s="25">
        <f>T81+S81</f>
        <v>554</v>
      </c>
      <c r="EV81" s="25">
        <f>-2228+647+12</f>
        <v>-1569</v>
      </c>
      <c r="EW81" s="25">
        <f t="shared" ref="EW81:FD81" si="81">EW91*$FT$93</f>
        <v>-66.900000000000006</v>
      </c>
      <c r="EX81" s="25"/>
      <c r="EY81" s="25"/>
      <c r="EZ81" s="127"/>
      <c r="FA81" s="127"/>
      <c r="FB81" s="127"/>
      <c r="FC81" s="127"/>
      <c r="FD81" s="127">
        <f t="shared" si="81"/>
        <v>363.8191624000001</v>
      </c>
      <c r="FE81" s="127">
        <f>-539-25</f>
        <v>-564</v>
      </c>
      <c r="FF81" s="131">
        <f>-412-339</f>
        <v>-751</v>
      </c>
      <c r="FH81" s="131">
        <f>805-980-320</f>
        <v>-495</v>
      </c>
    </row>
    <row r="82" spans="2:238" s="17" customFormat="1" ht="13" x14ac:dyDescent="0.3">
      <c r="B82" s="15" t="s">
        <v>3</v>
      </c>
      <c r="C82" s="25">
        <v>-276</v>
      </c>
      <c r="D82" s="25">
        <v>-401</v>
      </c>
      <c r="E82" s="25">
        <v>-370</v>
      </c>
      <c r="F82" s="25">
        <v>-206</v>
      </c>
      <c r="G82" s="25">
        <v>-383</v>
      </c>
      <c r="H82" s="25">
        <v>-244</v>
      </c>
      <c r="I82" s="25">
        <v>-187</v>
      </c>
      <c r="J82" s="25">
        <f>-382-I82</f>
        <v>-195</v>
      </c>
      <c r="K82" s="25">
        <v>478</v>
      </c>
      <c r="L82" s="25">
        <f>974-K82</f>
        <v>496</v>
      </c>
      <c r="M82" s="25">
        <v>479</v>
      </c>
      <c r="N82" s="25">
        <f>971-M82</f>
        <v>492</v>
      </c>
      <c r="O82" s="67">
        <v>447</v>
      </c>
      <c r="P82" s="67">
        <f>O82</f>
        <v>447</v>
      </c>
      <c r="Q82" s="67">
        <v>1035</v>
      </c>
      <c r="R82" s="67">
        <f>2460-Q82</f>
        <v>1425</v>
      </c>
      <c r="S82" s="67">
        <v>1508</v>
      </c>
      <c r="T82" s="67">
        <f>2829-S82</f>
        <v>1321</v>
      </c>
      <c r="U82" s="67"/>
      <c r="V82" s="67"/>
      <c r="W82" s="67"/>
      <c r="X82" s="67"/>
      <c r="Y82" s="25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15"/>
      <c r="EL82" s="25"/>
      <c r="EM82" s="25">
        <v>-1165.1611044776121</v>
      </c>
      <c r="EN82" s="25">
        <v>-677</v>
      </c>
      <c r="EO82" s="25">
        <v>-627</v>
      </c>
      <c r="EP82" s="25">
        <v>985</v>
      </c>
      <c r="EQ82" s="25">
        <f>SUM(K82:L82)</f>
        <v>974</v>
      </c>
      <c r="ER82" s="25">
        <f>N82+M82</f>
        <v>971</v>
      </c>
      <c r="ES82" s="25">
        <v>887</v>
      </c>
      <c r="ET82" s="25">
        <f t="shared" si="80"/>
        <v>2460</v>
      </c>
      <c r="EU82" s="25">
        <f>T82+S82</f>
        <v>2829</v>
      </c>
      <c r="EV82" s="25"/>
      <c r="EW82" s="25"/>
      <c r="EX82" s="25"/>
      <c r="EY82" s="25"/>
      <c r="EZ82" s="127"/>
      <c r="FA82" s="127"/>
      <c r="FB82" s="127"/>
      <c r="FC82" s="127"/>
      <c r="FD82" s="127"/>
      <c r="FE82" s="127"/>
      <c r="FF82" s="138"/>
      <c r="FG82" s="91"/>
      <c r="FH82" s="138"/>
      <c r="FI82" s="138"/>
    </row>
    <row r="83" spans="2:238" s="17" customFormat="1" ht="13" x14ac:dyDescent="0.3">
      <c r="B83" s="17" t="s">
        <v>15</v>
      </c>
      <c r="C83" s="27">
        <v>2464</v>
      </c>
      <c r="D83" s="27">
        <v>2655</v>
      </c>
      <c r="E83" s="27">
        <v>3435</v>
      </c>
      <c r="F83" s="27">
        <v>3133</v>
      </c>
      <c r="G83" s="27">
        <v>3330</v>
      </c>
      <c r="H83" s="27">
        <v>3135</v>
      </c>
      <c r="I83" s="27">
        <f t="shared" ref="I83:S83" si="82">I80+I81-I82</f>
        <v>5299</v>
      </c>
      <c r="J83" s="27">
        <f t="shared" si="82"/>
        <v>5797</v>
      </c>
      <c r="K83" s="27">
        <f t="shared" si="82"/>
        <v>6723</v>
      </c>
      <c r="L83" s="27">
        <f t="shared" si="82"/>
        <v>7036</v>
      </c>
      <c r="M83" s="27">
        <f t="shared" si="82"/>
        <v>9085</v>
      </c>
      <c r="N83" s="27">
        <f t="shared" si="82"/>
        <v>7776</v>
      </c>
      <c r="O83" s="27">
        <f t="shared" si="82"/>
        <v>7278</v>
      </c>
      <c r="P83" s="27">
        <f t="shared" si="82"/>
        <v>7092</v>
      </c>
      <c r="Q83" s="27">
        <f t="shared" si="82"/>
        <v>7419</v>
      </c>
      <c r="R83" s="27">
        <f t="shared" si="82"/>
        <v>6096</v>
      </c>
      <c r="S83" s="27">
        <f t="shared" si="82"/>
        <v>7550</v>
      </c>
      <c r="T83" s="27">
        <f>T80+T81-T82</f>
        <v>3591</v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3"/>
      <c r="DD83" s="93"/>
      <c r="DE83" s="93"/>
      <c r="DF83" s="93"/>
      <c r="DG83" s="93"/>
      <c r="DH83" s="93"/>
      <c r="DI83" s="93"/>
      <c r="DJ83" s="93"/>
      <c r="DK83" s="93"/>
      <c r="DL83" s="93"/>
      <c r="DM83" s="93"/>
      <c r="DN83" s="93"/>
      <c r="DO83" s="93"/>
      <c r="DP83" s="93"/>
      <c r="DQ83" s="93"/>
      <c r="DR83" s="93"/>
      <c r="DS83" s="93"/>
      <c r="DT83" s="93"/>
      <c r="DU83" s="93"/>
      <c r="DV83" s="93"/>
      <c r="DW83" s="93"/>
      <c r="DX83" s="93"/>
      <c r="DY83" s="93"/>
      <c r="DZ83" s="93"/>
      <c r="EA83" s="93"/>
      <c r="EB83" s="93"/>
      <c r="EC83" s="93"/>
      <c r="ED83" s="93"/>
      <c r="EE83" s="93"/>
      <c r="EF83" s="93"/>
      <c r="EG83" s="93"/>
      <c r="EH83" s="93"/>
      <c r="EI83" s="93"/>
      <c r="EJ83" s="93"/>
      <c r="EK83" s="5"/>
      <c r="EL83" s="27"/>
      <c r="EM83" s="27">
        <v>6020.8388955223882</v>
      </c>
      <c r="EN83" s="27">
        <v>5119</v>
      </c>
      <c r="EO83" s="27">
        <v>6465</v>
      </c>
      <c r="EP83" s="27">
        <f t="shared" ref="EP83:FE83" si="83">EP80+EP81-EP82</f>
        <v>10461</v>
      </c>
      <c r="EQ83" s="27">
        <f t="shared" si="83"/>
        <v>14969</v>
      </c>
      <c r="ER83" s="27">
        <f t="shared" si="83"/>
        <v>16861</v>
      </c>
      <c r="ES83" s="27">
        <f t="shared" si="83"/>
        <v>14978</v>
      </c>
      <c r="ET83" s="27">
        <f t="shared" si="83"/>
        <v>13515</v>
      </c>
      <c r="EU83" s="27">
        <f>EU80+EU81-EU82</f>
        <v>11064</v>
      </c>
      <c r="EV83" s="27">
        <f t="shared" si="83"/>
        <v>11885</v>
      </c>
      <c r="EW83" s="27">
        <f t="shared" si="83"/>
        <v>-10353.99</v>
      </c>
      <c r="EX83" s="27">
        <f t="shared" si="83"/>
        <v>16376</v>
      </c>
      <c r="EY83" s="27">
        <f t="shared" si="83"/>
        <v>14090</v>
      </c>
      <c r="EZ83" s="125">
        <f t="shared" si="83"/>
        <v>-18366.48</v>
      </c>
      <c r="FA83" s="125">
        <f t="shared" si="83"/>
        <v>-18182.815200000001</v>
      </c>
      <c r="FB83" s="125">
        <f t="shared" si="83"/>
        <v>13003</v>
      </c>
      <c r="FC83" s="125">
        <f t="shared" si="83"/>
        <v>14769</v>
      </c>
      <c r="FD83" s="125">
        <f t="shared" si="83"/>
        <v>-14849.510837599999</v>
      </c>
      <c r="FE83" s="125">
        <f t="shared" si="83"/>
        <v>20972</v>
      </c>
      <c r="FF83" s="139">
        <f>FF80+FF81</f>
        <v>21146</v>
      </c>
      <c r="FG83" s="139">
        <f>FG80+FG81</f>
        <v>0</v>
      </c>
      <c r="FH83" s="139">
        <f>FH80+FH81</f>
        <v>17122</v>
      </c>
      <c r="FI83" s="138"/>
    </row>
    <row r="84" spans="2:238" x14ac:dyDescent="0.25">
      <c r="B84" s="15" t="s">
        <v>5</v>
      </c>
      <c r="C84" s="25">
        <v>-658</v>
      </c>
      <c r="D84" s="25">
        <v>-661</v>
      </c>
      <c r="E84" s="25">
        <v>-835</v>
      </c>
      <c r="F84" s="25">
        <v>-810</v>
      </c>
      <c r="G84" s="25">
        <v>-806</v>
      </c>
      <c r="H84" s="25">
        <v>-799</v>
      </c>
      <c r="I84" s="25">
        <v>1095</v>
      </c>
      <c r="J84" s="25">
        <f>2224-I84</f>
        <v>1129</v>
      </c>
      <c r="K84" s="25">
        <v>1701</v>
      </c>
      <c r="L84" s="25">
        <f>3436-K84</f>
        <v>1735</v>
      </c>
      <c r="M84" s="25">
        <v>2115</v>
      </c>
      <c r="N84" s="25">
        <f>3867-M84</f>
        <v>1752</v>
      </c>
      <c r="O84" s="25">
        <v>1861</v>
      </c>
      <c r="P84" s="25"/>
      <c r="Q84" s="25">
        <v>1678</v>
      </c>
      <c r="R84" s="25">
        <f>2870-Q84</f>
        <v>1192</v>
      </c>
      <c r="S84" s="25">
        <v>1800</v>
      </c>
      <c r="T84" s="25">
        <f>2320-S84</f>
        <v>520</v>
      </c>
      <c r="U84" s="25"/>
      <c r="V84" s="25"/>
      <c r="W84" s="25"/>
      <c r="X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EL84" s="25"/>
      <c r="EM84" s="25">
        <v>-1595</v>
      </c>
      <c r="EN84" s="25">
        <v>-1319</v>
      </c>
      <c r="EO84" s="25">
        <v>-1605</v>
      </c>
      <c r="EP84" s="25">
        <v>2284</v>
      </c>
      <c r="EQ84" s="25">
        <f>SUM(K84:L84)</f>
        <v>3436</v>
      </c>
      <c r="ER84" s="25">
        <f>N84+M84</f>
        <v>3867</v>
      </c>
      <c r="ES84" s="25">
        <v>3317</v>
      </c>
      <c r="ET84" s="25">
        <f>SUM(Q84:R84)</f>
        <v>2870</v>
      </c>
      <c r="EU84" s="25">
        <f>T84+S84</f>
        <v>2320</v>
      </c>
      <c r="EV84" s="25">
        <v>2341</v>
      </c>
      <c r="EW84" s="25">
        <f t="shared" ref="EW84:FD84" si="84">EW83*0.24</f>
        <v>-2484.9575999999997</v>
      </c>
      <c r="EX84" s="25">
        <f t="shared" si="84"/>
        <v>3930.24</v>
      </c>
      <c r="EY84" s="25">
        <f t="shared" si="84"/>
        <v>3381.6</v>
      </c>
      <c r="EZ84" s="127">
        <f t="shared" si="84"/>
        <v>-4407.9551999999994</v>
      </c>
      <c r="FA84" s="127">
        <f t="shared" si="84"/>
        <v>-4363.8756480000002</v>
      </c>
      <c r="FB84" s="127">
        <f t="shared" si="84"/>
        <v>3120.72</v>
      </c>
      <c r="FC84" s="127">
        <f t="shared" si="84"/>
        <v>3544.56</v>
      </c>
      <c r="FD84" s="127">
        <f t="shared" si="84"/>
        <v>-3563.8826010239995</v>
      </c>
      <c r="FE84" s="127">
        <v>3594</v>
      </c>
      <c r="FF84" s="130">
        <v>3075</v>
      </c>
      <c r="FG84" s="130"/>
      <c r="FH84" s="130">
        <v>2136</v>
      </c>
    </row>
    <row r="85" spans="2:238" x14ac:dyDescent="0.25">
      <c r="B85" s="15" t="s">
        <v>6</v>
      </c>
      <c r="C85" s="25">
        <v>1806</v>
      </c>
      <c r="D85" s="25">
        <v>1994</v>
      </c>
      <c r="E85" s="25">
        <v>2600</v>
      </c>
      <c r="F85" s="25">
        <v>2323</v>
      </c>
      <c r="G85" s="25">
        <v>2524</v>
      </c>
      <c r="H85" s="25">
        <v>2336</v>
      </c>
      <c r="I85" s="25">
        <f t="shared" ref="I85:N85" si="85">I83-I84</f>
        <v>4204</v>
      </c>
      <c r="J85" s="25">
        <f t="shared" si="85"/>
        <v>4668</v>
      </c>
      <c r="K85" s="25">
        <f t="shared" si="85"/>
        <v>5022</v>
      </c>
      <c r="L85" s="25">
        <f t="shared" si="85"/>
        <v>5301</v>
      </c>
      <c r="M85" s="25">
        <f t="shared" si="85"/>
        <v>6970</v>
      </c>
      <c r="N85" s="25">
        <f t="shared" si="85"/>
        <v>6024</v>
      </c>
      <c r="O85" s="25">
        <f t="shared" ref="O85:T85" si="86">O83-O84</f>
        <v>5417</v>
      </c>
      <c r="P85" s="25">
        <f t="shared" si="86"/>
        <v>7092</v>
      </c>
      <c r="Q85" s="25">
        <f t="shared" si="86"/>
        <v>5741</v>
      </c>
      <c r="R85" s="25">
        <f t="shared" si="86"/>
        <v>4904</v>
      </c>
      <c r="S85" s="25">
        <f t="shared" si="86"/>
        <v>5750</v>
      </c>
      <c r="T85" s="25">
        <f t="shared" si="86"/>
        <v>3071</v>
      </c>
      <c r="U85" s="25"/>
      <c r="V85" s="25"/>
      <c r="W85" s="25"/>
      <c r="X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EL85" s="25"/>
      <c r="EM85" s="25">
        <v>4425.8388955223882</v>
      </c>
      <c r="EN85" s="25">
        <v>3800</v>
      </c>
      <c r="EO85" s="25">
        <v>4860</v>
      </c>
      <c r="EP85" s="25">
        <f t="shared" ref="EP85:EY85" si="87">EP83-EP84</f>
        <v>8177</v>
      </c>
      <c r="EQ85" s="25">
        <f t="shared" si="87"/>
        <v>11533</v>
      </c>
      <c r="ER85" s="25">
        <f t="shared" si="87"/>
        <v>12994</v>
      </c>
      <c r="ES85" s="25">
        <f t="shared" si="87"/>
        <v>11661</v>
      </c>
      <c r="ET85" s="25">
        <f>ET83-ET84</f>
        <v>10645</v>
      </c>
      <c r="EU85" s="25">
        <f>EU83-EU84</f>
        <v>8744</v>
      </c>
      <c r="EV85" s="25">
        <f t="shared" si="87"/>
        <v>9544</v>
      </c>
      <c r="EW85" s="25">
        <f t="shared" si="87"/>
        <v>-7869.0324000000001</v>
      </c>
      <c r="EX85" s="25">
        <f t="shared" si="87"/>
        <v>12445.76</v>
      </c>
      <c r="EY85" s="25">
        <f t="shared" si="87"/>
        <v>10708.4</v>
      </c>
      <c r="EZ85" s="127">
        <f t="shared" ref="EZ85:FD85" si="88">EZ83-EZ84</f>
        <v>-13958.524799999999</v>
      </c>
      <c r="FA85" s="127">
        <f t="shared" si="88"/>
        <v>-13818.939552</v>
      </c>
      <c r="FB85" s="127">
        <f t="shared" si="88"/>
        <v>9882.2800000000007</v>
      </c>
      <c r="FC85" s="127">
        <f t="shared" si="88"/>
        <v>11224.44</v>
      </c>
      <c r="FD85" s="127">
        <f t="shared" si="88"/>
        <v>-11285.628236576</v>
      </c>
      <c r="FE85" s="127">
        <f>FE83-FE84</f>
        <v>17378</v>
      </c>
      <c r="FF85" s="130">
        <f>FF83-FF84</f>
        <v>18071</v>
      </c>
      <c r="FG85" s="130"/>
      <c r="FH85" s="130">
        <f>FH83-FH84</f>
        <v>14986</v>
      </c>
    </row>
    <row r="86" spans="2:238" x14ac:dyDescent="0.25">
      <c r="B86" s="15" t="s">
        <v>4</v>
      </c>
      <c r="C86" s="25">
        <v>-185.5</v>
      </c>
      <c r="D86" s="25">
        <v>-243.5</v>
      </c>
      <c r="E86" s="25">
        <v>-274</v>
      </c>
      <c r="F86" s="25">
        <v>-306</v>
      </c>
      <c r="G86" s="25">
        <v>-262</v>
      </c>
      <c r="H86" s="25">
        <v>-276</v>
      </c>
      <c r="I86" s="25">
        <v>444</v>
      </c>
      <c r="J86" s="25">
        <f>943-I86</f>
        <v>499</v>
      </c>
      <c r="K86" s="25">
        <v>572</v>
      </c>
      <c r="L86" s="25">
        <f>1291-K86</f>
        <v>719</v>
      </c>
      <c r="M86" s="25">
        <v>943</v>
      </c>
      <c r="N86" s="25">
        <f>1676-M86</f>
        <v>733</v>
      </c>
      <c r="O86" s="25">
        <v>912</v>
      </c>
      <c r="P86" s="25">
        <f>O86</f>
        <v>912</v>
      </c>
      <c r="Q86" s="25">
        <v>578</v>
      </c>
      <c r="R86" s="25">
        <f>726-Q86</f>
        <v>148</v>
      </c>
      <c r="S86" s="25">
        <v>97</v>
      </c>
      <c r="T86" s="25">
        <f>225-S86</f>
        <v>128</v>
      </c>
      <c r="U86" s="25"/>
      <c r="V86" s="25"/>
      <c r="W86" s="25"/>
      <c r="X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15"/>
      <c r="EL86" s="25"/>
      <c r="EM86" s="25">
        <v>34</v>
      </c>
      <c r="EN86" s="25">
        <v>-429</v>
      </c>
      <c r="EO86" s="25">
        <v>-538</v>
      </c>
      <c r="EP86" s="25">
        <v>943</v>
      </c>
      <c r="EQ86" s="25">
        <f>SUM(K86:L86)</f>
        <v>1291</v>
      </c>
      <c r="ER86" s="25">
        <f>N86+M86</f>
        <v>1676</v>
      </c>
      <c r="ES86" s="25">
        <v>1875</v>
      </c>
      <c r="ET86" s="25">
        <f>SUM(Q86:R86)</f>
        <v>726</v>
      </c>
      <c r="EU86" s="25">
        <f>T86+S86</f>
        <v>225</v>
      </c>
      <c r="EV86" s="25">
        <v>201</v>
      </c>
      <c r="EW86" s="25"/>
      <c r="EX86" s="25"/>
      <c r="EY86" s="25"/>
      <c r="EZ86" s="127"/>
      <c r="FA86" s="127"/>
      <c r="FB86" s="127"/>
      <c r="FC86" s="127"/>
      <c r="FD86" s="127"/>
      <c r="FE86" s="127">
        <v>801</v>
      </c>
      <c r="FF86" s="130">
        <v>1033</v>
      </c>
      <c r="FG86" s="130"/>
      <c r="FH86" s="130">
        <v>877</v>
      </c>
    </row>
    <row r="87" spans="2:238" x14ac:dyDescent="0.25">
      <c r="B87" s="15" t="s">
        <v>20</v>
      </c>
      <c r="C87" s="25">
        <v>1620.5</v>
      </c>
      <c r="D87" s="25">
        <v>1750.5</v>
      </c>
      <c r="E87" s="25">
        <v>2326</v>
      </c>
      <c r="F87" s="25">
        <v>2017</v>
      </c>
      <c r="G87" s="25">
        <v>2262</v>
      </c>
      <c r="H87" s="25">
        <v>2060</v>
      </c>
      <c r="I87" s="25">
        <f t="shared" ref="I87:N87" si="89">I85-I86</f>
        <v>3760</v>
      </c>
      <c r="J87" s="25">
        <f t="shared" si="89"/>
        <v>4169</v>
      </c>
      <c r="K87" s="25">
        <f t="shared" si="89"/>
        <v>4450</v>
      </c>
      <c r="L87" s="25">
        <f t="shared" si="89"/>
        <v>4582</v>
      </c>
      <c r="M87" s="25">
        <f t="shared" si="89"/>
        <v>6027</v>
      </c>
      <c r="N87" s="25">
        <f t="shared" si="89"/>
        <v>5291</v>
      </c>
      <c r="O87" s="25">
        <f t="shared" ref="O87:T87" si="90">O85-O86</f>
        <v>4505</v>
      </c>
      <c r="P87" s="25">
        <f t="shared" si="90"/>
        <v>6180</v>
      </c>
      <c r="Q87" s="25">
        <f t="shared" si="90"/>
        <v>5163</v>
      </c>
      <c r="R87" s="25">
        <f t="shared" si="90"/>
        <v>4756</v>
      </c>
      <c r="S87" s="25">
        <f t="shared" si="90"/>
        <v>5653</v>
      </c>
      <c r="T87" s="25">
        <f t="shared" si="90"/>
        <v>2943</v>
      </c>
      <c r="U87" s="25"/>
      <c r="V87" s="25"/>
      <c r="W87" s="25"/>
      <c r="X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15"/>
      <c r="EL87" s="25"/>
      <c r="EM87" s="25">
        <v>4459.8388955223882</v>
      </c>
      <c r="EN87" s="25">
        <v>3371</v>
      </c>
      <c r="EO87" s="25">
        <v>4322</v>
      </c>
      <c r="EP87" s="25">
        <f t="shared" ref="EP87:FE87" si="91">EP85-EP86</f>
        <v>7234</v>
      </c>
      <c r="EQ87" s="25">
        <f t="shared" si="91"/>
        <v>10242</v>
      </c>
      <c r="ER87" s="25">
        <f t="shared" si="91"/>
        <v>11318</v>
      </c>
      <c r="ES87" s="25">
        <f t="shared" si="91"/>
        <v>9786</v>
      </c>
      <c r="ET87" s="25">
        <f>ET85-ET86</f>
        <v>9919</v>
      </c>
      <c r="EU87" s="25">
        <f>EU85-EU86</f>
        <v>8519</v>
      </c>
      <c r="EV87" s="25">
        <f t="shared" si="91"/>
        <v>9343</v>
      </c>
      <c r="EW87" s="25">
        <f t="shared" si="91"/>
        <v>-7869.0324000000001</v>
      </c>
      <c r="EX87" s="25">
        <f t="shared" si="91"/>
        <v>12445.76</v>
      </c>
      <c r="EY87" s="25">
        <f t="shared" si="91"/>
        <v>10708.4</v>
      </c>
      <c r="EZ87" s="127">
        <f t="shared" si="91"/>
        <v>-13958.524799999999</v>
      </c>
      <c r="FA87" s="127">
        <f t="shared" si="91"/>
        <v>-13818.939552</v>
      </c>
      <c r="FB87" s="127">
        <f t="shared" si="91"/>
        <v>9882.2800000000007</v>
      </c>
      <c r="FC87" s="127">
        <f t="shared" si="91"/>
        <v>11224.44</v>
      </c>
      <c r="FD87" s="127">
        <f t="shared" si="91"/>
        <v>-11285.628236576</v>
      </c>
      <c r="FE87" s="127">
        <f t="shared" si="91"/>
        <v>16577</v>
      </c>
      <c r="FF87" s="127">
        <f>FF85-FF86</f>
        <v>17038</v>
      </c>
      <c r="FG87" s="127">
        <f>FG85-FG86</f>
        <v>0</v>
      </c>
      <c r="FH87" s="127">
        <f>FH85-FH86</f>
        <v>14109</v>
      </c>
      <c r="FI87" s="127">
        <f t="shared" ref="FI87:GN87" si="92">FH87*(1+$FT$94)</f>
        <v>14250.09</v>
      </c>
      <c r="FJ87" s="32">
        <f t="shared" si="92"/>
        <v>14392.590900000001</v>
      </c>
      <c r="FK87" s="32">
        <f t="shared" si="92"/>
        <v>14536.516809000001</v>
      </c>
      <c r="FL87" s="32">
        <f t="shared" si="92"/>
        <v>14681.881977090001</v>
      </c>
      <c r="FM87" s="32">
        <f t="shared" si="92"/>
        <v>14828.700796860901</v>
      </c>
      <c r="FN87" s="32">
        <f t="shared" si="92"/>
        <v>14976.98780482951</v>
      </c>
      <c r="FO87" s="32">
        <f t="shared" si="92"/>
        <v>15126.757682877806</v>
      </c>
      <c r="FP87" s="32">
        <f t="shared" si="92"/>
        <v>15278.025259706585</v>
      </c>
      <c r="FQ87" s="32">
        <f t="shared" si="92"/>
        <v>15430.80551230365</v>
      </c>
      <c r="FR87" s="32">
        <f t="shared" si="92"/>
        <v>15585.113567426686</v>
      </c>
      <c r="FS87" s="32">
        <f t="shared" si="92"/>
        <v>15740.964703100954</v>
      </c>
      <c r="FT87" s="32">
        <f t="shared" si="92"/>
        <v>15898.374350131964</v>
      </c>
      <c r="FU87" s="32">
        <f t="shared" si="92"/>
        <v>16057.358093633284</v>
      </c>
      <c r="FV87" s="32">
        <f t="shared" si="92"/>
        <v>16217.931674569616</v>
      </c>
      <c r="FW87" s="32">
        <f t="shared" si="92"/>
        <v>16380.110991315312</v>
      </c>
      <c r="FX87" s="32">
        <f t="shared" si="92"/>
        <v>16543.912101228467</v>
      </c>
      <c r="FY87" s="32">
        <f t="shared" si="92"/>
        <v>16709.351222240752</v>
      </c>
      <c r="FZ87" s="32">
        <f t="shared" si="92"/>
        <v>16876.444734463159</v>
      </c>
      <c r="GA87" s="32">
        <f t="shared" si="92"/>
        <v>17045.20918180779</v>
      </c>
      <c r="GB87" s="32">
        <f t="shared" si="92"/>
        <v>17215.661273625868</v>
      </c>
      <c r="GC87" s="32">
        <f t="shared" si="92"/>
        <v>17387.817886362129</v>
      </c>
      <c r="GD87" s="32">
        <f t="shared" si="92"/>
        <v>17561.696065225751</v>
      </c>
      <c r="GE87" s="32">
        <f t="shared" si="92"/>
        <v>17737.313025878007</v>
      </c>
      <c r="GF87" s="32">
        <f t="shared" si="92"/>
        <v>17914.686156136788</v>
      </c>
      <c r="GG87" s="32">
        <f t="shared" si="92"/>
        <v>18093.833017698154</v>
      </c>
      <c r="GH87" s="32">
        <f t="shared" si="92"/>
        <v>18274.771347875136</v>
      </c>
      <c r="GI87" s="32">
        <f t="shared" si="92"/>
        <v>18457.519061353887</v>
      </c>
      <c r="GJ87" s="32">
        <f t="shared" si="92"/>
        <v>18642.094251967424</v>
      </c>
      <c r="GK87" s="32">
        <f t="shared" si="92"/>
        <v>18828.5151944871</v>
      </c>
      <c r="GL87" s="32">
        <f t="shared" si="92"/>
        <v>19016.80034643197</v>
      </c>
      <c r="GM87" s="32">
        <f t="shared" si="92"/>
        <v>19206.968349896291</v>
      </c>
      <c r="GN87" s="32">
        <f t="shared" si="92"/>
        <v>19399.038033395256</v>
      </c>
      <c r="GO87" s="32">
        <f t="shared" ref="GO87:HT87" si="93">GN87*(1+$FT$94)</f>
        <v>19593.028413729207</v>
      </c>
      <c r="GP87" s="32">
        <f t="shared" si="93"/>
        <v>19788.958697866499</v>
      </c>
      <c r="GQ87" s="32">
        <f t="shared" si="93"/>
        <v>19986.848284845164</v>
      </c>
      <c r="GR87" s="32">
        <f t="shared" si="93"/>
        <v>20186.716767693615</v>
      </c>
      <c r="GS87" s="32">
        <f t="shared" si="93"/>
        <v>20388.583935370552</v>
      </c>
      <c r="GT87" s="32">
        <f t="shared" si="93"/>
        <v>20592.469774724257</v>
      </c>
      <c r="GU87" s="32">
        <f t="shared" si="93"/>
        <v>20798.3944724715</v>
      </c>
      <c r="GV87" s="32">
        <f t="shared" si="93"/>
        <v>21006.378417196214</v>
      </c>
      <c r="GW87" s="32">
        <f t="shared" si="93"/>
        <v>21216.442201368176</v>
      </c>
      <c r="GX87" s="32">
        <f t="shared" si="93"/>
        <v>21428.606623381856</v>
      </c>
      <c r="GY87" s="32">
        <f t="shared" si="93"/>
        <v>21642.892689615674</v>
      </c>
      <c r="GZ87" s="32">
        <f t="shared" si="93"/>
        <v>21859.321616511832</v>
      </c>
      <c r="HA87" s="32">
        <f t="shared" si="93"/>
        <v>22077.91483267695</v>
      </c>
      <c r="HB87" s="32">
        <f t="shared" si="93"/>
        <v>22298.693981003718</v>
      </c>
      <c r="HC87" s="32">
        <f t="shared" si="93"/>
        <v>22521.680920813757</v>
      </c>
      <c r="HD87" s="32">
        <f t="shared" si="93"/>
        <v>22746.897730021894</v>
      </c>
      <c r="HE87" s="32">
        <f t="shared" si="93"/>
        <v>22974.366707322111</v>
      </c>
      <c r="HF87" s="32">
        <f t="shared" si="93"/>
        <v>23204.110374395332</v>
      </c>
      <c r="HG87" s="32">
        <f t="shared" si="93"/>
        <v>23436.151478139287</v>
      </c>
      <c r="HH87" s="32">
        <f t="shared" si="93"/>
        <v>23670.512992920681</v>
      </c>
      <c r="HI87" s="32">
        <f t="shared" si="93"/>
        <v>23907.218122849888</v>
      </c>
      <c r="HJ87" s="32">
        <f t="shared" si="93"/>
        <v>24146.290304078386</v>
      </c>
      <c r="HK87" s="32">
        <f t="shared" si="93"/>
        <v>24387.753207119171</v>
      </c>
      <c r="HL87" s="32">
        <f t="shared" si="93"/>
        <v>24631.630739190361</v>
      </c>
      <c r="HM87" s="32">
        <f t="shared" si="93"/>
        <v>24877.947046582263</v>
      </c>
      <c r="HN87" s="32">
        <f t="shared" si="93"/>
        <v>25126.726517048086</v>
      </c>
      <c r="HO87" s="32">
        <f t="shared" si="93"/>
        <v>25377.993782218568</v>
      </c>
      <c r="HP87" s="32">
        <f t="shared" si="93"/>
        <v>25631.773720040754</v>
      </c>
      <c r="HQ87" s="32">
        <f t="shared" si="93"/>
        <v>25888.09145724116</v>
      </c>
      <c r="HR87" s="32">
        <f t="shared" si="93"/>
        <v>26146.972371813572</v>
      </c>
      <c r="HS87" s="32">
        <f t="shared" si="93"/>
        <v>26408.442095531707</v>
      </c>
      <c r="HT87" s="32">
        <f t="shared" si="93"/>
        <v>26672.526516487025</v>
      </c>
      <c r="HU87" s="32">
        <f t="shared" ref="HU87:ID87" si="94">HT87*(1+$FT$94)</f>
        <v>26939.251781651896</v>
      </c>
      <c r="HV87" s="32">
        <f t="shared" si="94"/>
        <v>27208.644299468415</v>
      </c>
      <c r="HW87" s="32">
        <f t="shared" si="94"/>
        <v>27480.7307424631</v>
      </c>
      <c r="HX87" s="32">
        <f t="shared" si="94"/>
        <v>27755.538049887731</v>
      </c>
      <c r="HY87" s="32">
        <f t="shared" si="94"/>
        <v>28033.093430386609</v>
      </c>
      <c r="HZ87" s="32">
        <f t="shared" si="94"/>
        <v>28313.424364690476</v>
      </c>
      <c r="IA87" s="32">
        <f t="shared" si="94"/>
        <v>28596.558608337382</v>
      </c>
      <c r="IB87" s="32">
        <f t="shared" si="94"/>
        <v>28882.524194420756</v>
      </c>
      <c r="IC87" s="32">
        <f t="shared" si="94"/>
        <v>29171.349436364962</v>
      </c>
      <c r="ID87" s="32">
        <f t="shared" si="94"/>
        <v>29463.062930728611</v>
      </c>
    </row>
    <row r="88" spans="2:238" s="17" customFormat="1" ht="13" x14ac:dyDescent="0.3">
      <c r="B88" s="17" t="s">
        <v>21</v>
      </c>
      <c r="C88" s="49">
        <v>1.9072573266926225</v>
      </c>
      <c r="D88" s="49">
        <v>2.0566674424016758</v>
      </c>
      <c r="E88" s="49">
        <v>2.7278037383177569</v>
      </c>
      <c r="F88" s="49">
        <v>2.3449074074074074</v>
      </c>
      <c r="G88" s="49">
        <v>2.6395520047522396</v>
      </c>
      <c r="H88" s="49">
        <v>2.4104238397498516</v>
      </c>
      <c r="I88" s="49">
        <f t="shared" ref="I88:N88" si="95">I87/I89</f>
        <v>4.3591034019903718</v>
      </c>
      <c r="J88" s="49">
        <f t="shared" si="95"/>
        <v>4.8332718305579414</v>
      </c>
      <c r="K88" s="49">
        <f t="shared" si="95"/>
        <v>5.1590452496960513</v>
      </c>
      <c r="L88" s="49">
        <f t="shared" si="95"/>
        <v>5.3120776031701817</v>
      </c>
      <c r="M88" s="49">
        <f t="shared" si="95"/>
        <v>6.9873181393074386</v>
      </c>
      <c r="N88" s="49">
        <f t="shared" si="95"/>
        <v>6.1340468350880464</v>
      </c>
      <c r="O88" s="49">
        <f t="shared" ref="O88:T88" si="96">O87/O89</f>
        <v>5.2228087303102724</v>
      </c>
      <c r="P88" s="49">
        <f t="shared" si="96"/>
        <v>7.1646965490160897</v>
      </c>
      <c r="Q88" s="49">
        <f t="shared" si="96"/>
        <v>5.9856518256585876</v>
      </c>
      <c r="R88" s="49">
        <f t="shared" si="96"/>
        <v>5.5138020691133525</v>
      </c>
      <c r="S88" s="49">
        <f t="shared" si="96"/>
        <v>6.5537264711307364</v>
      </c>
      <c r="T88" s="49">
        <f t="shared" si="96"/>
        <v>3.4119258808663999</v>
      </c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93"/>
      <c r="CG88" s="93"/>
      <c r="CH88" s="93"/>
      <c r="CI88" s="93"/>
      <c r="CJ88" s="93"/>
      <c r="CK88" s="93"/>
      <c r="CL88" s="93"/>
      <c r="CM88" s="93"/>
      <c r="CN88" s="93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3"/>
      <c r="DC88" s="93"/>
      <c r="DD88" s="93"/>
      <c r="DE88" s="93"/>
      <c r="DF88" s="93"/>
      <c r="DG88" s="93"/>
      <c r="DH88" s="93"/>
      <c r="DI88" s="93"/>
      <c r="DJ88" s="93"/>
      <c r="DK88" s="93"/>
      <c r="DL88" s="93"/>
      <c r="DM88" s="93"/>
      <c r="DN88" s="93"/>
      <c r="DO88" s="93"/>
      <c r="DP88" s="93"/>
      <c r="DQ88" s="93"/>
      <c r="DR88" s="93"/>
      <c r="DS88" s="93"/>
      <c r="DT88" s="93"/>
      <c r="DU88" s="93"/>
      <c r="DV88" s="93"/>
      <c r="DW88" s="93"/>
      <c r="DX88" s="93"/>
      <c r="DY88" s="93"/>
      <c r="DZ88" s="93"/>
      <c r="EA88" s="93"/>
      <c r="EB88" s="93"/>
      <c r="EC88" s="93"/>
      <c r="ED88" s="93"/>
      <c r="EE88" s="93"/>
      <c r="EF88" s="93"/>
      <c r="EG88" s="93"/>
      <c r="EH88" s="93"/>
      <c r="EI88" s="93"/>
      <c r="EJ88" s="93"/>
      <c r="EK88" s="5"/>
      <c r="EL88" s="49"/>
      <c r="EM88" s="49">
        <v>5.3184322359227147</v>
      </c>
      <c r="EN88" s="49">
        <v>3.9639115250291037</v>
      </c>
      <c r="EO88" s="49">
        <v>5.0502424081454445</v>
      </c>
      <c r="EP88" s="49">
        <v>6.1026426057431324</v>
      </c>
      <c r="EQ88" s="49">
        <f t="shared" ref="EQ88:EY88" si="97">EQ87/EQ89</f>
        <v>11.873919426379091</v>
      </c>
      <c r="ER88" s="49">
        <f t="shared" si="97"/>
        <v>13.121364974395485</v>
      </c>
      <c r="ES88" s="49">
        <f>ES87/ES89</f>
        <v>11.345262205286643</v>
      </c>
      <c r="ET88" s="49">
        <f>ET87/ET89</f>
        <v>11.499453894771941</v>
      </c>
      <c r="EU88" s="49">
        <f>EU87/EU89</f>
        <v>9.8763834791372265</v>
      </c>
      <c r="EV88" s="49">
        <f t="shared" si="97"/>
        <v>10.831676352339372</v>
      </c>
      <c r="EW88" s="49">
        <f t="shared" si="97"/>
        <v>-9.1228526343650156</v>
      </c>
      <c r="EX88" s="49">
        <f t="shared" si="97"/>
        <v>14.428817754349916</v>
      </c>
      <c r="EY88" s="49">
        <f t="shared" si="97"/>
        <v>12.414633741987684</v>
      </c>
      <c r="EZ88" s="140"/>
      <c r="FA88" s="140"/>
      <c r="FB88" s="140"/>
      <c r="FC88" s="140"/>
      <c r="FD88" s="140"/>
      <c r="FE88" s="140"/>
      <c r="FF88" s="138"/>
      <c r="FG88" s="91"/>
      <c r="FH88" s="138"/>
      <c r="FI88" s="138"/>
    </row>
    <row r="89" spans="2:238" s="17" customFormat="1" ht="13" x14ac:dyDescent="0.3">
      <c r="B89" s="15" t="s">
        <v>42</v>
      </c>
      <c r="C89" s="25">
        <v>858.56269999999995</v>
      </c>
      <c r="D89" s="25">
        <v>859.4</v>
      </c>
      <c r="E89" s="25">
        <v>856</v>
      </c>
      <c r="F89" s="25">
        <v>864</v>
      </c>
      <c r="G89" s="25">
        <v>860.56269999999995</v>
      </c>
      <c r="H89" s="25">
        <v>858.56269999999995</v>
      </c>
      <c r="I89" s="25">
        <v>862.56269999999995</v>
      </c>
      <c r="J89" s="25">
        <v>862.56269999999995</v>
      </c>
      <c r="K89" s="25">
        <v>862.56269999999995</v>
      </c>
      <c r="L89" s="25">
        <v>862.56269999999995</v>
      </c>
      <c r="M89" s="25">
        <v>862.56269999999995</v>
      </c>
      <c r="N89" s="25">
        <v>862.56269999999995</v>
      </c>
      <c r="O89" s="25">
        <v>862.56269999999995</v>
      </c>
      <c r="P89" s="25">
        <f>O89</f>
        <v>862.56269999999995</v>
      </c>
      <c r="Q89" s="25">
        <f>P89</f>
        <v>862.56269999999995</v>
      </c>
      <c r="R89" s="25">
        <f>+Q89</f>
        <v>862.56269999999995</v>
      </c>
      <c r="S89" s="25">
        <f>+R89</f>
        <v>862.56269999999995</v>
      </c>
      <c r="T89" s="25">
        <f>+S89</f>
        <v>862.56269999999995</v>
      </c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95"/>
      <c r="AX89" s="95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93"/>
      <c r="CW89" s="93"/>
      <c r="CX89" s="93"/>
      <c r="CY89" s="93"/>
      <c r="CZ89" s="93"/>
      <c r="DA89" s="93"/>
      <c r="DB89" s="93"/>
      <c r="DC89" s="93"/>
      <c r="DD89" s="93"/>
      <c r="DE89" s="93"/>
      <c r="DF89" s="93"/>
      <c r="DG89" s="93"/>
      <c r="DH89" s="93"/>
      <c r="DI89" s="93"/>
      <c r="DJ89" s="93"/>
      <c r="DK89" s="93"/>
      <c r="DL89" s="93"/>
      <c r="DM89" s="93"/>
      <c r="DN89" s="93"/>
      <c r="DO89" s="93"/>
      <c r="DP89" s="93"/>
      <c r="DQ89" s="93"/>
      <c r="DR89" s="93"/>
      <c r="DS89" s="93"/>
      <c r="DT89" s="93"/>
      <c r="DU89" s="93"/>
      <c r="DV89" s="93"/>
      <c r="DW89" s="93"/>
      <c r="DX89" s="93"/>
      <c r="DY89" s="93"/>
      <c r="DZ89" s="93"/>
      <c r="EA89" s="93"/>
      <c r="EB89" s="93"/>
      <c r="EC89" s="93"/>
      <c r="ED89" s="93"/>
      <c r="EE89" s="93"/>
      <c r="EF89" s="93"/>
      <c r="EG89" s="93"/>
      <c r="EH89" s="93"/>
      <c r="EI89" s="93"/>
      <c r="EJ89" s="93"/>
      <c r="EK89" s="5"/>
      <c r="EL89" s="25"/>
      <c r="EM89" s="25">
        <v>838.56269999999995</v>
      </c>
      <c r="EN89" s="25">
        <v>859</v>
      </c>
      <c r="EO89" s="25">
        <v>859.56269999999995</v>
      </c>
      <c r="EP89" s="25">
        <v>858</v>
      </c>
      <c r="EQ89" s="25">
        <f>AVERAGE(M89:N89)</f>
        <v>862.56269999999995</v>
      </c>
      <c r="ER89" s="25">
        <f t="shared" ref="ER89:EY89" si="98">EQ89</f>
        <v>862.56269999999995</v>
      </c>
      <c r="ES89" s="25">
        <f t="shared" si="98"/>
        <v>862.56269999999995</v>
      </c>
      <c r="ET89" s="25">
        <f t="shared" si="98"/>
        <v>862.56269999999995</v>
      </c>
      <c r="EU89" s="25">
        <f>ET89</f>
        <v>862.56269999999995</v>
      </c>
      <c r="EV89" s="25">
        <f t="shared" si="98"/>
        <v>862.56269999999995</v>
      </c>
      <c r="EW89" s="25">
        <f t="shared" si="98"/>
        <v>862.56269999999995</v>
      </c>
      <c r="EX89" s="25">
        <f t="shared" si="98"/>
        <v>862.56269999999995</v>
      </c>
      <c r="EY89" s="25">
        <f t="shared" si="98"/>
        <v>862.56269999999995</v>
      </c>
      <c r="EZ89" s="127"/>
      <c r="FA89" s="127"/>
      <c r="FB89" s="127"/>
      <c r="FC89" s="127"/>
      <c r="FD89" s="127"/>
      <c r="FE89" s="127"/>
      <c r="FF89" s="138"/>
      <c r="FG89" s="91"/>
      <c r="FH89" s="138"/>
      <c r="FI89" s="138"/>
    </row>
    <row r="90" spans="2:238" s="17" customFormat="1" ht="13" x14ac:dyDescent="0.3">
      <c r="B90" s="1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95"/>
      <c r="AX90" s="95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93"/>
      <c r="CG90" s="93"/>
      <c r="CH90" s="93"/>
      <c r="CI90" s="93"/>
      <c r="CJ90" s="93"/>
      <c r="CK90" s="93"/>
      <c r="CL90" s="93"/>
      <c r="CM90" s="93"/>
      <c r="CN90" s="93"/>
      <c r="CO90" s="93"/>
      <c r="CP90" s="93"/>
      <c r="CQ90" s="93"/>
      <c r="CR90" s="93"/>
      <c r="CS90" s="93"/>
      <c r="CT90" s="93"/>
      <c r="CU90" s="93"/>
      <c r="CV90" s="93"/>
      <c r="CW90" s="93"/>
      <c r="CX90" s="93"/>
      <c r="CY90" s="93"/>
      <c r="CZ90" s="93"/>
      <c r="DA90" s="93"/>
      <c r="DB90" s="93"/>
      <c r="DC90" s="93"/>
      <c r="DD90" s="93"/>
      <c r="DE90" s="93"/>
      <c r="DF90" s="93"/>
      <c r="DG90" s="93"/>
      <c r="DH90" s="93"/>
      <c r="DI90" s="93"/>
      <c r="DJ90" s="93"/>
      <c r="DK90" s="93"/>
      <c r="DL90" s="93"/>
      <c r="DM90" s="93"/>
      <c r="DN90" s="93"/>
      <c r="DO90" s="93"/>
      <c r="DP90" s="93"/>
      <c r="DQ90" s="93"/>
      <c r="DR90" s="93"/>
      <c r="DS90" s="93"/>
      <c r="DT90" s="93"/>
      <c r="DU90" s="93"/>
      <c r="DV90" s="93"/>
      <c r="DW90" s="93"/>
      <c r="DX90" s="93"/>
      <c r="DY90" s="93"/>
      <c r="DZ90" s="93"/>
      <c r="EA90" s="93"/>
      <c r="EB90" s="93"/>
      <c r="EC90" s="93"/>
      <c r="ED90" s="93"/>
      <c r="EE90" s="93"/>
      <c r="EF90" s="93"/>
      <c r="EG90" s="93"/>
      <c r="EH90" s="93"/>
      <c r="EI90" s="93"/>
      <c r="EJ90" s="93"/>
      <c r="EK90" s="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127"/>
      <c r="FA90" s="127"/>
      <c r="FB90" s="127"/>
      <c r="FC90" s="127"/>
      <c r="FD90" s="127"/>
      <c r="FE90" s="127"/>
      <c r="FF90" s="138"/>
      <c r="FG90" s="91"/>
      <c r="FH90" s="138"/>
      <c r="FI90" s="138"/>
    </row>
    <row r="91" spans="2:238" x14ac:dyDescent="0.25">
      <c r="B91" s="15" t="s">
        <v>182</v>
      </c>
      <c r="C91" s="50"/>
      <c r="D91" s="50"/>
      <c r="E91" s="50"/>
      <c r="F91" s="50"/>
      <c r="G91" s="50"/>
      <c r="H91" s="50"/>
      <c r="I91" s="50"/>
      <c r="J91" s="50"/>
      <c r="K91" s="50"/>
      <c r="L91" s="25">
        <v>16088</v>
      </c>
      <c r="M91" s="25">
        <v>15626</v>
      </c>
      <c r="N91" s="25">
        <v>17336</v>
      </c>
      <c r="O91" s="25">
        <v>11171</v>
      </c>
      <c r="P91" s="25"/>
      <c r="Q91" s="25">
        <v>-31000</v>
      </c>
      <c r="R91" s="25">
        <f>Q91+R87</f>
        <v>-26244</v>
      </c>
      <c r="S91" s="25">
        <v>-27520</v>
      </c>
      <c r="T91" s="25">
        <v>-19200</v>
      </c>
      <c r="U91" s="25"/>
      <c r="V91" s="25"/>
      <c r="W91" s="25"/>
      <c r="X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32"/>
      <c r="EL91" s="25"/>
      <c r="EM91" s="25"/>
      <c r="EN91" s="25"/>
      <c r="EO91" s="25"/>
      <c r="EP91" s="25"/>
      <c r="EQ91" s="25"/>
      <c r="ER91" s="25"/>
      <c r="ES91" s="25">
        <f>N91</f>
        <v>17336</v>
      </c>
      <c r="ET91" s="25">
        <f>Q91+4000</f>
        <v>-27000</v>
      </c>
      <c r="EU91" s="25">
        <f>+T91</f>
        <v>-19200</v>
      </c>
      <c r="EV91" s="25">
        <f>EU91+EU87</f>
        <v>-10681</v>
      </c>
      <c r="EW91" s="25">
        <f t="shared" ref="EW91:EX91" si="99">EV91+EV87</f>
        <v>-1338</v>
      </c>
      <c r="EX91" s="25">
        <f t="shared" si="99"/>
        <v>-9207.0324000000001</v>
      </c>
      <c r="EY91" s="25">
        <f t="shared" ref="EY91:FD91" si="100">EX91+EX87</f>
        <v>3238.7276000000002</v>
      </c>
      <c r="EZ91" s="127">
        <f t="shared" si="100"/>
        <v>13947.1276</v>
      </c>
      <c r="FA91" s="127">
        <f t="shared" si="100"/>
        <v>-11.39719999999943</v>
      </c>
      <c r="FB91" s="127">
        <f t="shared" si="100"/>
        <v>-13830.336751999999</v>
      </c>
      <c r="FC91" s="127">
        <f t="shared" si="100"/>
        <v>-3948.0567519999986</v>
      </c>
      <c r="FD91" s="127">
        <f t="shared" si="100"/>
        <v>7276.3832480000019</v>
      </c>
      <c r="FE91" s="127"/>
      <c r="FF91" s="127"/>
      <c r="FH91" s="1"/>
      <c r="FI91" s="1"/>
    </row>
    <row r="92" spans="2:238" x14ac:dyDescent="0.25">
      <c r="C92" s="50"/>
      <c r="D92" s="50"/>
      <c r="E92" s="50"/>
      <c r="F92" s="50"/>
      <c r="G92" s="50"/>
      <c r="H92" s="50"/>
      <c r="I92" s="50"/>
      <c r="J92" s="50"/>
      <c r="K92" s="50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32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127"/>
      <c r="FA92" s="127"/>
      <c r="FB92" s="127"/>
      <c r="FC92" s="127"/>
      <c r="FD92" s="127"/>
      <c r="FE92" s="127"/>
      <c r="FH92" s="1"/>
      <c r="FI92" s="1"/>
    </row>
    <row r="93" spans="2:238" s="17" customFormat="1" ht="13" x14ac:dyDescent="0.3">
      <c r="B93" s="17" t="s">
        <v>8</v>
      </c>
      <c r="C93" s="29">
        <v>0.77400468384074939</v>
      </c>
      <c r="D93" s="29">
        <v>0.77732962447844223</v>
      </c>
      <c r="E93" s="29">
        <v>0.7801872504474735</v>
      </c>
      <c r="F93" s="29">
        <v>0.77574019738596955</v>
      </c>
      <c r="G93" s="29">
        <v>0.74115379319840291</v>
      </c>
      <c r="H93" s="29">
        <v>0.73606295012003198</v>
      </c>
      <c r="I93" s="73">
        <v>0.73841896282035857</v>
      </c>
      <c r="J93" s="73">
        <v>0.74</v>
      </c>
      <c r="K93" s="29">
        <f t="shared" ref="K93:P93" si="101">K74/K71</f>
        <v>0.78804977580734548</v>
      </c>
      <c r="L93" s="29">
        <f t="shared" si="101"/>
        <v>0.77726207642393652</v>
      </c>
      <c r="M93" s="29">
        <f t="shared" si="101"/>
        <v>0.77973452490471806</v>
      </c>
      <c r="N93" s="29">
        <f t="shared" si="101"/>
        <v>0.6776366600875311</v>
      </c>
      <c r="O93" s="29">
        <f t="shared" si="101"/>
        <v>0.75477185966187965</v>
      </c>
      <c r="P93" s="29">
        <f t="shared" si="101"/>
        <v>0.74683437089738702</v>
      </c>
      <c r="Q93" s="29">
        <f>Q74/Q71</f>
        <v>0.75072898442056157</v>
      </c>
      <c r="R93" s="29">
        <f>R74/R71</f>
        <v>0.74099777918781728</v>
      </c>
      <c r="S93" s="29">
        <f>S74/S71</f>
        <v>0.75677869784055851</v>
      </c>
      <c r="T93" s="29">
        <f>T74/T71</f>
        <v>0.75372249308209249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L93" s="29"/>
      <c r="EM93" s="29">
        <f t="shared" ref="EM93:ES93" si="102">EM74/EM71</f>
        <v>0.77042891122535107</v>
      </c>
      <c r="EN93" s="29">
        <f t="shared" si="102"/>
        <v>0.77576314821625603</v>
      </c>
      <c r="EO93" s="29">
        <f t="shared" si="102"/>
        <v>0.73856784770679496</v>
      </c>
      <c r="EP93" s="29">
        <f t="shared" si="102"/>
        <v>0.77874461434485087</v>
      </c>
      <c r="EQ93" s="29">
        <f t="shared" si="102"/>
        <v>0.78235531980685524</v>
      </c>
      <c r="ER93" s="29">
        <f t="shared" si="102"/>
        <v>0.72815555025686607</v>
      </c>
      <c r="ES93" s="29">
        <f t="shared" si="102"/>
        <v>0.75520306480425281</v>
      </c>
      <c r="ET93" s="111">
        <v>0.75800000000000001</v>
      </c>
      <c r="EU93" s="111">
        <f>+ET93+0.25%</f>
        <v>0.76049999999999995</v>
      </c>
      <c r="EV93" s="29">
        <f t="shared" ref="EV93" si="103">EV74/EV71</f>
        <v>0.75641296936352309</v>
      </c>
      <c r="EW93" s="29"/>
      <c r="EX93" s="29"/>
      <c r="EY93" s="29"/>
      <c r="EZ93" s="141"/>
      <c r="FA93" s="141"/>
      <c r="FB93" s="141"/>
      <c r="FC93" s="141"/>
      <c r="FD93" s="141"/>
      <c r="FE93" s="141">
        <f>FE74/FE71</f>
        <v>0.78487046276769024</v>
      </c>
      <c r="FF93" s="141">
        <f t="shared" ref="FF93" si="104">FF74/FF71</f>
        <v>0.75973312526870596</v>
      </c>
      <c r="FG93" s="91"/>
      <c r="FH93" s="91"/>
      <c r="FI93" s="91"/>
      <c r="FS93" s="88" t="s">
        <v>677</v>
      </c>
      <c r="FT93" s="51">
        <v>0.05</v>
      </c>
    </row>
    <row r="94" spans="2:238" x14ac:dyDescent="0.25">
      <c r="B94" s="15" t="s">
        <v>186</v>
      </c>
      <c r="C94" s="28">
        <v>0.2855581576893052</v>
      </c>
      <c r="D94" s="28">
        <v>0.289221140472879</v>
      </c>
      <c r="E94" s="28">
        <v>0.27419798981137272</v>
      </c>
      <c r="F94" s="28">
        <v>0.28620965590824221</v>
      </c>
      <c r="G94" s="28">
        <v>0.27536830510808208</v>
      </c>
      <c r="H94" s="28">
        <v>0.28927714057081888</v>
      </c>
      <c r="I94" s="28">
        <f t="shared" ref="I94:Q94" si="105">I75/I71</f>
        <v>0.26525087233786548</v>
      </c>
      <c r="J94" s="28">
        <f t="shared" si="105"/>
        <v>0.27613955212028163</v>
      </c>
      <c r="K94" s="28">
        <f t="shared" si="105"/>
        <v>0.26238097637160562</v>
      </c>
      <c r="L94" s="28">
        <f t="shared" si="105"/>
        <v>0.25450612833453495</v>
      </c>
      <c r="M94" s="28">
        <f t="shared" si="105"/>
        <v>0.24322074736058177</v>
      </c>
      <c r="N94" s="28">
        <f t="shared" si="105"/>
        <v>0.16197545696387197</v>
      </c>
      <c r="O94" s="28">
        <f t="shared" si="105"/>
        <v>0.19864570078167607</v>
      </c>
      <c r="P94" s="28">
        <f t="shared" si="105"/>
        <v>0.20323550586541311</v>
      </c>
      <c r="Q94" s="28">
        <f t="shared" si="105"/>
        <v>0.19024410564025659</v>
      </c>
      <c r="R94" s="28">
        <f>R75/R71</f>
        <v>0.19463832487309646</v>
      </c>
      <c r="S94" s="28">
        <f>S75/S71</f>
        <v>0.1845267088813119</v>
      </c>
      <c r="T94" s="28">
        <f>T75/T71</f>
        <v>0.21706856414986603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EL94" s="28"/>
      <c r="EM94" s="28">
        <v>0.3015038747794061</v>
      </c>
      <c r="EN94" s="28">
        <v>0.2874954027215888</v>
      </c>
      <c r="EO94" s="28">
        <v>0.28243343946887067</v>
      </c>
      <c r="EP94" s="28">
        <v>0.27400024467646372</v>
      </c>
      <c r="EQ94" s="28">
        <v>0.27083787651550573</v>
      </c>
      <c r="ER94" s="28">
        <v>0.25664542132384005</v>
      </c>
      <c r="ES94" s="28">
        <f>ES75/ES71</f>
        <v>0.19736134128231064</v>
      </c>
      <c r="ET94" s="28">
        <f>ET75/ET71</f>
        <v>0.19104748462546628</v>
      </c>
      <c r="EU94" s="28">
        <f t="shared" ref="EU94:FE94" si="106">EU75/EU71</f>
        <v>0.20048176478045895</v>
      </c>
      <c r="EV94" s="28">
        <f t="shared" si="106"/>
        <v>0.18925019397615855</v>
      </c>
      <c r="EW94" s="28">
        <f t="shared" si="106"/>
        <v>0.46515147977351001</v>
      </c>
      <c r="EX94" s="28">
        <f t="shared" si="106"/>
        <v>0.17898674647285165</v>
      </c>
      <c r="EY94" s="28">
        <f t="shared" si="106"/>
        <v>0.1823985504192828</v>
      </c>
      <c r="EZ94" s="142">
        <f t="shared" si="106"/>
        <v>0.17801287776508465</v>
      </c>
      <c r="FA94" s="142">
        <f t="shared" si="106"/>
        <v>0.16776189694716864</v>
      </c>
      <c r="FB94" s="142">
        <f t="shared" si="106"/>
        <v>0.18475018293026135</v>
      </c>
      <c r="FC94" s="142">
        <f t="shared" si="106"/>
        <v>0.1778313337789818</v>
      </c>
      <c r="FD94" s="142">
        <f t="shared" si="106"/>
        <v>0.16282025835421207</v>
      </c>
      <c r="FE94" s="142">
        <f t="shared" si="106"/>
        <v>0.16050271762426488</v>
      </c>
      <c r="FF94" s="142">
        <f t="shared" ref="FF94" si="107">FF75/FF71</f>
        <v>0.1503797710227544</v>
      </c>
      <c r="FS94" s="88" t="s">
        <v>287</v>
      </c>
      <c r="FT94" s="51">
        <v>0.01</v>
      </c>
      <c r="FV94" s="103" t="s">
        <v>676</v>
      </c>
    </row>
    <row r="95" spans="2:238" s="17" customFormat="1" ht="13" x14ac:dyDescent="0.3">
      <c r="B95" s="15" t="s">
        <v>185</v>
      </c>
      <c r="C95" s="28">
        <v>0.33497267759562843</v>
      </c>
      <c r="D95" s="28">
        <v>0.33977746870653686</v>
      </c>
      <c r="E95" s="28">
        <v>0.3208040754509156</v>
      </c>
      <c r="F95" s="28">
        <v>0.33428914377167246</v>
      </c>
      <c r="G95" s="28">
        <v>0.34827206388544679</v>
      </c>
      <c r="H95" s="28">
        <v>0.35769538543611629</v>
      </c>
      <c r="I95" s="28">
        <v>0.33413548309469376</v>
      </c>
      <c r="J95" s="28">
        <v>0.35242098296664276</v>
      </c>
      <c r="K95" s="28">
        <f t="shared" ref="K95:Q95" si="108">K76/K71</f>
        <v>5.40077585772583E-2</v>
      </c>
      <c r="L95" s="28">
        <f t="shared" si="108"/>
        <v>6.6240086517664026E-2</v>
      </c>
      <c r="M95" s="28">
        <f t="shared" si="108"/>
        <v>5.4190213343847202E-2</v>
      </c>
      <c r="N95" s="28">
        <f t="shared" si="108"/>
        <v>5.2175405474984983E-2</v>
      </c>
      <c r="O95" s="28">
        <f t="shared" si="108"/>
        <v>4.9491001636066172E-2</v>
      </c>
      <c r="P95" s="28">
        <f t="shared" si="108"/>
        <v>5.2640494642781518E-2</v>
      </c>
      <c r="Q95" s="28">
        <f t="shared" si="108"/>
        <v>4.0281596267599765E-2</v>
      </c>
      <c r="R95" s="28">
        <f>R76/R71</f>
        <v>4.7906091370558374E-2</v>
      </c>
      <c r="S95" s="28">
        <f>S76/S71</f>
        <v>3.5354765383990905E-2</v>
      </c>
      <c r="T95" s="28">
        <f>T76/T71</f>
        <v>8.7978214081785036E-2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93"/>
      <c r="AX95" s="93"/>
      <c r="AY95" s="93"/>
      <c r="AZ95" s="93"/>
      <c r="BA95" s="93"/>
      <c r="BB95" s="93"/>
      <c r="BC95" s="93"/>
      <c r="BD95" s="93"/>
      <c r="BE95" s="93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3"/>
      <c r="CE95" s="93"/>
      <c r="CF95" s="93"/>
      <c r="CG95" s="93"/>
      <c r="CH95" s="93"/>
      <c r="CI95" s="93"/>
      <c r="CJ95" s="93"/>
      <c r="CK95" s="93"/>
      <c r="CL95" s="93"/>
      <c r="CM95" s="93"/>
      <c r="CN95" s="93"/>
      <c r="CO95" s="93"/>
      <c r="CP95" s="93"/>
      <c r="CQ95" s="93"/>
      <c r="CR95" s="93"/>
      <c r="CS95" s="93"/>
      <c r="CT95" s="93"/>
      <c r="CU95" s="93"/>
      <c r="CV95" s="93"/>
      <c r="CW95" s="93"/>
      <c r="CX95" s="93"/>
      <c r="CY95" s="93"/>
      <c r="CZ95" s="93"/>
      <c r="DA95" s="93"/>
      <c r="DB95" s="93"/>
      <c r="DC95" s="93"/>
      <c r="DD95" s="93"/>
      <c r="DE95" s="93"/>
      <c r="DF95" s="93"/>
      <c r="DG95" s="93"/>
      <c r="DH95" s="93"/>
      <c r="DI95" s="93"/>
      <c r="DJ95" s="93"/>
      <c r="DK95" s="93"/>
      <c r="DL95" s="93"/>
      <c r="DM95" s="93"/>
      <c r="DN95" s="93"/>
      <c r="DO95" s="93"/>
      <c r="DP95" s="93"/>
      <c r="DQ95" s="93"/>
      <c r="DR95" s="93"/>
      <c r="DS95" s="93"/>
      <c r="DT95" s="93"/>
      <c r="DU95" s="93"/>
      <c r="DV95" s="93"/>
      <c r="DW95" s="93"/>
      <c r="DX95" s="93"/>
      <c r="DY95" s="93"/>
      <c r="DZ95" s="93"/>
      <c r="EA95" s="93"/>
      <c r="EB95" s="93"/>
      <c r="EC95" s="93"/>
      <c r="ED95" s="93"/>
      <c r="EE95" s="93"/>
      <c r="EF95" s="93"/>
      <c r="EG95" s="93"/>
      <c r="EH95" s="93"/>
      <c r="EI95" s="93"/>
      <c r="EJ95" s="93"/>
      <c r="EK95" s="5"/>
      <c r="EL95" s="28"/>
      <c r="EM95" s="28">
        <v>0.34727230875469961</v>
      </c>
      <c r="EN95" s="28">
        <v>0.33751379183523356</v>
      </c>
      <c r="EO95" s="28">
        <v>0.35305873585800418</v>
      </c>
      <c r="EP95" s="28">
        <v>0.34502251241079884</v>
      </c>
      <c r="EQ95" s="28">
        <v>0.33891166000207307</v>
      </c>
      <c r="ER95" s="28">
        <v>0.32326238327340828</v>
      </c>
      <c r="ES95" s="28">
        <f>ES76/ES71</f>
        <v>5.019047414071412E-2</v>
      </c>
      <c r="ET95" s="28">
        <f>ET76/ET71</f>
        <v>4.3855227341465873E-2</v>
      </c>
      <c r="EU95" s="28">
        <f t="shared" ref="EU95:FE95" si="109">EU76/EU71</f>
        <v>6.0727718378903776E-2</v>
      </c>
      <c r="EV95" s="28">
        <f t="shared" si="109"/>
        <v>5.5065716771296229E-2</v>
      </c>
      <c r="EW95" s="28">
        <f t="shared" si="109"/>
        <v>0.13534411301149962</v>
      </c>
      <c r="EX95" s="28">
        <f t="shared" si="109"/>
        <v>0.19816160752458314</v>
      </c>
      <c r="EY95" s="28">
        <f t="shared" si="109"/>
        <v>0.20848257553411151</v>
      </c>
      <c r="EZ95" s="142">
        <f t="shared" si="109"/>
        <v>0.20346972686675666</v>
      </c>
      <c r="FA95" s="142">
        <f t="shared" si="109"/>
        <v>0.19175279776969315</v>
      </c>
      <c r="FB95" s="142">
        <f t="shared" si="109"/>
        <v>6.4260117450608834E-2</v>
      </c>
      <c r="FC95" s="142">
        <f t="shared" si="109"/>
        <v>9.2495514196249518E-2</v>
      </c>
      <c r="FD95" s="142">
        <f t="shared" si="109"/>
        <v>8.4687794878469405E-2</v>
      </c>
      <c r="FE95" s="142">
        <f t="shared" si="109"/>
        <v>4.6739708176877046E-2</v>
      </c>
      <c r="FF95" s="142">
        <f t="shared" ref="FF95" si="110">FF76/FF71</f>
        <v>4.2403783379245552E-2</v>
      </c>
      <c r="FG95" s="91"/>
      <c r="FH95" s="91"/>
      <c r="FI95" s="91"/>
      <c r="FS95" s="88" t="s">
        <v>288</v>
      </c>
      <c r="FT95" s="51">
        <v>0.11</v>
      </c>
      <c r="FV95" s="3" t="s">
        <v>672</v>
      </c>
    </row>
    <row r="96" spans="2:238" x14ac:dyDescent="0.25">
      <c r="B96" s="30" t="s">
        <v>1</v>
      </c>
      <c r="C96" s="28">
        <v>0.16963309914129587</v>
      </c>
      <c r="D96" s="28">
        <v>0.17044506258692629</v>
      </c>
      <c r="E96" s="28">
        <v>0.16060856395428885</v>
      </c>
      <c r="F96" s="28">
        <v>0.18138170178714325</v>
      </c>
      <c r="G96" s="28">
        <v>0.16253614209004544</v>
      </c>
      <c r="H96" s="28">
        <v>0.18624966657775407</v>
      </c>
      <c r="I96" s="28">
        <v>0.1539525929491036</v>
      </c>
      <c r="J96" s="28">
        <v>0.18283130835135153</v>
      </c>
      <c r="K96" s="28">
        <f t="shared" ref="K96:Q96" si="111">K77/K71</f>
        <v>0.15431507884528187</v>
      </c>
      <c r="L96" s="28">
        <f t="shared" si="111"/>
        <v>0.15888608507570295</v>
      </c>
      <c r="M96" s="28">
        <f t="shared" si="111"/>
        <v>0.15924124939764314</v>
      </c>
      <c r="N96" s="28">
        <f t="shared" si="111"/>
        <v>0.20381017763666009</v>
      </c>
      <c r="O96" s="28">
        <f t="shared" si="111"/>
        <v>0.18664788220323578</v>
      </c>
      <c r="P96" s="28">
        <f t="shared" si="111"/>
        <v>0.20065218311946809</v>
      </c>
      <c r="Q96" s="28">
        <f t="shared" si="111"/>
        <v>0.18820294926268433</v>
      </c>
      <c r="R96" s="28">
        <f>R77/R71</f>
        <v>0.21240482233502539</v>
      </c>
      <c r="S96" s="28">
        <f>S77/S71</f>
        <v>0.18148238350381554</v>
      </c>
      <c r="T96" s="28">
        <f>T77/T71</f>
        <v>0.24399349936311326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EL96" s="28"/>
      <c r="EM96" s="28">
        <v>0.15852067827821684</v>
      </c>
      <c r="EN96" s="28">
        <v>0.17006252298639205</v>
      </c>
      <c r="EO96" s="28">
        <v>0.17458166790867827</v>
      </c>
      <c r="EP96" s="28">
        <v>0.16883613144566781</v>
      </c>
      <c r="EQ96" s="28">
        <v>0.17008854048286479</v>
      </c>
      <c r="ER96" s="28">
        <v>0.16445100677776556</v>
      </c>
      <c r="ES96" s="28">
        <f>ES77/ES71</f>
        <v>0.19036652820523858</v>
      </c>
      <c r="ET96" s="28">
        <f>ET77/ET71</f>
        <v>0.19909265046879726</v>
      </c>
      <c r="EU96" s="28">
        <f t="shared" ref="EU96:FE96" si="112">EU77/EU71</f>
        <v>0.21184972319655157</v>
      </c>
      <c r="EV96" s="28">
        <f t="shared" si="112"/>
        <v>0.19576309045167054</v>
      </c>
      <c r="EW96" s="28">
        <f t="shared" si="112"/>
        <v>0</v>
      </c>
      <c r="EX96" s="28">
        <f t="shared" si="112"/>
        <v>5.6541256947413424E-2</v>
      </c>
      <c r="EY96" s="28">
        <f t="shared" si="112"/>
        <v>8.097003918924614E-2</v>
      </c>
      <c r="EZ96" s="142">
        <f t="shared" si="112"/>
        <v>0</v>
      </c>
      <c r="FA96" s="142">
        <f t="shared" si="112"/>
        <v>0</v>
      </c>
      <c r="FB96" s="142">
        <f t="shared" si="112"/>
        <v>0.21186138576708757</v>
      </c>
      <c r="FC96" s="142">
        <f t="shared" si="112"/>
        <v>0.21271505470921437</v>
      </c>
      <c r="FD96" s="142">
        <f t="shared" si="112"/>
        <v>0</v>
      </c>
      <c r="FE96" s="142">
        <f t="shared" si="112"/>
        <v>0.20837405483257035</v>
      </c>
      <c r="FF96" s="142">
        <f t="shared" ref="FF96" si="113">FF77/FF71</f>
        <v>0.21827677903218101</v>
      </c>
      <c r="FS96" s="112" t="s">
        <v>700</v>
      </c>
      <c r="FT96" s="25">
        <f>NPV(FT95,EX87:IG87)+Main!J5-Main!J6+EW87</f>
        <v>45319.790335418555</v>
      </c>
      <c r="FV96" s="3" t="s">
        <v>673</v>
      </c>
    </row>
    <row r="97" spans="2:178" s="17" customFormat="1" ht="13" x14ac:dyDescent="0.3">
      <c r="B97" s="17" t="s">
        <v>149</v>
      </c>
      <c r="C97" s="29">
        <v>0.22115534738485559</v>
      </c>
      <c r="D97" s="29">
        <v>0.20584144645340752</v>
      </c>
      <c r="E97" s="29">
        <v>0.25478452430125292</v>
      </c>
      <c r="F97" s="29">
        <v>0.21665777540677514</v>
      </c>
      <c r="G97" s="29">
        <v>0.24280600302905136</v>
      </c>
      <c r="H97" s="29">
        <v>0.21599093091491064</v>
      </c>
      <c r="I97" s="29">
        <v>0.26308506798219228</v>
      </c>
      <c r="J97" s="29">
        <v>0.22392567642135672</v>
      </c>
      <c r="K97" s="29">
        <f t="shared" ref="K97:R97" si="114">K80/K71</f>
        <v>0.31734596201319965</v>
      </c>
      <c r="L97" s="29">
        <f t="shared" si="114"/>
        <v>0.29762977649603461</v>
      </c>
      <c r="M97" s="29">
        <f t="shared" si="114"/>
        <v>0.37608971831602928</v>
      </c>
      <c r="N97" s="29">
        <f t="shared" si="114"/>
        <v>0.31931691409937357</v>
      </c>
      <c r="O97" s="29">
        <f t="shared" si="114"/>
        <v>0.31998727504090163</v>
      </c>
      <c r="P97" s="29">
        <f t="shared" si="114"/>
        <v>0.29030618726972429</v>
      </c>
      <c r="Q97" s="29">
        <f t="shared" si="114"/>
        <v>0.33200033325002082</v>
      </c>
      <c r="R97" s="29">
        <f t="shared" si="114"/>
        <v>0.28604854060913704</v>
      </c>
      <c r="S97" s="29">
        <f t="shared" ref="S97:T97" si="115">S80/S71</f>
        <v>0.35541484007144014</v>
      </c>
      <c r="T97" s="29">
        <f t="shared" si="115"/>
        <v>0.20468221548732815</v>
      </c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3"/>
      <c r="DC97" s="93"/>
      <c r="DD97" s="93"/>
      <c r="DE97" s="93"/>
      <c r="DF97" s="93"/>
      <c r="DG97" s="93"/>
      <c r="DH97" s="93"/>
      <c r="DI97" s="93"/>
      <c r="DJ97" s="93"/>
      <c r="DK97" s="93"/>
      <c r="DL97" s="93"/>
      <c r="DM97" s="93"/>
      <c r="DN97" s="93"/>
      <c r="DO97" s="93"/>
      <c r="DP97" s="93"/>
      <c r="DQ97" s="93"/>
      <c r="DR97" s="93"/>
      <c r="DS97" s="93"/>
      <c r="DT97" s="93"/>
      <c r="DU97" s="93"/>
      <c r="DV97" s="93"/>
      <c r="DW97" s="93"/>
      <c r="DX97" s="93"/>
      <c r="DY97" s="93"/>
      <c r="DZ97" s="93"/>
      <c r="EA97" s="93"/>
      <c r="EB97" s="93"/>
      <c r="EC97" s="93"/>
      <c r="ED97" s="93"/>
      <c r="EE97" s="93"/>
      <c r="EF97" s="93"/>
      <c r="EG97" s="93"/>
      <c r="EH97" s="93"/>
      <c r="EI97" s="93"/>
      <c r="EJ97" s="93"/>
      <c r="EK97" s="5"/>
      <c r="EL97" s="29"/>
      <c r="EM97" s="29">
        <v>0.20037596869485153</v>
      </c>
      <c r="EN97" s="29">
        <v>0.21305627068775285</v>
      </c>
      <c r="EO97" s="29">
        <v>0.22918501456540885</v>
      </c>
      <c r="EP97" s="29">
        <v>0.2429030652968388</v>
      </c>
      <c r="EQ97" s="29">
        <f>EQ80/EQ71</f>
        <v>0.33571989248590661</v>
      </c>
      <c r="ER97" s="29">
        <f>ER80/ER71</f>
        <v>0.34740857954175969</v>
      </c>
      <c r="ES97" s="29">
        <f>ES80/ES71</f>
        <v>0.31728472117598949</v>
      </c>
      <c r="ET97" s="29">
        <f>ET80/ET71</f>
        <v>0.30613973182780524</v>
      </c>
      <c r="EU97" s="29">
        <f t="shared" ref="EU97:FE97" si="116">EU80/EU71</f>
        <v>0.28185352660271312</v>
      </c>
      <c r="EV97" s="29">
        <f t="shared" si="116"/>
        <v>0.31633396816439774</v>
      </c>
      <c r="EW97" s="29">
        <f t="shared" si="116"/>
        <v>-0.60049559278500964</v>
      </c>
      <c r="EX97" s="29">
        <f t="shared" si="116"/>
        <v>0.35006412997007269</v>
      </c>
      <c r="EY97" s="29">
        <f t="shared" si="116"/>
        <v>0.29686907420673381</v>
      </c>
      <c r="EZ97" s="141">
        <f t="shared" si="116"/>
        <v>-0.3814826046318413</v>
      </c>
      <c r="FA97" s="141">
        <f t="shared" si="116"/>
        <v>-0.35951469471686176</v>
      </c>
      <c r="FB97" s="141">
        <f t="shared" si="116"/>
        <v>0.24396330137526032</v>
      </c>
      <c r="FC97" s="141">
        <f t="shared" si="116"/>
        <v>0.25980719839566546</v>
      </c>
      <c r="FD97" s="141">
        <f t="shared" si="116"/>
        <v>-0.24750805323268149</v>
      </c>
      <c r="FE97" s="141">
        <f t="shared" si="116"/>
        <v>0.36925398213397803</v>
      </c>
      <c r="FF97" s="141">
        <f t="shared" ref="FF97" si="117">FF80/FF71</f>
        <v>0.34867279183452493</v>
      </c>
      <c r="FG97" s="91"/>
      <c r="FH97" s="91"/>
      <c r="FI97" s="91"/>
      <c r="FS97" s="112" t="s">
        <v>701</v>
      </c>
      <c r="FT97" s="50">
        <f>FT96/Main!J3</f>
        <v>56.621214982225894</v>
      </c>
      <c r="FV97" s="3" t="s">
        <v>674</v>
      </c>
    </row>
    <row r="98" spans="2:178" x14ac:dyDescent="0.25">
      <c r="B98" s="15" t="s">
        <v>10</v>
      </c>
      <c r="C98" s="28">
        <v>0.1923497267759563</v>
      </c>
      <c r="D98" s="28">
        <v>0.18463143254520167</v>
      </c>
      <c r="E98" s="28">
        <v>0.23647253201156546</v>
      </c>
      <c r="F98" s="28">
        <v>0.20892237930114696</v>
      </c>
      <c r="G98" s="28">
        <v>0.22924411400247832</v>
      </c>
      <c r="H98" s="28">
        <v>0.20905574819951986</v>
      </c>
      <c r="I98" s="28">
        <v>0.26633377451570206</v>
      </c>
      <c r="J98" s="28">
        <v>0.21662116376542248</v>
      </c>
      <c r="K98" s="28"/>
      <c r="L98" s="28"/>
      <c r="M98" s="28"/>
      <c r="N98" s="28"/>
      <c r="O98" s="28"/>
      <c r="P98" s="28"/>
      <c r="Q98" s="28"/>
      <c r="R98" s="28">
        <f>R83/R71</f>
        <v>0.24175126903553298</v>
      </c>
      <c r="S98" s="28">
        <f>S83/S71</f>
        <v>0.30646208800129893</v>
      </c>
      <c r="T98" s="28">
        <f>T83/T71</f>
        <v>0.15772829094742391</v>
      </c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EL98" s="28"/>
      <c r="EM98" s="28">
        <v>0.23098438178172287</v>
      </c>
      <c r="EN98" s="28">
        <v>0.18826774549466715</v>
      </c>
      <c r="EO98" s="28">
        <v>0.2189892283720615</v>
      </c>
      <c r="EP98" s="28">
        <v>0.24071284416750166</v>
      </c>
      <c r="EQ98" s="28">
        <v>0.27114359566035856</v>
      </c>
      <c r="ER98" s="28">
        <v>0.30398791565649136</v>
      </c>
      <c r="ES98" s="28">
        <f t="shared" ref="ES98:FE98" si="118">ES83/ES71</f>
        <v>0.32236403159503263</v>
      </c>
      <c r="ET98" s="28">
        <f t="shared" si="118"/>
        <v>0.2725073092045569</v>
      </c>
      <c r="EU98" s="28">
        <f t="shared" si="118"/>
        <v>0.23378269872797194</v>
      </c>
      <c r="EV98" s="28">
        <f t="shared" si="118"/>
        <v>0.27944322964425949</v>
      </c>
      <c r="EW98" s="28">
        <f t="shared" si="118"/>
        <v>-0.60440079388243528</v>
      </c>
      <c r="EX98" s="28">
        <f t="shared" si="118"/>
        <v>0.35006412997007269</v>
      </c>
      <c r="EY98" s="28">
        <f t="shared" si="118"/>
        <v>0.29686907420673381</v>
      </c>
      <c r="EZ98" s="142">
        <f t="shared" si="118"/>
        <v>-0.3814826046318413</v>
      </c>
      <c r="FA98" s="142">
        <f t="shared" si="118"/>
        <v>-0.35951469471686176</v>
      </c>
      <c r="FB98" s="142">
        <f t="shared" si="118"/>
        <v>0.24396330137526032</v>
      </c>
      <c r="FC98" s="142">
        <f t="shared" si="118"/>
        <v>0.25980719839566546</v>
      </c>
      <c r="FD98" s="142">
        <f t="shared" si="118"/>
        <v>-0.24158902218462239</v>
      </c>
      <c r="FE98" s="142">
        <f t="shared" si="118"/>
        <v>0.35958369768358966</v>
      </c>
      <c r="FF98" s="142">
        <f t="shared" ref="FF98" si="119">FF83/FF71</f>
        <v>0.33671438352892469</v>
      </c>
      <c r="FS98" s="112" t="s">
        <v>702</v>
      </c>
      <c r="FT98" s="104">
        <f>FT97/Main!J2-1</f>
        <v>-0.80132907023780386</v>
      </c>
      <c r="FV98" s="3" t="s">
        <v>675</v>
      </c>
    </row>
    <row r="99" spans="2:178" x14ac:dyDescent="0.25">
      <c r="B99" s="15" t="s">
        <v>11</v>
      </c>
      <c r="C99" s="28">
        <v>0.26704545454545453</v>
      </c>
      <c r="D99" s="28">
        <v>0.24896421845574387</v>
      </c>
      <c r="E99" s="28">
        <v>0.2430858806404658</v>
      </c>
      <c r="F99" s="28">
        <v>0.25853814235556977</v>
      </c>
      <c r="G99" s="28">
        <v>0.24204204204204205</v>
      </c>
      <c r="H99" s="28">
        <v>0.25486443381180224</v>
      </c>
      <c r="I99" s="28">
        <v>0.24734583239213914</v>
      </c>
      <c r="J99" s="28">
        <v>0.25700000000000001</v>
      </c>
      <c r="K99" s="28">
        <f t="shared" ref="K99:R99" si="120">K84/K83</f>
        <v>0.25301204819277107</v>
      </c>
      <c r="L99" s="28">
        <f t="shared" si="120"/>
        <v>0.24658897100625354</v>
      </c>
      <c r="M99" s="28">
        <f t="shared" si="120"/>
        <v>0.23280132085855806</v>
      </c>
      <c r="N99" s="28">
        <f t="shared" si="120"/>
        <v>0.22530864197530864</v>
      </c>
      <c r="O99" s="28">
        <f t="shared" si="120"/>
        <v>0.25570211596592468</v>
      </c>
      <c r="P99" s="28">
        <f t="shared" si="120"/>
        <v>0</v>
      </c>
      <c r="Q99" s="28">
        <f t="shared" si="120"/>
        <v>0.2261760345059981</v>
      </c>
      <c r="R99" s="28">
        <f t="shared" si="120"/>
        <v>0.19553805774278216</v>
      </c>
      <c r="S99" s="28">
        <f t="shared" ref="S99:T99" si="121">S84/S83</f>
        <v>0.23841059602649006</v>
      </c>
      <c r="T99" s="28">
        <f t="shared" si="121"/>
        <v>0.14480646059593427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EL99" s="28"/>
      <c r="EM99" s="28">
        <v>0.2649132500765265</v>
      </c>
      <c r="EN99" s="28">
        <v>0.25766751318616915</v>
      </c>
      <c r="EO99" s="28">
        <v>0.24825986078886311</v>
      </c>
      <c r="EP99" s="28">
        <v>0.25182342708389949</v>
      </c>
      <c r="EQ99" s="28">
        <v>0.27200000000000002</v>
      </c>
      <c r="ER99" s="28">
        <v>0.28000000000000003</v>
      </c>
      <c r="ES99" s="28">
        <f>ES84/ES83</f>
        <v>0.22145813860328481</v>
      </c>
      <c r="ET99" s="28">
        <f>ET84/ET83</f>
        <v>0.21235664076951535</v>
      </c>
      <c r="EU99" s="28">
        <f>EU84/EU83</f>
        <v>0.2096890817064353</v>
      </c>
      <c r="EV99" s="28">
        <f t="shared" ref="EV99:FD99" si="122">EV84/EV83</f>
        <v>0.19697097181320994</v>
      </c>
      <c r="EW99" s="28">
        <f t="shared" si="122"/>
        <v>0.24</v>
      </c>
      <c r="EX99" s="28">
        <f t="shared" si="122"/>
        <v>0.24</v>
      </c>
      <c r="EY99" s="28">
        <f t="shared" si="122"/>
        <v>0.24</v>
      </c>
      <c r="EZ99" s="142">
        <f t="shared" si="122"/>
        <v>0.23999999999999996</v>
      </c>
      <c r="FA99" s="142">
        <f t="shared" si="122"/>
        <v>0.24</v>
      </c>
      <c r="FB99" s="142">
        <f t="shared" si="122"/>
        <v>0.24</v>
      </c>
      <c r="FC99" s="142">
        <f t="shared" si="122"/>
        <v>0.24</v>
      </c>
      <c r="FD99" s="142">
        <f t="shared" si="122"/>
        <v>0.24</v>
      </c>
      <c r="FE99" s="142">
        <f>FE84/FE83</f>
        <v>0.17137135227922945</v>
      </c>
      <c r="FF99" s="142">
        <f t="shared" ref="FF99" si="123">FF84/FF83</f>
        <v>0.14541757306346353</v>
      </c>
      <c r="FN99" s="44"/>
      <c r="FO99" s="44"/>
    </row>
    <row r="100" spans="2:178" s="17" customFormat="1" ht="13" x14ac:dyDescent="0.3">
      <c r="B100" s="17" t="s">
        <v>20</v>
      </c>
      <c r="C100" s="29">
        <v>0.12782982045277128</v>
      </c>
      <c r="D100" s="29">
        <v>0.12291376912378303</v>
      </c>
      <c r="E100" s="29">
        <v>0.1607462481068429</v>
      </c>
      <c r="F100" s="29">
        <v>0.13510269405174713</v>
      </c>
      <c r="G100" s="29">
        <v>0.15637477626325211</v>
      </c>
      <c r="H100" s="29">
        <v>0.1380034675913577</v>
      </c>
      <c r="I100" s="29">
        <v>0.17350499338226447</v>
      </c>
      <c r="J100" s="29">
        <v>0.1330572899949157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3"/>
      <c r="CF100" s="93"/>
      <c r="CG100" s="93"/>
      <c r="CH100" s="93"/>
      <c r="CI100" s="93"/>
      <c r="CJ100" s="93"/>
      <c r="CK100" s="93"/>
      <c r="CL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B100" s="93"/>
      <c r="DC100" s="93"/>
      <c r="DD100" s="93"/>
      <c r="DE100" s="93"/>
      <c r="DF100" s="93"/>
      <c r="DG100" s="93"/>
      <c r="DH100" s="93"/>
      <c r="DI100" s="93"/>
      <c r="DJ100" s="93"/>
      <c r="DK100" s="93"/>
      <c r="DL100" s="93"/>
      <c r="DM100" s="93"/>
      <c r="DN100" s="93"/>
      <c r="DO100" s="93"/>
      <c r="DP100" s="93"/>
      <c r="DQ100" s="93"/>
      <c r="DR100" s="93"/>
      <c r="DS100" s="93"/>
      <c r="DT100" s="93"/>
      <c r="DU100" s="93"/>
      <c r="DV100" s="93"/>
      <c r="DW100" s="93"/>
      <c r="DX100" s="93"/>
      <c r="DY100" s="93"/>
      <c r="DZ100" s="93"/>
      <c r="EA100" s="93"/>
      <c r="EB100" s="93"/>
      <c r="EC100" s="93"/>
      <c r="ED100" s="93"/>
      <c r="EE100" s="93"/>
      <c r="EF100" s="93"/>
      <c r="EG100" s="93"/>
      <c r="EH100" s="93"/>
      <c r="EI100" s="93"/>
      <c r="EJ100" s="93"/>
      <c r="EK100" s="5"/>
      <c r="EL100" s="29"/>
      <c r="EM100" s="29">
        <v>0.17109793967322903</v>
      </c>
      <c r="EN100" s="29">
        <v>0.12522986392055904</v>
      </c>
      <c r="EO100" s="29">
        <v>0.14704288327349097</v>
      </c>
      <c r="EP100" s="29">
        <v>0.15265901938106788</v>
      </c>
      <c r="EQ100" s="29">
        <v>0.16483039249577047</v>
      </c>
      <c r="ER100" s="29">
        <v>0.17561949193815188</v>
      </c>
      <c r="ES100" s="29">
        <f t="shared" ref="ES100:FD100" si="124">ES87/ES71</f>
        <v>0.2106192023760842</v>
      </c>
      <c r="ET100" s="29">
        <f t="shared" si="124"/>
        <v>0.2</v>
      </c>
      <c r="EU100" s="29">
        <f t="shared" si="124"/>
        <v>0.1800067616109538</v>
      </c>
      <c r="EV100" s="29">
        <f t="shared" si="124"/>
        <v>0.21967506054407374</v>
      </c>
      <c r="EW100" s="29">
        <f t="shared" si="124"/>
        <v>-0.45934460335065086</v>
      </c>
      <c r="EX100" s="29">
        <f t="shared" si="124"/>
        <v>0.26604873877725527</v>
      </c>
      <c r="EY100" s="29">
        <f t="shared" si="124"/>
        <v>0.22562049639711768</v>
      </c>
      <c r="EZ100" s="141">
        <f t="shared" si="124"/>
        <v>-0.28992677952019941</v>
      </c>
      <c r="FA100" s="141">
        <f t="shared" si="124"/>
        <v>-0.27323116798481495</v>
      </c>
      <c r="FB100" s="141">
        <f t="shared" si="124"/>
        <v>0.18541210904519786</v>
      </c>
      <c r="FC100" s="141">
        <f t="shared" si="124"/>
        <v>0.19745347078070577</v>
      </c>
      <c r="FD100" s="141">
        <f t="shared" si="124"/>
        <v>-0.18360765686031302</v>
      </c>
      <c r="FE100" s="141">
        <f>FE87/FE71</f>
        <v>0.28422749172710593</v>
      </c>
      <c r="FF100" s="141">
        <f>FF87/FF71</f>
        <v>0.27130141239789174</v>
      </c>
      <c r="FG100" s="91"/>
      <c r="FH100" s="138"/>
      <c r="FI100" s="138"/>
    </row>
    <row r="101" spans="2:178" x14ac:dyDescent="0.25">
      <c r="B101" s="15" t="s">
        <v>7</v>
      </c>
      <c r="C101" s="28">
        <v>0.11280249804839969</v>
      </c>
      <c r="D101" s="28">
        <v>0.11328233657858136</v>
      </c>
      <c r="E101" s="28">
        <v>0.19454770755885997</v>
      </c>
      <c r="F101" s="28">
        <v>0.10089357161909843</v>
      </c>
      <c r="G101" s="28">
        <v>0.18718160539721879</v>
      </c>
      <c r="H101" s="28">
        <v>9.8826353694318483E-2</v>
      </c>
      <c r="I101" s="28">
        <v>0.16827096618938756</v>
      </c>
      <c r="J101" s="28">
        <v>0.13251987160344253</v>
      </c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EL101" s="28"/>
      <c r="EM101" s="28">
        <v>-4.0346087028221136E-2</v>
      </c>
      <c r="EN101" s="28">
        <v>0.11305627068775286</v>
      </c>
      <c r="EO101" s="28">
        <v>0.14230065713705034</v>
      </c>
      <c r="EP101" s="28">
        <v>0.15410220583112316</v>
      </c>
      <c r="EQ101" s="28">
        <v>0.16469033218166365</v>
      </c>
      <c r="ER101" s="28">
        <v>0.17550225150897455</v>
      </c>
      <c r="ES101" s="28"/>
      <c r="ET101" s="28"/>
      <c r="EU101" s="28"/>
      <c r="EV101" s="28"/>
      <c r="EW101" s="28"/>
      <c r="EX101" s="28"/>
      <c r="EY101" s="28"/>
      <c r="EZ101" s="142"/>
      <c r="FA101" s="142"/>
      <c r="FB101" s="142"/>
      <c r="FC101" s="142"/>
      <c r="FD101" s="142"/>
      <c r="FE101" s="142"/>
    </row>
    <row r="102" spans="2:178" x14ac:dyDescent="0.25">
      <c r="G102" s="23"/>
      <c r="H102" s="23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spans="2:178" s="17" customFormat="1" ht="13" x14ac:dyDescent="0.3">
      <c r="B103" s="17" t="s">
        <v>184</v>
      </c>
      <c r="C103" s="75" t="s">
        <v>12</v>
      </c>
      <c r="D103" s="75" t="s">
        <v>12</v>
      </c>
      <c r="E103" s="29">
        <v>0.13395784543325528</v>
      </c>
      <c r="F103" s="29">
        <v>4.2837273991655156E-2</v>
      </c>
      <c r="G103" s="75" t="s">
        <v>12</v>
      </c>
      <c r="H103" s="75" t="s">
        <v>12</v>
      </c>
      <c r="I103" s="29">
        <v>0.14429299187663491</v>
      </c>
      <c r="J103" s="29">
        <v>7.3267007224671055E-2</v>
      </c>
      <c r="K103" s="29">
        <f t="shared" ref="K103:T103" si="125">K71/I71-1</f>
        <v>0.19414029599326188</v>
      </c>
      <c r="L103" s="29">
        <f t="shared" si="125"/>
        <v>0.17486367727248653</v>
      </c>
      <c r="M103" s="29">
        <f t="shared" si="125"/>
        <v>0.1500327472416747</v>
      </c>
      <c r="N103" s="29">
        <f t="shared" si="125"/>
        <v>5.0198269646719584E-2</v>
      </c>
      <c r="O103" s="29">
        <f t="shared" si="125"/>
        <v>-3.6053795943400413E-2</v>
      </c>
      <c r="P103" s="29">
        <f t="shared" si="125"/>
        <v>1.3172573586200942E-2</v>
      </c>
      <c r="Q103" s="29">
        <f t="shared" si="125"/>
        <v>9.0983457553172054E-2</v>
      </c>
      <c r="R103" s="29">
        <f t="shared" si="125"/>
        <v>6.7886333799178411E-2</v>
      </c>
      <c r="S103" s="29">
        <f t="shared" si="125"/>
        <v>2.6243439140214875E-2</v>
      </c>
      <c r="T103" s="29">
        <f t="shared" si="125"/>
        <v>-9.7120875634517767E-2</v>
      </c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>
        <f t="shared" ref="BP103:BQ103" si="126">BP71/BL71-1</f>
        <v>2.3527361449982021E-3</v>
      </c>
      <c r="BQ103" s="79">
        <f t="shared" si="126"/>
        <v>-1.7546658159196538E-3</v>
      </c>
      <c r="BR103" s="79">
        <f t="shared" ref="BR103:BW103" si="127">BR71/BN71-1</f>
        <v>6.0909583107742193E-2</v>
      </c>
      <c r="BS103" s="79">
        <f t="shared" si="127"/>
        <v>0.1108959690195388</v>
      </c>
      <c r="BT103" s="79">
        <f t="shared" si="127"/>
        <v>9.2236807789272346E-2</v>
      </c>
      <c r="BU103" s="79">
        <f t="shared" si="127"/>
        <v>1.0866091403004097E-2</v>
      </c>
      <c r="BV103" s="79">
        <f t="shared" si="127"/>
        <v>-0.33154716339202173</v>
      </c>
      <c r="BW103" s="79">
        <f t="shared" si="127"/>
        <v>-1.8301378545396929E-2</v>
      </c>
      <c r="BX103" s="79">
        <f t="shared" ref="BX103" si="128">BX71/BT71-1</f>
        <v>-8.5402737981534527E-2</v>
      </c>
      <c r="BY103" s="79">
        <f t="shared" ref="BY103" si="129">BY71/BU71-1</f>
        <v>-0.10322478659500478</v>
      </c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79">
        <f>+EC71/DY71-1</f>
        <v>0.23067484662576687</v>
      </c>
      <c r="ED103" s="79">
        <f t="shared" ref="ED103:EF103" si="130">+ED71/DZ71-1</f>
        <v>6.2295992777276155E-2</v>
      </c>
      <c r="EE103" s="79">
        <f t="shared" si="130"/>
        <v>4.2999535778234677E-2</v>
      </c>
      <c r="EF103" s="79">
        <f t="shared" si="130"/>
        <v>4.8446621899410847E-2</v>
      </c>
      <c r="EG103" s="79">
        <f>+EG71/EC71-1</f>
        <v>-7.2717729165444833E-2</v>
      </c>
      <c r="EH103" s="48"/>
      <c r="EI103" s="48"/>
      <c r="EJ103" s="48"/>
      <c r="EL103" s="29"/>
      <c r="EM103" s="29"/>
      <c r="EN103" s="29">
        <v>4.3121307450318502E-2</v>
      </c>
      <c r="EO103" s="29"/>
      <c r="EP103" s="29">
        <f t="shared" ref="EP103:EQ103" si="131">EP71/EO71-1</f>
        <v>0.20286565950816349</v>
      </c>
      <c r="EQ103" s="29">
        <f t="shared" si="131"/>
        <v>0.18388668299963395</v>
      </c>
      <c r="ER103" s="29">
        <f>ER71/EQ71-1</f>
        <v>9.733355533883592E-2</v>
      </c>
      <c r="ES103" s="29">
        <f>ES71/ER71-1</f>
        <v>7.1532308759456598E-3</v>
      </c>
      <c r="ET103" s="29">
        <f>ET71/ES71-1</f>
        <v>6.7408475561199221E-2</v>
      </c>
      <c r="EU103" s="29">
        <f>EU71/ET71-1</f>
        <v>-4.5750579695533866E-2</v>
      </c>
      <c r="EV103" s="29">
        <f t="shared" ref="EV103:EX103" si="132">EV71/EU71-1</f>
        <v>-0.10131851413599291</v>
      </c>
      <c r="EW103" s="29">
        <f t="shared" si="132"/>
        <v>-0.59721144576896856</v>
      </c>
      <c r="EX103" s="29">
        <f t="shared" si="132"/>
        <v>1.7307220827739185</v>
      </c>
      <c r="EY103" s="29">
        <f t="shared" ref="EY103" si="133">EY71/EX71-1</f>
        <v>1.4578879863189398E-2</v>
      </c>
      <c r="EZ103" s="141">
        <f t="shared" ref="EZ103" si="134">EZ71/EY71-1</f>
        <v>1.4390459736210115E-2</v>
      </c>
      <c r="FA103" s="141">
        <f t="shared" ref="FA103" si="135">FA71/EZ71-1</f>
        <v>5.0493301485097009E-2</v>
      </c>
      <c r="FB103" s="141">
        <f t="shared" ref="FB103" si="136">FB71/FA71-1</f>
        <v>5.3839765896868119E-2</v>
      </c>
      <c r="FC103" s="141">
        <f t="shared" ref="FC103" si="137">FC71/FB71-1</f>
        <v>6.6549090977316538E-2</v>
      </c>
      <c r="FD103" s="141">
        <f t="shared" ref="FD103" si="138">FD71/FC71-1</f>
        <v>8.1272209126411754E-2</v>
      </c>
      <c r="FE103" s="141">
        <f t="shared" ref="FE103" si="139">FE71/FD71-1</f>
        <v>-5.1133960238180509E-2</v>
      </c>
      <c r="FF103" s="141">
        <f t="shared" ref="FF103:FJ103" si="140">FF71/FE71-1</f>
        <v>7.6779315192976982E-2</v>
      </c>
      <c r="FG103" s="141">
        <f t="shared" si="140"/>
        <v>-4.0158596200697394E-2</v>
      </c>
      <c r="FH103" s="141">
        <f t="shared" si="140"/>
        <v>-6.0883558121401782E-3</v>
      </c>
      <c r="FI103" s="141">
        <f t="shared" si="140"/>
        <v>2.9059286954199459E-2</v>
      </c>
      <c r="FJ103" s="141">
        <f t="shared" si="140"/>
        <v>7.8262209462638399E-3</v>
      </c>
    </row>
    <row r="104" spans="2:178" s="17" customFormat="1" ht="13" x14ac:dyDescent="0.3">
      <c r="B104" s="17" t="s">
        <v>336</v>
      </c>
      <c r="C104" s="75"/>
      <c r="D104" s="75"/>
      <c r="E104" s="29"/>
      <c r="F104" s="29"/>
      <c r="G104" s="75"/>
      <c r="H104" s="75"/>
      <c r="I104" s="29"/>
      <c r="J104" s="29"/>
      <c r="K104" s="29"/>
      <c r="L104" s="29"/>
      <c r="M104" s="29"/>
      <c r="N104" s="29"/>
      <c r="O104" s="29"/>
      <c r="P104" s="29"/>
      <c r="Q104" s="29">
        <v>0.1</v>
      </c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79"/>
      <c r="BS104" s="48"/>
      <c r="BT104" s="79">
        <v>0.14000000000000001</v>
      </c>
      <c r="BU104" s="48"/>
      <c r="BV104" s="79">
        <v>0.09</v>
      </c>
      <c r="BW104" s="79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L104" s="29"/>
      <c r="EM104" s="29"/>
      <c r="EN104" s="29"/>
      <c r="EO104" s="29"/>
      <c r="EP104" s="29"/>
      <c r="EQ104" s="29">
        <v>0.17399999999999999</v>
      </c>
      <c r="ER104" s="29">
        <v>0.10199999999999999</v>
      </c>
      <c r="ES104" s="29">
        <v>5.8999999999999997E-2</v>
      </c>
      <c r="ET104" s="29">
        <v>0.1</v>
      </c>
      <c r="EU104" s="29">
        <v>0</v>
      </c>
      <c r="EV104" s="29"/>
      <c r="EW104" s="29"/>
      <c r="EX104" s="29"/>
      <c r="EY104" s="29"/>
      <c r="EZ104" s="141"/>
      <c r="FA104" s="141"/>
      <c r="FB104" s="141"/>
      <c r="FC104" s="141"/>
      <c r="FD104" s="141"/>
      <c r="FE104" s="141"/>
      <c r="FF104" s="138"/>
      <c r="FG104" s="91"/>
      <c r="FH104" s="141">
        <v>0.01</v>
      </c>
      <c r="FI104" s="141">
        <v>7.0000000000000007E-2</v>
      </c>
    </row>
    <row r="105" spans="2:178" s="17" customFormat="1" ht="13" x14ac:dyDescent="0.3">
      <c r="B105" s="17" t="s">
        <v>337</v>
      </c>
      <c r="C105" s="75"/>
      <c r="D105" s="75"/>
      <c r="E105" s="29"/>
      <c r="F105" s="29"/>
      <c r="G105" s="75"/>
      <c r="H105" s="75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79"/>
      <c r="BS105" s="48"/>
      <c r="BT105" s="79">
        <v>0.15</v>
      </c>
      <c r="BU105" s="48"/>
      <c r="BV105" s="79">
        <v>0.1</v>
      </c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79">
        <v>0.02</v>
      </c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L105" s="29"/>
      <c r="EM105" s="29"/>
      <c r="EN105" s="29"/>
      <c r="EO105" s="29"/>
      <c r="EP105" s="29"/>
      <c r="EQ105" s="29"/>
      <c r="ER105" s="29">
        <v>0.114</v>
      </c>
      <c r="ES105" s="29">
        <v>4.7E-2</v>
      </c>
      <c r="ET105" s="29">
        <v>0.11</v>
      </c>
      <c r="EU105" s="29">
        <v>-0.02</v>
      </c>
      <c r="EV105" s="29"/>
      <c r="EW105" s="29"/>
      <c r="EX105" s="29"/>
      <c r="EY105" s="29"/>
      <c r="EZ105" s="141"/>
      <c r="FA105" s="141"/>
      <c r="FB105" s="141"/>
      <c r="FC105" s="141"/>
      <c r="FD105" s="141"/>
      <c r="FE105" s="141"/>
      <c r="FF105" s="138"/>
      <c r="FG105" s="91"/>
      <c r="FH105" s="138"/>
      <c r="FI105" s="143">
        <v>0.08</v>
      </c>
    </row>
    <row r="106" spans="2:178" s="17" customFormat="1" ht="13" x14ac:dyDescent="0.3">
      <c r="B106" s="17" t="s">
        <v>720</v>
      </c>
      <c r="C106" s="75"/>
      <c r="D106" s="75"/>
      <c r="E106" s="29"/>
      <c r="F106" s="29"/>
      <c r="G106" s="75"/>
      <c r="H106" s="75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79"/>
      <c r="BS106" s="48"/>
      <c r="BT106" s="79"/>
      <c r="BU106" s="48"/>
      <c r="BV106" s="79"/>
      <c r="BW106" s="48"/>
      <c r="BX106" s="48"/>
      <c r="BY106" s="79">
        <v>0.1</v>
      </c>
      <c r="BZ106" s="79">
        <v>7.0000000000000007E-2</v>
      </c>
      <c r="CA106" s="79">
        <v>0.06</v>
      </c>
      <c r="CB106" s="79">
        <v>7.0000000000000007E-2</v>
      </c>
      <c r="CC106" s="79">
        <v>0.1</v>
      </c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141"/>
      <c r="FA106" s="141"/>
      <c r="FB106" s="141"/>
      <c r="FC106" s="141"/>
      <c r="FD106" s="141"/>
      <c r="FE106" s="141"/>
      <c r="FF106" s="138"/>
      <c r="FG106" s="91"/>
      <c r="FH106" s="138"/>
      <c r="FI106" s="138"/>
    </row>
    <row r="107" spans="2:178" s="17" customFormat="1" ht="13" x14ac:dyDescent="0.3">
      <c r="B107" s="17" t="s">
        <v>721</v>
      </c>
      <c r="C107" s="75"/>
      <c r="D107" s="75"/>
      <c r="E107" s="29"/>
      <c r="F107" s="29"/>
      <c r="G107" s="75"/>
      <c r="H107" s="75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79"/>
      <c r="BS107" s="48"/>
      <c r="BT107" s="79"/>
      <c r="BU107" s="48"/>
      <c r="BV107" s="79"/>
      <c r="BW107" s="48"/>
      <c r="BX107" s="48"/>
      <c r="BY107" s="79">
        <v>0.02</v>
      </c>
      <c r="BZ107" s="79">
        <v>-0.06</v>
      </c>
      <c r="CA107" s="79">
        <v>-0.09</v>
      </c>
      <c r="CB107" s="79">
        <v>-0.1</v>
      </c>
      <c r="CC107" s="79">
        <v>-0.02</v>
      </c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8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8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141"/>
      <c r="FA107" s="141"/>
      <c r="FB107" s="141"/>
      <c r="FC107" s="141"/>
      <c r="FD107" s="141"/>
      <c r="FE107" s="141"/>
      <c r="FF107" s="138"/>
      <c r="FG107" s="91"/>
      <c r="FH107" s="138"/>
      <c r="FI107" s="138"/>
    </row>
    <row r="108" spans="2:178" s="17" customFormat="1" ht="13" x14ac:dyDescent="0.3">
      <c r="B108" s="17" t="s">
        <v>722</v>
      </c>
      <c r="C108" s="75"/>
      <c r="D108" s="75"/>
      <c r="E108" s="29"/>
      <c r="F108" s="29"/>
      <c r="G108" s="75"/>
      <c r="H108" s="75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79"/>
      <c r="BS108" s="48"/>
      <c r="BT108" s="79"/>
      <c r="BU108" s="48"/>
      <c r="BV108" s="79"/>
      <c r="BW108" s="48"/>
      <c r="BX108" s="48"/>
      <c r="BY108" s="79">
        <v>0.05</v>
      </c>
      <c r="BZ108" s="79">
        <v>0.08</v>
      </c>
      <c r="CA108" s="79">
        <v>0.12</v>
      </c>
      <c r="CB108" s="79">
        <v>0.04</v>
      </c>
      <c r="CC108" s="79">
        <v>0.14000000000000001</v>
      </c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8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141"/>
      <c r="FA108" s="141"/>
      <c r="FB108" s="141"/>
      <c r="FC108" s="141"/>
      <c r="FD108" s="141"/>
      <c r="FE108" s="141"/>
      <c r="FF108" s="138"/>
      <c r="FG108" s="91"/>
      <c r="FH108" s="138"/>
      <c r="FI108" s="138"/>
    </row>
    <row r="109" spans="2:178" s="17" customFormat="1" ht="13" x14ac:dyDescent="0.3">
      <c r="B109" s="3" t="s">
        <v>697</v>
      </c>
      <c r="C109" s="75"/>
      <c r="D109" s="75"/>
      <c r="E109" s="29"/>
      <c r="F109" s="29"/>
      <c r="G109" s="75"/>
      <c r="H109" s="75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79"/>
      <c r="BS109" s="48"/>
      <c r="BT109" s="79"/>
      <c r="BU109" s="48"/>
      <c r="BV109" s="79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8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L109" s="29"/>
      <c r="EM109" s="29"/>
      <c r="EN109" s="29"/>
      <c r="EO109" s="29"/>
      <c r="EP109" s="29"/>
      <c r="EQ109" s="29"/>
      <c r="ER109" s="81">
        <f t="shared" ref="ER109:FF109" si="141">ER6/EQ6-1</f>
        <v>6.8937921573110739E-2</v>
      </c>
      <c r="ES109" s="81">
        <f t="shared" si="141"/>
        <v>3.2727272727272716E-2</v>
      </c>
      <c r="ET109" s="81">
        <f t="shared" si="141"/>
        <v>4.1321458160729074E-2</v>
      </c>
      <c r="EU109" s="81">
        <f t="shared" si="141"/>
        <v>3.5803083043262074E-2</v>
      </c>
      <c r="EV109" s="81">
        <f t="shared" si="141"/>
        <v>-6.5098415746519422E-2</v>
      </c>
      <c r="EW109" s="81">
        <f t="shared" si="141"/>
        <v>-1</v>
      </c>
      <c r="EX109" s="81" t="e">
        <f t="shared" si="141"/>
        <v>#DIV/0!</v>
      </c>
      <c r="EY109" s="81">
        <f t="shared" si="141"/>
        <v>2.7682321496754536E-2</v>
      </c>
      <c r="EZ109" s="144">
        <f t="shared" si="141"/>
        <v>4.4584804012632873E-3</v>
      </c>
      <c r="FA109" s="144">
        <f t="shared" si="141"/>
        <v>6.0939522840761873E-2</v>
      </c>
      <c r="FB109" s="144">
        <f t="shared" si="141"/>
        <v>5.2819663557918561E-2</v>
      </c>
      <c r="FC109" s="144">
        <f t="shared" si="141"/>
        <v>6.6230648232469491E-2</v>
      </c>
      <c r="FD109" s="144">
        <f t="shared" si="141"/>
        <v>5.5128503765820014E-3</v>
      </c>
      <c r="FE109" s="144">
        <f t="shared" si="141"/>
        <v>6.4942084942084977E-2</v>
      </c>
      <c r="FF109" s="144">
        <f t="shared" si="141"/>
        <v>0.2877963889493147</v>
      </c>
      <c r="FG109" s="91"/>
      <c r="FH109" s="138"/>
      <c r="FI109" s="138"/>
    </row>
    <row r="110" spans="2:178" s="3" customFormat="1" x14ac:dyDescent="0.25">
      <c r="B110" s="3" t="s">
        <v>338</v>
      </c>
      <c r="C110" s="80"/>
      <c r="D110" s="80"/>
      <c r="E110" s="81"/>
      <c r="F110" s="81"/>
      <c r="G110" s="80"/>
      <c r="H110" s="80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82"/>
      <c r="BS110" s="52"/>
      <c r="BT110" s="82">
        <v>0.1</v>
      </c>
      <c r="BU110" s="52"/>
      <c r="BV110" s="82">
        <v>0.09</v>
      </c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L110" s="81"/>
      <c r="EM110" s="81"/>
      <c r="EN110" s="81"/>
      <c r="EO110" s="81"/>
      <c r="EP110" s="81"/>
      <c r="EQ110" s="81"/>
      <c r="ER110" s="81">
        <v>5.6000000000000001E-2</v>
      </c>
      <c r="ES110" s="81">
        <v>0.105</v>
      </c>
      <c r="ET110" s="81">
        <v>0.09</v>
      </c>
      <c r="EU110" s="81">
        <v>0.08</v>
      </c>
      <c r="EV110" s="81"/>
      <c r="EW110" s="81"/>
      <c r="EX110" s="81"/>
      <c r="EY110" s="81"/>
      <c r="EZ110" s="144"/>
      <c r="FA110" s="144"/>
      <c r="FB110" s="144"/>
      <c r="FC110" s="144"/>
      <c r="FD110" s="144"/>
      <c r="FE110" s="144"/>
      <c r="FF110" s="145"/>
      <c r="FG110" s="2"/>
      <c r="FH110" s="145"/>
      <c r="FI110" s="145"/>
    </row>
    <row r="111" spans="2:178" x14ac:dyDescent="0.25">
      <c r="B111" s="15" t="s">
        <v>187</v>
      </c>
      <c r="C111" s="74" t="s">
        <v>12</v>
      </c>
      <c r="D111" s="74" t="s">
        <v>12</v>
      </c>
      <c r="E111" s="28">
        <v>8.8846364133406297E-2</v>
      </c>
      <c r="F111" s="28">
        <v>3.1978841067564323E-2</v>
      </c>
      <c r="G111" s="74" t="s">
        <v>12</v>
      </c>
      <c r="H111" s="74" t="s">
        <v>12</v>
      </c>
      <c r="I111" s="28">
        <v>0.10224999999999995</v>
      </c>
      <c r="J111" s="28">
        <v>6.1689216876127606E-2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EL111" s="28"/>
      <c r="EM111" s="28"/>
      <c r="EN111" s="28">
        <v>-5.3441913729481705E-3</v>
      </c>
      <c r="EO111" s="28"/>
      <c r="EP111" s="28">
        <f t="shared" ref="EP111:ER113" si="142">EP75/EO75-1</f>
        <v>0.14020148716718639</v>
      </c>
      <c r="EQ111" s="28">
        <f t="shared" si="142"/>
        <v>0.14189544546123911</v>
      </c>
      <c r="ER111" s="28">
        <f t="shared" si="142"/>
        <v>-0.14084377302873985</v>
      </c>
      <c r="ES111" s="28">
        <v>0.10866670124251376</v>
      </c>
      <c r="ET111" s="28"/>
      <c r="EU111" s="28"/>
      <c r="EV111" s="28"/>
      <c r="EW111" s="28"/>
      <c r="EX111" s="28"/>
      <c r="EY111" s="28"/>
      <c r="EZ111" s="142"/>
      <c r="FA111" s="142"/>
      <c r="FB111" s="142"/>
      <c r="FC111" s="142"/>
      <c r="FD111" s="142"/>
      <c r="FE111" s="142"/>
    </row>
    <row r="112" spans="2:178" s="17" customFormat="1" ht="13" x14ac:dyDescent="0.3">
      <c r="B112" s="15" t="s">
        <v>188</v>
      </c>
      <c r="C112" s="75" t="s">
        <v>12</v>
      </c>
      <c r="D112" s="75" t="s">
        <v>12</v>
      </c>
      <c r="E112" s="29">
        <v>8.599394080633882E-2</v>
      </c>
      <c r="F112" s="29">
        <v>2.5992632009824046E-2</v>
      </c>
      <c r="G112" s="75" t="s">
        <v>12</v>
      </c>
      <c r="H112" s="75" t="s">
        <v>12</v>
      </c>
      <c r="I112" s="29">
        <v>9.7845423996837377E-2</v>
      </c>
      <c r="J112" s="29">
        <v>5.8237668615354954E-2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3"/>
      <c r="DC112" s="93"/>
      <c r="DD112" s="93"/>
      <c r="DE112" s="93"/>
      <c r="DF112" s="93"/>
      <c r="DG112" s="93"/>
      <c r="DH112" s="93"/>
      <c r="DI112" s="93"/>
      <c r="DJ112" s="93"/>
      <c r="DK112" s="93"/>
      <c r="DL112" s="93"/>
      <c r="DM112" s="93"/>
      <c r="DN112" s="93"/>
      <c r="DO112" s="93"/>
      <c r="DP112" s="93"/>
      <c r="DQ112" s="93"/>
      <c r="DR112" s="93"/>
      <c r="DS112" s="93"/>
      <c r="DT112" s="93"/>
      <c r="DU112" s="93"/>
      <c r="DV112" s="93"/>
      <c r="DW112" s="93"/>
      <c r="DX112" s="93"/>
      <c r="DY112" s="93"/>
      <c r="DZ112" s="93"/>
      <c r="EA112" s="93"/>
      <c r="EB112" s="93"/>
      <c r="EC112" s="93"/>
      <c r="ED112" s="93"/>
      <c r="EE112" s="93"/>
      <c r="EF112" s="93"/>
      <c r="EG112" s="93"/>
      <c r="EH112" s="93"/>
      <c r="EI112" s="93"/>
      <c r="EJ112" s="93"/>
      <c r="EK112" s="5"/>
      <c r="EL112" s="28"/>
      <c r="EM112" s="28"/>
      <c r="EN112" s="28">
        <v>1.3809102960671726E-2</v>
      </c>
      <c r="EO112" s="28"/>
      <c r="EP112" s="28">
        <f t="shared" si="142"/>
        <v>0.10743405275779372</v>
      </c>
      <c r="EQ112" s="28">
        <f t="shared" si="142"/>
        <v>0.10090948462537885</v>
      </c>
      <c r="ER112" s="28">
        <f t="shared" si="142"/>
        <v>-3.5011801730920555E-2</v>
      </c>
      <c r="ES112" s="29">
        <v>0.11175549765689508</v>
      </c>
      <c r="ET112" s="29"/>
      <c r="EU112" s="29"/>
      <c r="EV112" s="29"/>
      <c r="EW112" s="29"/>
      <c r="EX112" s="29"/>
      <c r="EY112" s="29"/>
      <c r="EZ112" s="141"/>
      <c r="FA112" s="141"/>
      <c r="FB112" s="141"/>
      <c r="FC112" s="141"/>
      <c r="FD112" s="141"/>
      <c r="FE112" s="141"/>
      <c r="FF112" s="138"/>
      <c r="FG112" s="91"/>
      <c r="FH112" s="138"/>
      <c r="FI112" s="138"/>
    </row>
    <row r="113" spans="2:165" s="17" customFormat="1" ht="13" x14ac:dyDescent="0.3">
      <c r="B113" s="30" t="s">
        <v>189</v>
      </c>
      <c r="C113" s="75" t="s">
        <v>12</v>
      </c>
      <c r="D113" s="75" t="s">
        <v>12</v>
      </c>
      <c r="E113" s="29">
        <v>7.3630924988495217E-2</v>
      </c>
      <c r="F113" s="29">
        <v>0.1097511219910241</v>
      </c>
      <c r="G113" s="75" t="s">
        <v>12</v>
      </c>
      <c r="H113" s="75" t="s">
        <v>12</v>
      </c>
      <c r="I113" s="29">
        <v>8.3862770012706589E-2</v>
      </c>
      <c r="J113" s="29">
        <v>5.0101322750746524E-2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3"/>
      <c r="DD113" s="93"/>
      <c r="DE113" s="93"/>
      <c r="DF113" s="93"/>
      <c r="DG113" s="93"/>
      <c r="DH113" s="93"/>
      <c r="DI113" s="93"/>
      <c r="DJ113" s="93"/>
      <c r="DK113" s="93"/>
      <c r="DL113" s="93"/>
      <c r="DM113" s="93"/>
      <c r="DN113" s="93"/>
      <c r="DO113" s="93"/>
      <c r="DP113" s="93"/>
      <c r="DQ113" s="93"/>
      <c r="DR113" s="93"/>
      <c r="DS113" s="93"/>
      <c r="DT113" s="93"/>
      <c r="DU113" s="93"/>
      <c r="DV113" s="93"/>
      <c r="DW113" s="93"/>
      <c r="DX113" s="93"/>
      <c r="DY113" s="93"/>
      <c r="DZ113" s="93"/>
      <c r="EA113" s="93"/>
      <c r="EB113" s="93"/>
      <c r="EC113" s="93"/>
      <c r="ED113" s="93"/>
      <c r="EE113" s="93"/>
      <c r="EF113" s="93"/>
      <c r="EG113" s="93"/>
      <c r="EH113" s="93"/>
      <c r="EI113" s="93"/>
      <c r="EJ113" s="93"/>
      <c r="EK113" s="5"/>
      <c r="EL113" s="28"/>
      <c r="EM113" s="28"/>
      <c r="EN113" s="28">
        <v>0.11907066795740562</v>
      </c>
      <c r="EO113" s="28"/>
      <c r="EP113" s="28">
        <f t="shared" si="142"/>
        <v>0.10690725649980592</v>
      </c>
      <c r="EQ113" s="28">
        <f t="shared" si="142"/>
        <v>0.15495179666958814</v>
      </c>
      <c r="ER113" s="28">
        <f t="shared" si="142"/>
        <v>0.2725755046289271</v>
      </c>
      <c r="ES113" s="29">
        <v>0.11157806678724591</v>
      </c>
      <c r="ET113" s="29"/>
      <c r="EU113" s="29"/>
      <c r="EV113" s="29"/>
      <c r="EW113" s="29"/>
      <c r="EX113" s="29"/>
      <c r="EY113" s="29"/>
      <c r="EZ113" s="141"/>
      <c r="FA113" s="141"/>
      <c r="FB113" s="141"/>
      <c r="FC113" s="141"/>
      <c r="FD113" s="141"/>
      <c r="FE113" s="141"/>
      <c r="FF113" s="138"/>
      <c r="FG113" s="91"/>
      <c r="FH113" s="138"/>
      <c r="FI113" s="138"/>
    </row>
    <row r="114" spans="2:165" s="17" customFormat="1" ht="13" x14ac:dyDescent="0.3">
      <c r="B114" s="17" t="s">
        <v>149</v>
      </c>
      <c r="C114" s="74" t="s">
        <v>12</v>
      </c>
      <c r="D114" s="74" t="s">
        <v>12</v>
      </c>
      <c r="E114" s="29">
        <v>0.3063889869396399</v>
      </c>
      <c r="F114" s="29">
        <v>9.763513513513522E-2</v>
      </c>
      <c r="G114" s="74" t="s">
        <v>12</v>
      </c>
      <c r="H114" s="74" t="s">
        <v>12</v>
      </c>
      <c r="I114" s="29">
        <v>0.23986390700311877</v>
      </c>
      <c r="J114" s="29">
        <v>0.10487106107533983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3"/>
      <c r="DD114" s="93"/>
      <c r="DE114" s="93"/>
      <c r="DF114" s="93"/>
      <c r="DG114" s="93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5"/>
      <c r="EL114" s="29"/>
      <c r="EM114" s="29"/>
      <c r="EN114" s="29">
        <v>0.10913268236645601</v>
      </c>
      <c r="EO114" s="29"/>
      <c r="EP114" s="29">
        <f>EP80/EP71</f>
        <v>0.28534820196558813</v>
      </c>
      <c r="EQ114" s="29"/>
      <c r="ER114" s="29"/>
      <c r="ES114" s="29">
        <f>ES80/ER80-1</f>
        <v>-8.0177200973357454E-2</v>
      </c>
      <c r="ET114" s="29">
        <f>ET80/ES80-1</f>
        <v>2.9914529914529808E-2</v>
      </c>
      <c r="EU114" s="29">
        <f>EU80/ET80-1</f>
        <v>-0.12145162352631234</v>
      </c>
      <c r="EV114" s="29"/>
      <c r="EW114" s="29"/>
      <c r="EX114" s="29"/>
      <c r="EY114" s="29"/>
      <c r="EZ114" s="141"/>
      <c r="FA114" s="141"/>
      <c r="FB114" s="141"/>
      <c r="FC114" s="141"/>
      <c r="FD114" s="141"/>
      <c r="FE114" s="141"/>
      <c r="FF114" s="138"/>
      <c r="FG114" s="91"/>
      <c r="FH114" s="138"/>
      <c r="FI114" s="138"/>
    </row>
    <row r="115" spans="2:165" x14ac:dyDescent="0.25">
      <c r="B115" s="15" t="s">
        <v>194</v>
      </c>
      <c r="C115" s="74" t="s">
        <v>12</v>
      </c>
      <c r="D115" s="74" t="s">
        <v>12</v>
      </c>
      <c r="E115" s="28">
        <v>0.5</v>
      </c>
      <c r="F115" s="28">
        <v>-0.38461538461538458</v>
      </c>
      <c r="G115" s="74" t="s">
        <v>12</v>
      </c>
      <c r="H115" s="74" t="s">
        <v>12</v>
      </c>
      <c r="I115" s="28" t="s">
        <v>22</v>
      </c>
      <c r="J115" s="28"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EL115" s="28"/>
      <c r="EM115" s="28"/>
      <c r="EN115" s="28">
        <v>0.18918918918918926</v>
      </c>
      <c r="EO115" s="28"/>
      <c r="EP115" s="28">
        <v>-0.62790697674418605</v>
      </c>
      <c r="EQ115" s="28">
        <v>0</v>
      </c>
      <c r="ER115" s="28">
        <v>0</v>
      </c>
      <c r="ES115" s="28">
        <v>0</v>
      </c>
      <c r="ET115" s="28"/>
      <c r="EU115" s="28"/>
      <c r="EV115" s="28"/>
      <c r="EW115" s="28"/>
      <c r="EX115" s="28"/>
      <c r="EY115" s="28"/>
      <c r="EZ115" s="142"/>
      <c r="FA115" s="142"/>
      <c r="FB115" s="142"/>
      <c r="FC115" s="142"/>
      <c r="FD115" s="142"/>
      <c r="FE115" s="142"/>
    </row>
    <row r="116" spans="2:165" x14ac:dyDescent="0.25">
      <c r="B116" s="15" t="s">
        <v>14</v>
      </c>
      <c r="C116" s="74" t="s">
        <v>12</v>
      </c>
      <c r="D116" s="74" t="s">
        <v>12</v>
      </c>
      <c r="E116" s="28">
        <v>-0.31908831908831914</v>
      </c>
      <c r="F116" s="28">
        <v>-0.64157706093189959</v>
      </c>
      <c r="G116" s="74" t="s">
        <v>12</v>
      </c>
      <c r="H116" s="74" t="s">
        <v>12</v>
      </c>
      <c r="I116" s="28" t="s">
        <v>12</v>
      </c>
      <c r="J116" s="28">
        <v>-0.58432078257659692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EL116" s="28"/>
      <c r="EM116" s="28"/>
      <c r="EN116" s="28">
        <v>-1.7546366171712531</v>
      </c>
      <c r="EO116" s="28"/>
      <c r="EP116" s="28">
        <v>-0.77084256183093414</v>
      </c>
      <c r="EQ116" s="28">
        <v>-0.74361496486317979</v>
      </c>
      <c r="ER116" s="28">
        <v>-2.1573365350255624</v>
      </c>
      <c r="ES116" s="28">
        <v>1.8537461678109746</v>
      </c>
      <c r="ET116" s="28"/>
      <c r="EU116" s="28"/>
      <c r="EV116" s="28"/>
      <c r="EW116" s="28"/>
      <c r="EX116" s="28"/>
      <c r="EY116" s="28"/>
      <c r="EZ116" s="142"/>
      <c r="FA116" s="142"/>
      <c r="FB116" s="142"/>
      <c r="FC116" s="142"/>
      <c r="FD116" s="142"/>
      <c r="FE116" s="142"/>
    </row>
    <row r="117" spans="2:165" x14ac:dyDescent="0.25">
      <c r="B117" s="15" t="s">
        <v>15</v>
      </c>
      <c r="C117" s="74" t="s">
        <v>12</v>
      </c>
      <c r="D117" s="74" t="s">
        <v>12</v>
      </c>
      <c r="E117" s="28">
        <v>0.39407467532467533</v>
      </c>
      <c r="F117" s="28">
        <v>0.18003766478342742</v>
      </c>
      <c r="G117" s="74" t="s">
        <v>12</v>
      </c>
      <c r="H117" s="74" t="s">
        <v>12</v>
      </c>
      <c r="I117" s="28">
        <v>0.32942942942942932</v>
      </c>
      <c r="J117" s="28">
        <v>0.13307229097301021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EL117" s="28"/>
      <c r="EM117" s="28"/>
      <c r="EN117" s="28">
        <v>-0.1497862525757121</v>
      </c>
      <c r="EO117" s="28"/>
      <c r="EP117" s="28">
        <v>0.27706643758613492</v>
      </c>
      <c r="EQ117" s="28">
        <v>0.2896293957283107</v>
      </c>
      <c r="ER117" s="28">
        <v>0.33935179791748182</v>
      </c>
      <c r="ES117" s="28">
        <v>0.22525526811705765</v>
      </c>
      <c r="ET117" s="28"/>
      <c r="EU117" s="28"/>
      <c r="EV117" s="28"/>
      <c r="EW117" s="28"/>
      <c r="EX117" s="28"/>
      <c r="EY117" s="28"/>
      <c r="EZ117" s="142"/>
      <c r="FA117" s="142"/>
      <c r="FB117" s="142"/>
      <c r="FC117" s="142"/>
      <c r="FD117" s="142"/>
      <c r="FE117" s="142"/>
    </row>
    <row r="118" spans="2:165" x14ac:dyDescent="0.25">
      <c r="B118" s="15" t="s">
        <v>4</v>
      </c>
      <c r="C118" s="74" t="s">
        <v>12</v>
      </c>
      <c r="D118" s="74" t="s">
        <v>12</v>
      </c>
      <c r="E118" s="28">
        <v>0.47708894878706198</v>
      </c>
      <c r="F118" s="28">
        <v>0.25667351129363447</v>
      </c>
      <c r="G118" s="74" t="s">
        <v>12</v>
      </c>
      <c r="H118" s="74" t="s">
        <v>12</v>
      </c>
      <c r="I118" s="28">
        <v>0.69465648854961826</v>
      </c>
      <c r="J118" s="28">
        <v>-0.10639136046998865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EL118" s="28"/>
      <c r="EM118" s="28"/>
      <c r="EN118" s="28">
        <v>-13.617647058823529</v>
      </c>
      <c r="EO118" s="28"/>
      <c r="EP118" s="28">
        <v>0.75939385108773849</v>
      </c>
      <c r="EQ118" s="28">
        <v>0.35668583556657008</v>
      </c>
      <c r="ER118" s="28">
        <v>0.5843113747061166</v>
      </c>
      <c r="ES118" s="28">
        <v>0.29449709369533661</v>
      </c>
      <c r="ET118" s="28"/>
      <c r="EU118" s="28"/>
      <c r="EV118" s="28"/>
      <c r="EW118" s="28"/>
      <c r="EX118" s="28"/>
      <c r="EY118" s="28"/>
      <c r="EZ118" s="142"/>
      <c r="FA118" s="142"/>
      <c r="FB118" s="142"/>
      <c r="FC118" s="142"/>
      <c r="FD118" s="142"/>
      <c r="FE118" s="142"/>
    </row>
    <row r="119" spans="2:165" s="17" customFormat="1" ht="13" x14ac:dyDescent="0.3">
      <c r="B119" s="17" t="s">
        <v>20</v>
      </c>
      <c r="C119" s="74" t="s">
        <v>12</v>
      </c>
      <c r="D119" s="74" t="s">
        <v>12</v>
      </c>
      <c r="E119" s="29">
        <v>0.42595419847328242</v>
      </c>
      <c r="F119" s="29">
        <v>0.14625176803394635</v>
      </c>
      <c r="G119" s="74" t="s">
        <v>12</v>
      </c>
      <c r="H119" s="74" t="s">
        <v>12</v>
      </c>
      <c r="I119" s="29">
        <v>0.26964560862865938</v>
      </c>
      <c r="J119" s="29">
        <v>0.14267721422019086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5"/>
      <c r="EL119" s="29"/>
      <c r="EM119" s="29"/>
      <c r="EN119" s="29">
        <v>-0.23651950669819721</v>
      </c>
      <c r="EO119" s="29"/>
      <c r="EP119" s="29">
        <v>0.20618920887528391</v>
      </c>
      <c r="EQ119" s="29">
        <v>0.23617416138624936</v>
      </c>
      <c r="ER119" s="29">
        <v>0.27283796353628231</v>
      </c>
      <c r="ES119" s="29">
        <v>0.19103888723838436</v>
      </c>
      <c r="ET119" s="29"/>
      <c r="EU119" s="29"/>
      <c r="EV119" s="29"/>
      <c r="EW119" s="29"/>
      <c r="EX119" s="29"/>
      <c r="EY119" s="29"/>
      <c r="EZ119" s="141"/>
      <c r="FA119" s="141"/>
      <c r="FB119" s="141"/>
      <c r="FC119" s="141"/>
      <c r="FD119" s="141"/>
      <c r="FE119" s="141"/>
      <c r="FF119" s="138"/>
      <c r="FG119" s="91"/>
      <c r="FH119" s="138"/>
      <c r="FI119" s="138"/>
    </row>
    <row r="120" spans="2:165" x14ac:dyDescent="0.25">
      <c r="B120" s="15" t="s">
        <v>16</v>
      </c>
      <c r="C120" s="74" t="s">
        <v>12</v>
      </c>
      <c r="D120" s="74" t="s">
        <v>12</v>
      </c>
      <c r="E120" s="28">
        <v>0.95570934256055362</v>
      </c>
      <c r="F120" s="28">
        <v>-7.1209330877839205E-2</v>
      </c>
      <c r="G120" s="74" t="s">
        <v>12</v>
      </c>
      <c r="H120" s="74" t="s">
        <v>12</v>
      </c>
      <c r="I120" s="28">
        <v>2.8687017285766725E-2</v>
      </c>
      <c r="J120" s="28">
        <v>0.15407772178764811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EL120" s="28"/>
      <c r="EM120" s="28"/>
      <c r="EN120" s="28">
        <v>-3.9229948572900177</v>
      </c>
      <c r="EO120" s="28"/>
      <c r="EP120" s="28">
        <v>0.25816885401752154</v>
      </c>
      <c r="EQ120" s="28">
        <v>0.22355666613924408</v>
      </c>
      <c r="ER120" s="28">
        <v>0.27306999762332884</v>
      </c>
      <c r="ES120" s="28">
        <v>0.19116650657623802</v>
      </c>
      <c r="ET120" s="28"/>
      <c r="EU120" s="28"/>
      <c r="EV120" s="28"/>
      <c r="EW120" s="28"/>
      <c r="EX120" s="28"/>
      <c r="EY120" s="28"/>
      <c r="EZ120" s="142"/>
      <c r="FA120" s="142"/>
      <c r="FB120" s="142"/>
      <c r="FC120" s="142"/>
      <c r="FD120" s="142"/>
      <c r="FE120" s="142"/>
    </row>
    <row r="121" spans="2:165" s="17" customFormat="1" ht="13" x14ac:dyDescent="0.3">
      <c r="B121" s="17" t="s">
        <v>21</v>
      </c>
      <c r="C121" s="74" t="s">
        <v>12</v>
      </c>
      <c r="D121" s="74" t="s">
        <v>12</v>
      </c>
      <c r="E121" s="29">
        <v>0.43022323214667901</v>
      </c>
      <c r="F121" s="29">
        <v>0.14014903871339501</v>
      </c>
      <c r="G121" s="74" t="s">
        <v>12</v>
      </c>
      <c r="H121" s="74" t="s">
        <v>12</v>
      </c>
      <c r="I121" s="29">
        <v>0.27343782401471151</v>
      </c>
      <c r="J121" s="29">
        <v>0.14267721422019086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5"/>
      <c r="EL121" s="29"/>
      <c r="EM121" s="29"/>
      <c r="EN121" s="29">
        <v>-0.25468420970839167</v>
      </c>
      <c r="EO121" s="29"/>
      <c r="EP121" s="29">
        <v>0.20838607586445579</v>
      </c>
      <c r="EQ121" s="29">
        <v>0.23617416138624936</v>
      </c>
      <c r="ER121" s="29">
        <v>0.27283796353628231</v>
      </c>
      <c r="ES121" s="29">
        <f>ES88/ER88-1</f>
        <v>-0.13535960417034809</v>
      </c>
      <c r="ET121" s="29">
        <f>ET88/ES88-1</f>
        <v>1.3590844062947083E-2</v>
      </c>
      <c r="EU121" s="29">
        <f>EU88/ET88-1</f>
        <v>-0.14114326040931557</v>
      </c>
      <c r="EV121" s="29"/>
      <c r="EW121" s="29"/>
      <c r="EX121" s="29"/>
      <c r="EY121" s="29"/>
      <c r="EZ121" s="141"/>
      <c r="FA121" s="141"/>
      <c r="FB121" s="141"/>
      <c r="FC121" s="141"/>
      <c r="FD121" s="141"/>
      <c r="FE121" s="141"/>
      <c r="FF121" s="138"/>
      <c r="FG121" s="91"/>
      <c r="FH121" s="138"/>
      <c r="FI121" s="138"/>
    </row>
    <row r="122" spans="2:165" x14ac:dyDescent="0.25">
      <c r="B122" s="15" t="s">
        <v>42</v>
      </c>
      <c r="C122" s="74" t="s">
        <v>12</v>
      </c>
      <c r="D122" s="74" t="s">
        <v>12</v>
      </c>
      <c r="E122" s="28"/>
      <c r="F122" s="28"/>
      <c r="G122" s="74" t="s">
        <v>12</v>
      </c>
      <c r="H122" s="74" t="s">
        <v>12</v>
      </c>
      <c r="I122" s="28">
        <v>0.30643115658155562</v>
      </c>
      <c r="J122" s="28">
        <v>0.17124789823043063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EL122" s="28"/>
      <c r="EM122" s="28"/>
      <c r="EN122" s="28"/>
      <c r="EO122" s="28"/>
      <c r="EP122" s="28">
        <v>0.24010160092268173</v>
      </c>
      <c r="EQ122" s="28">
        <v>0.22959823690009884</v>
      </c>
      <c r="ER122" s="28">
        <v>0.26006430673578218</v>
      </c>
      <c r="ES122" s="28">
        <v>0.18389813893782847</v>
      </c>
      <c r="ET122" s="28"/>
      <c r="EU122" s="28"/>
      <c r="EV122" s="28"/>
      <c r="EW122" s="28"/>
      <c r="EX122" s="28"/>
      <c r="EY122" s="28"/>
      <c r="EZ122" s="142"/>
      <c r="FA122" s="142"/>
      <c r="FB122" s="142"/>
      <c r="FC122" s="142"/>
      <c r="FD122" s="142"/>
      <c r="FE122" s="142"/>
    </row>
    <row r="123" spans="2:165" x14ac:dyDescent="0.25">
      <c r="B123" s="15" t="s">
        <v>17</v>
      </c>
      <c r="C123" s="74" t="s">
        <v>12</v>
      </c>
      <c r="D123" s="74" t="s">
        <v>12</v>
      </c>
      <c r="E123" s="28">
        <v>0.94492985420368969</v>
      </c>
      <c r="F123" s="28">
        <v>-8.0257132892308958E-2</v>
      </c>
      <c r="G123" s="74" t="s">
        <v>12</v>
      </c>
      <c r="H123" s="74" t="s">
        <v>12</v>
      </c>
      <c r="I123" s="28">
        <v>2.6696798876403083E-2</v>
      </c>
      <c r="J123" s="28">
        <v>0.15339148720865947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EL123" s="28"/>
      <c r="EM123" s="28"/>
      <c r="EN123" s="28">
        <v>-3.885011675710488</v>
      </c>
      <c r="EO123" s="28"/>
      <c r="EP123" s="28">
        <v>0.25609102568827624</v>
      </c>
      <c r="EQ123" s="28">
        <v>0.22332428171071594</v>
      </c>
      <c r="ER123" s="28">
        <v>0.27283796353628231</v>
      </c>
      <c r="ES123" s="28">
        <v>0.19103888723838436</v>
      </c>
      <c r="ET123" s="28"/>
      <c r="EU123" s="28"/>
      <c r="EV123" s="28"/>
      <c r="EW123" s="28"/>
      <c r="EX123" s="28"/>
      <c r="EY123" s="28"/>
      <c r="EZ123" s="142"/>
      <c r="FA123" s="142"/>
      <c r="FB123" s="142"/>
      <c r="FC123" s="142"/>
      <c r="FD123" s="142"/>
      <c r="FE123" s="142"/>
    </row>
    <row r="124" spans="2:165" x14ac:dyDescent="0.25">
      <c r="C124" s="44"/>
      <c r="D124" s="44"/>
      <c r="E124" s="44"/>
      <c r="F124" s="44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spans="2:165" x14ac:dyDescent="0.25">
      <c r="B125" s="3" t="s">
        <v>483</v>
      </c>
      <c r="E125" s="44"/>
      <c r="F125" s="44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spans="2:165" s="26" customFormat="1" ht="13" x14ac:dyDescent="0.3">
      <c r="B126" s="17" t="s">
        <v>138</v>
      </c>
      <c r="C126" s="24"/>
      <c r="D126" s="24"/>
      <c r="E126" s="24"/>
      <c r="F126" s="24"/>
      <c r="G126" s="24"/>
      <c r="H126" s="24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48"/>
      <c r="AX126" s="48"/>
      <c r="AY126" s="48"/>
      <c r="AZ126" s="48"/>
      <c r="BA126" s="48"/>
      <c r="BB126" s="79">
        <f t="shared" ref="BB126:CC126" si="143">BB20/AX20-1</f>
        <v>0.18797953964194369</v>
      </c>
      <c r="BC126" s="79">
        <f t="shared" si="143"/>
        <v>0.20546318289786214</v>
      </c>
      <c r="BD126" s="79">
        <f t="shared" si="143"/>
        <v>0.20113636363636367</v>
      </c>
      <c r="BE126" s="79">
        <f t="shared" si="143"/>
        <v>0.31922196796338675</v>
      </c>
      <c r="BF126" s="79">
        <f t="shared" si="143"/>
        <v>0.23358449946178683</v>
      </c>
      <c r="BG126" s="79">
        <f t="shared" si="143"/>
        <v>0.18423645320197046</v>
      </c>
      <c r="BH126" s="79">
        <f t="shared" si="143"/>
        <v>0.11352885525070966</v>
      </c>
      <c r="BI126" s="79">
        <f t="shared" si="143"/>
        <v>0.1396357328707718</v>
      </c>
      <c r="BJ126" s="79">
        <f t="shared" si="143"/>
        <v>0.14223385689354284</v>
      </c>
      <c r="BK126" s="79">
        <f t="shared" si="143"/>
        <v>0.16056572379367728</v>
      </c>
      <c r="BL126" s="79">
        <f t="shared" si="143"/>
        <v>0.1724723874256584</v>
      </c>
      <c r="BM126" s="79">
        <f t="shared" si="143"/>
        <v>8.9802130898021248E-2</v>
      </c>
      <c r="BN126" s="79">
        <f t="shared" si="143"/>
        <v>7.4866310160427885E-2</v>
      </c>
      <c r="BO126" s="79">
        <f t="shared" si="143"/>
        <v>4.6594982078853153E-2</v>
      </c>
      <c r="BP126" s="79">
        <f t="shared" si="143"/>
        <v>6.6666666666666652E-2</v>
      </c>
      <c r="BQ126" s="79">
        <f t="shared" si="143"/>
        <v>0.1061452513966481</v>
      </c>
      <c r="BR126" s="79">
        <f t="shared" si="143"/>
        <v>5.2594171997156991E-2</v>
      </c>
      <c r="BS126" s="79">
        <f t="shared" si="143"/>
        <v>0.10753424657534238</v>
      </c>
      <c r="BT126" s="79">
        <f t="shared" si="143"/>
        <v>2.4456521739130377E-2</v>
      </c>
      <c r="BU126" s="79">
        <f t="shared" si="143"/>
        <v>-6.5025252525252486E-2</v>
      </c>
      <c r="BV126" s="79">
        <f t="shared" si="143"/>
        <v>8.4402430790006644E-2</v>
      </c>
      <c r="BW126" s="79">
        <f t="shared" si="143"/>
        <v>4.8237476808905333E-2</v>
      </c>
      <c r="BX126" s="79">
        <f t="shared" si="143"/>
        <v>7.9575596816976457E-3</v>
      </c>
      <c r="BY126" s="79">
        <f t="shared" si="143"/>
        <v>3.6461850101283E-2</v>
      </c>
      <c r="BZ126" s="79">
        <f t="shared" si="143"/>
        <v>-3.1133250311332517E-2</v>
      </c>
      <c r="CA126" s="79">
        <f t="shared" si="143"/>
        <v>-0.11504424778761058</v>
      </c>
      <c r="CB126" s="79">
        <f t="shared" si="143"/>
        <v>-0.10460526315789476</v>
      </c>
      <c r="CC126" s="79">
        <f t="shared" si="143"/>
        <v>3.4527687296416865E-2</v>
      </c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  <c r="DH126" s="79"/>
      <c r="DI126" s="79"/>
      <c r="DJ126" s="79"/>
      <c r="DK126" s="79"/>
      <c r="DL126" s="79"/>
      <c r="DM126" s="79"/>
      <c r="DN126" s="79"/>
      <c r="DO126" s="79"/>
      <c r="DP126" s="79"/>
      <c r="DQ126" s="79"/>
      <c r="DR126" s="79"/>
      <c r="DS126" s="79"/>
      <c r="DT126" s="79"/>
      <c r="DU126" s="79"/>
      <c r="DV126" s="79"/>
      <c r="DW126" s="79"/>
      <c r="DX126" s="79"/>
      <c r="DY126" s="79"/>
      <c r="DZ126" s="79"/>
      <c r="EA126" s="79"/>
      <c r="EB126" s="79"/>
      <c r="EC126" s="79"/>
      <c r="ED126" s="79"/>
      <c r="EE126" s="79"/>
      <c r="EF126" s="79"/>
      <c r="EG126" s="79"/>
      <c r="EH126" s="79"/>
      <c r="EI126" s="79"/>
      <c r="EJ126" s="79"/>
      <c r="EK126" s="1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146"/>
      <c r="FA126" s="146"/>
      <c r="FB126" s="146"/>
      <c r="FC126" s="146"/>
      <c r="FD126" s="146"/>
      <c r="FE126" s="146"/>
      <c r="FF126" s="64"/>
      <c r="FG126" s="40"/>
      <c r="FH126" s="64"/>
      <c r="FI126" s="64"/>
    </row>
    <row r="127" spans="2:165" s="26" customFormat="1" ht="13" x14ac:dyDescent="0.3">
      <c r="B127" s="17" t="s">
        <v>24</v>
      </c>
      <c r="C127" s="24"/>
      <c r="D127" s="24"/>
      <c r="E127" s="24"/>
      <c r="F127" s="24"/>
      <c r="G127" s="24"/>
      <c r="H127" s="24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48"/>
      <c r="AX127" s="48"/>
      <c r="AY127" s="48"/>
      <c r="AZ127" s="48"/>
      <c r="BA127" s="48"/>
      <c r="BB127" s="79">
        <f t="shared" ref="BB127:CC127" si="144">BB18/AX18-1</f>
        <v>0.19207317073170738</v>
      </c>
      <c r="BC127" s="79">
        <f t="shared" si="144"/>
        <v>0.2921348314606742</v>
      </c>
      <c r="BD127" s="79">
        <f t="shared" si="144"/>
        <v>0.58445040214477206</v>
      </c>
      <c r="BE127" s="79">
        <f t="shared" si="144"/>
        <v>0.86387535984716535</v>
      </c>
      <c r="BF127" s="79">
        <f t="shared" si="144"/>
        <v>1.2020460358056266</v>
      </c>
      <c r="BG127" s="79">
        <f t="shared" si="144"/>
        <v>1.0695652173913044</v>
      </c>
      <c r="BH127" s="79">
        <f t="shared" si="144"/>
        <v>0.7072758037225042</v>
      </c>
      <c r="BI127" s="79">
        <f t="shared" si="144"/>
        <v>0.56960227272727271</v>
      </c>
      <c r="BJ127" s="79">
        <f t="shared" si="144"/>
        <v>0.35656213704994189</v>
      </c>
      <c r="BK127" s="79">
        <f t="shared" si="144"/>
        <v>0.27521008403361336</v>
      </c>
      <c r="BL127" s="79">
        <f t="shared" si="144"/>
        <v>0.19821605550049548</v>
      </c>
      <c r="BM127" s="79">
        <f t="shared" si="144"/>
        <v>0.14117647058823524</v>
      </c>
      <c r="BN127" s="79">
        <f t="shared" si="144"/>
        <v>4.8801369863013644E-2</v>
      </c>
      <c r="BO127" s="79">
        <f t="shared" si="144"/>
        <v>2.883031301482708E-2</v>
      </c>
      <c r="BP127" s="79">
        <f t="shared" si="144"/>
        <v>7.1133167907361461E-2</v>
      </c>
      <c r="BQ127" s="79">
        <f t="shared" si="144"/>
        <v>4.9167327517843029E-2</v>
      </c>
      <c r="BR127" s="79">
        <f t="shared" si="144"/>
        <v>6.6938775510203996E-2</v>
      </c>
      <c r="BS127" s="79">
        <f t="shared" si="144"/>
        <v>7.125700560448367E-2</v>
      </c>
      <c r="BT127" s="79">
        <f t="shared" si="144"/>
        <v>2.4710424710424617E-2</v>
      </c>
      <c r="BU127" s="79">
        <f t="shared" si="144"/>
        <v>-2.1919879062736181E-2</v>
      </c>
      <c r="BV127" s="79">
        <f t="shared" si="144"/>
        <v>8.4162203519510426E-2</v>
      </c>
      <c r="BW127" s="79">
        <f t="shared" si="144"/>
        <v>3.811659192825112E-2</v>
      </c>
      <c r="BX127" s="79">
        <f t="shared" si="144"/>
        <v>2.2607385079125741E-2</v>
      </c>
      <c r="BY127" s="79">
        <f t="shared" si="144"/>
        <v>-2.1638330757341562E-2</v>
      </c>
      <c r="BZ127" s="79">
        <f t="shared" si="144"/>
        <v>-2.1877205363443841E-2</v>
      </c>
      <c r="CA127" s="79">
        <f t="shared" si="144"/>
        <v>-4.2476601871850206E-2</v>
      </c>
      <c r="CB127" s="79">
        <f t="shared" si="144"/>
        <v>-0.12380250552689753</v>
      </c>
      <c r="CC127" s="79">
        <f t="shared" si="144"/>
        <v>6.4770932069510234E-2</v>
      </c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  <c r="DH127" s="79"/>
      <c r="DI127" s="79"/>
      <c r="DJ127" s="79"/>
      <c r="DK127" s="79"/>
      <c r="DL127" s="79"/>
      <c r="DM127" s="79"/>
      <c r="DN127" s="79"/>
      <c r="DO127" s="79"/>
      <c r="DP127" s="79"/>
      <c r="DQ127" s="79"/>
      <c r="DR127" s="79"/>
      <c r="DS127" s="79"/>
      <c r="DT127" s="79"/>
      <c r="DU127" s="79"/>
      <c r="DV127" s="79"/>
      <c r="DW127" s="79"/>
      <c r="DX127" s="79"/>
      <c r="DY127" s="79"/>
      <c r="DZ127" s="79"/>
      <c r="EA127" s="79"/>
      <c r="EB127" s="79"/>
      <c r="EC127" s="79"/>
      <c r="ED127" s="79"/>
      <c r="EE127" s="79"/>
      <c r="EF127" s="79"/>
      <c r="EG127" s="79"/>
      <c r="EH127" s="79"/>
      <c r="EI127" s="79"/>
      <c r="EJ127" s="79"/>
      <c r="EK127" s="1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146"/>
      <c r="FA127" s="146"/>
      <c r="FB127" s="146"/>
      <c r="FC127" s="146"/>
      <c r="FD127" s="146"/>
      <c r="FE127" s="146"/>
      <c r="FF127" s="64"/>
      <c r="FG127" s="40"/>
      <c r="FH127" s="64"/>
      <c r="FI127" s="64"/>
    </row>
    <row r="128" spans="2:165" s="26" customFormat="1" ht="13" x14ac:dyDescent="0.3">
      <c r="B128" s="17" t="s">
        <v>23</v>
      </c>
      <c r="C128" s="24"/>
      <c r="D128" s="24"/>
      <c r="E128" s="24"/>
      <c r="F128" s="24"/>
      <c r="G128" s="24"/>
      <c r="H128" s="24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48"/>
      <c r="AX128" s="48"/>
      <c r="AY128" s="48"/>
      <c r="AZ128" s="48"/>
      <c r="BA128" s="48"/>
      <c r="BB128" s="79">
        <f t="shared" ref="BB128:CC128" si="145">BB22/AX22-1</f>
        <v>4.416666666666667</v>
      </c>
      <c r="BC128" s="79">
        <f t="shared" si="145"/>
        <v>1.0532544378698225</v>
      </c>
      <c r="BD128" s="79">
        <f t="shared" si="145"/>
        <v>1.0680851063829788</v>
      </c>
      <c r="BE128" s="79">
        <f t="shared" si="145"/>
        <v>1.403361344537815</v>
      </c>
      <c r="BF128" s="79">
        <f t="shared" si="145"/>
        <v>1.6</v>
      </c>
      <c r="BG128" s="79">
        <f t="shared" si="145"/>
        <v>1.0547550432276656</v>
      </c>
      <c r="BH128" s="79">
        <f t="shared" si="145"/>
        <v>0.52469135802469147</v>
      </c>
      <c r="BI128" s="79">
        <f t="shared" si="145"/>
        <v>0.45454545454545459</v>
      </c>
      <c r="BJ128" s="79">
        <f t="shared" si="145"/>
        <v>0.36538461538461542</v>
      </c>
      <c r="BK128" s="79">
        <f t="shared" si="145"/>
        <v>0.38288920056100983</v>
      </c>
      <c r="BL128" s="79">
        <f t="shared" si="145"/>
        <v>0.4331983805668016</v>
      </c>
      <c r="BM128" s="79">
        <f t="shared" si="145"/>
        <v>0.36418269230769229</v>
      </c>
      <c r="BN128" s="79">
        <f t="shared" si="145"/>
        <v>0.22535211267605626</v>
      </c>
      <c r="BO128" s="79">
        <f t="shared" si="145"/>
        <v>0.23732251521298164</v>
      </c>
      <c r="BP128" s="79">
        <f t="shared" si="145"/>
        <v>0.27212806026365355</v>
      </c>
      <c r="BQ128" s="79">
        <f t="shared" si="145"/>
        <v>0.32599118942731287</v>
      </c>
      <c r="BR128" s="79">
        <f t="shared" si="145"/>
        <v>0.31299734748010599</v>
      </c>
      <c r="BS128" s="79">
        <f t="shared" si="145"/>
        <v>0.31557377049180335</v>
      </c>
      <c r="BT128" s="79">
        <f t="shared" si="145"/>
        <v>0.17986676535899337</v>
      </c>
      <c r="BU128" s="79">
        <f t="shared" si="145"/>
        <v>2.1926910299003399E-2</v>
      </c>
      <c r="BV128" s="79">
        <f t="shared" si="145"/>
        <v>0.12188552188552193</v>
      </c>
      <c r="BW128" s="79">
        <f t="shared" si="145"/>
        <v>7.6012461059190128E-2</v>
      </c>
      <c r="BX128" s="79">
        <f t="shared" si="145"/>
        <v>8.7829360100375453E-3</v>
      </c>
      <c r="BY128" s="79">
        <f t="shared" si="145"/>
        <v>-5.0715214564369338E-2</v>
      </c>
      <c r="BZ128" s="79">
        <f t="shared" si="145"/>
        <v>-0.1494597839135654</v>
      </c>
      <c r="CA128" s="79">
        <f t="shared" si="145"/>
        <v>-0.2420382165605095</v>
      </c>
      <c r="CB128" s="79">
        <f t="shared" si="145"/>
        <v>-0.24378109452736318</v>
      </c>
      <c r="CC128" s="79">
        <f t="shared" si="145"/>
        <v>-7.5342465753424626E-2</v>
      </c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  <c r="DG128" s="79"/>
      <c r="DH128" s="79"/>
      <c r="DI128" s="79"/>
      <c r="DJ128" s="79"/>
      <c r="DK128" s="79"/>
      <c r="DL128" s="79"/>
      <c r="DM128" s="79"/>
      <c r="DN128" s="79"/>
      <c r="DO128" s="79"/>
      <c r="DP128" s="79"/>
      <c r="DQ128" s="79"/>
      <c r="DR128" s="79"/>
      <c r="DS128" s="79"/>
      <c r="DT128" s="79"/>
      <c r="DU128" s="79"/>
      <c r="DV128" s="79"/>
      <c r="DW128" s="79"/>
      <c r="DX128" s="79"/>
      <c r="DY128" s="79"/>
      <c r="DZ128" s="79"/>
      <c r="EA128" s="79"/>
      <c r="EB128" s="79"/>
      <c r="EC128" s="79"/>
      <c r="ED128" s="79"/>
      <c r="EE128" s="79"/>
      <c r="EF128" s="79"/>
      <c r="EG128" s="79"/>
      <c r="EH128" s="79"/>
      <c r="EI128" s="79"/>
      <c r="EJ128" s="79"/>
      <c r="EK128" s="1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146"/>
      <c r="FA128" s="146"/>
      <c r="FB128" s="146"/>
      <c r="FC128" s="146"/>
      <c r="FD128" s="146"/>
      <c r="FE128" s="146"/>
      <c r="FF128" s="64"/>
      <c r="FG128" s="40"/>
      <c r="FH128" s="64"/>
      <c r="FI128" s="64"/>
    </row>
    <row r="129" spans="2:165" s="26" customFormat="1" ht="13" x14ac:dyDescent="0.3">
      <c r="B129" s="15" t="s">
        <v>139</v>
      </c>
      <c r="C129" s="23"/>
      <c r="D129" s="23"/>
      <c r="E129" s="23"/>
      <c r="F129" s="23"/>
      <c r="G129" s="23"/>
      <c r="H129" s="23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93"/>
      <c r="AX129" s="93"/>
      <c r="AY129" s="93"/>
      <c r="AZ129" s="93"/>
      <c r="BA129" s="93"/>
      <c r="BB129" s="94">
        <f t="shared" ref="BB129:BV129" si="146">BB43/AX43-1</f>
        <v>5.5214723926380271E-2</v>
      </c>
      <c r="BC129" s="94">
        <f t="shared" si="146"/>
        <v>7.344632768361592E-2</v>
      </c>
      <c r="BD129" s="94">
        <f t="shared" si="146"/>
        <v>6.8181818181818121E-2</v>
      </c>
      <c r="BE129" s="94">
        <f t="shared" si="146"/>
        <v>0.12734082397003754</v>
      </c>
      <c r="BF129" s="94">
        <f t="shared" si="146"/>
        <v>3.6821705426356655E-2</v>
      </c>
      <c r="BG129" s="94">
        <f t="shared" si="146"/>
        <v>-8.7719298245614308E-3</v>
      </c>
      <c r="BH129" s="94">
        <f t="shared" si="146"/>
        <v>-5.1418439716312103E-2</v>
      </c>
      <c r="BI129" s="94">
        <f t="shared" si="146"/>
        <v>-1.6611295681063121E-2</v>
      </c>
      <c r="BJ129" s="94">
        <f t="shared" si="146"/>
        <v>-2.4299065420560706E-2</v>
      </c>
      <c r="BK129" s="94">
        <f t="shared" si="146"/>
        <v>-3.7168141592920367E-2</v>
      </c>
      <c r="BL129" s="94">
        <f t="shared" si="146"/>
        <v>-3.1775700934579487E-2</v>
      </c>
      <c r="BM129" s="94">
        <f t="shared" si="146"/>
        <v>-0.13851351351351349</v>
      </c>
      <c r="BN129" s="94">
        <f t="shared" si="146"/>
        <v>-0.15325670498084287</v>
      </c>
      <c r="BO129" s="94">
        <f t="shared" si="146"/>
        <v>-0.17279411764705888</v>
      </c>
      <c r="BP129" s="94">
        <f t="shared" si="146"/>
        <v>-0.17567567567567566</v>
      </c>
      <c r="BQ129" s="94">
        <f t="shared" si="146"/>
        <v>-0.10784313725490191</v>
      </c>
      <c r="BR129" s="94">
        <f t="shared" si="146"/>
        <v>-0.14479638009049778</v>
      </c>
      <c r="BS129" s="94">
        <f t="shared" si="146"/>
        <v>-8.666666666666667E-2</v>
      </c>
      <c r="BT129" s="94">
        <f t="shared" si="146"/>
        <v>-8.4309133489461341E-2</v>
      </c>
      <c r="BU129" s="94">
        <f t="shared" si="146"/>
        <v>-0.1648351648351648</v>
      </c>
      <c r="BV129" s="94">
        <f t="shared" si="146"/>
        <v>-0.10317460317460314</v>
      </c>
      <c r="BW129" s="94"/>
      <c r="BX129" s="94"/>
      <c r="BY129" s="94"/>
      <c r="BZ129" s="94"/>
      <c r="CA129" s="94"/>
      <c r="CB129" s="94"/>
      <c r="CC129" s="94"/>
      <c r="CD129" s="94"/>
      <c r="CE129" s="94"/>
      <c r="CF129" s="94"/>
      <c r="CG129" s="94"/>
      <c r="CH129" s="94"/>
      <c r="CI129" s="94"/>
      <c r="CJ129" s="94"/>
      <c r="CK129" s="94"/>
      <c r="CL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94"/>
      <c r="DS129" s="94"/>
      <c r="DT129" s="94"/>
      <c r="DU129" s="94"/>
      <c r="DV129" s="94"/>
      <c r="DW129" s="94"/>
      <c r="DX129" s="94"/>
      <c r="DY129" s="94"/>
      <c r="DZ129" s="94"/>
      <c r="EA129" s="94"/>
      <c r="EB129" s="94"/>
      <c r="EC129" s="94"/>
      <c r="ED129" s="94"/>
      <c r="EE129" s="94"/>
      <c r="EF129" s="94"/>
      <c r="EG129" s="94"/>
      <c r="EH129" s="94"/>
      <c r="EI129" s="94"/>
      <c r="EJ129" s="94"/>
      <c r="EK129" s="5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146"/>
      <c r="FA129" s="146"/>
      <c r="FB129" s="146"/>
      <c r="FC129" s="146"/>
      <c r="FD129" s="146"/>
      <c r="FE129" s="146"/>
      <c r="FF129" s="64"/>
      <c r="FG129" s="40"/>
      <c r="FH129" s="64"/>
      <c r="FI129" s="64"/>
    </row>
    <row r="130" spans="2:165" s="26" customFormat="1" ht="13" x14ac:dyDescent="0.3">
      <c r="B130" s="15" t="s">
        <v>33</v>
      </c>
      <c r="C130" s="23"/>
      <c r="D130" s="23"/>
      <c r="E130" s="23"/>
      <c r="F130" s="23"/>
      <c r="G130" s="23"/>
      <c r="H130" s="23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93"/>
      <c r="AX130" s="93"/>
      <c r="AY130" s="93"/>
      <c r="AZ130" s="93"/>
      <c r="BA130" s="93"/>
      <c r="BB130" s="94">
        <f t="shared" ref="BB130:BV130" si="147">BB49/AX49-1</f>
        <v>2.925925925925926</v>
      </c>
      <c r="BC130" s="94">
        <f t="shared" si="147"/>
        <v>7.2105263157894743</v>
      </c>
      <c r="BD130" s="94">
        <f t="shared" si="147"/>
        <v>1.5363636363636362</v>
      </c>
      <c r="BE130" s="94">
        <f t="shared" si="147"/>
        <v>6.5161290322580649</v>
      </c>
      <c r="BF130" s="94">
        <f t="shared" si="147"/>
        <v>0.41745283018867929</v>
      </c>
      <c r="BG130" s="94">
        <f t="shared" si="147"/>
        <v>1.3076923076923075</v>
      </c>
      <c r="BH130" s="94">
        <f t="shared" si="147"/>
        <v>1.3978494623655915</v>
      </c>
      <c r="BI130" s="94">
        <f t="shared" si="147"/>
        <v>0.42632331902718179</v>
      </c>
      <c r="BJ130" s="94">
        <f t="shared" si="147"/>
        <v>0.43926788685524132</v>
      </c>
      <c r="BK130" s="94">
        <f t="shared" si="147"/>
        <v>0.25277777777777777</v>
      </c>
      <c r="BL130" s="94">
        <f t="shared" si="147"/>
        <v>-0.61584454409566525</v>
      </c>
      <c r="BM130" s="94">
        <f t="shared" si="147"/>
        <v>-0.48645937813440321</v>
      </c>
      <c r="BN130" s="94">
        <f t="shared" si="147"/>
        <v>-0.67861271676300583</v>
      </c>
      <c r="BO130" s="94">
        <f t="shared" si="147"/>
        <v>-0.89135254988913526</v>
      </c>
      <c r="BP130" s="94">
        <f t="shared" si="147"/>
        <v>-0.60700389105058372</v>
      </c>
      <c r="BQ130" s="94">
        <f t="shared" si="147"/>
        <v>-0.646484375</v>
      </c>
      <c r="BR130" s="94">
        <f t="shared" si="147"/>
        <v>0.44244604316546754</v>
      </c>
      <c r="BS130" s="94">
        <f t="shared" si="147"/>
        <v>11.428571428571429</v>
      </c>
      <c r="BT130" s="94">
        <f t="shared" si="147"/>
        <v>8.8415841584158414</v>
      </c>
      <c r="BU130" s="94">
        <f t="shared" si="147"/>
        <v>5.6077348066298338</v>
      </c>
      <c r="BV130" s="94">
        <f t="shared" si="147"/>
        <v>0.28927680798004984</v>
      </c>
      <c r="BW130" s="94"/>
      <c r="BX130" s="94"/>
      <c r="BY130" s="94"/>
      <c r="BZ130" s="94"/>
      <c r="CA130" s="94"/>
      <c r="CB130" s="94"/>
      <c r="CC130" s="94"/>
      <c r="CD130" s="94"/>
      <c r="CE130" s="94"/>
      <c r="CF130" s="94"/>
      <c r="CG130" s="94"/>
      <c r="CH130" s="94"/>
      <c r="CI130" s="94"/>
      <c r="CJ130" s="94"/>
      <c r="CK130" s="94"/>
      <c r="CL130" s="94"/>
      <c r="CM130" s="94"/>
      <c r="CN130" s="94"/>
      <c r="CO130" s="94"/>
      <c r="CP130" s="94"/>
      <c r="CQ130" s="94"/>
      <c r="CR130" s="94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94"/>
      <c r="DS130" s="94"/>
      <c r="DT130" s="94"/>
      <c r="DU130" s="94"/>
      <c r="DV130" s="94"/>
      <c r="DW130" s="94"/>
      <c r="DX130" s="94"/>
      <c r="DY130" s="94"/>
      <c r="DZ130" s="94"/>
      <c r="EA130" s="94"/>
      <c r="EB130" s="94"/>
      <c r="EC130" s="94"/>
      <c r="ED130" s="94"/>
      <c r="EE130" s="94"/>
      <c r="EF130" s="94"/>
      <c r="EG130" s="94"/>
      <c r="EH130" s="94"/>
      <c r="EI130" s="94"/>
      <c r="EJ130" s="94"/>
      <c r="EK130" s="5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146"/>
      <c r="FA130" s="146"/>
      <c r="FB130" s="146"/>
      <c r="FC130" s="146"/>
      <c r="FD130" s="146"/>
      <c r="FE130" s="146"/>
      <c r="FF130" s="64"/>
      <c r="FG130" s="40"/>
      <c r="FH130" s="64"/>
      <c r="FI130" s="64"/>
    </row>
    <row r="131" spans="2:165" s="26" customFormat="1" ht="13" x14ac:dyDescent="0.3">
      <c r="B131" s="15" t="s">
        <v>40</v>
      </c>
      <c r="C131" s="23"/>
      <c r="D131" s="23"/>
      <c r="E131" s="23"/>
      <c r="F131" s="23"/>
      <c r="G131" s="23"/>
      <c r="H131" s="23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93"/>
      <c r="AX131" s="93"/>
      <c r="AY131" s="93"/>
      <c r="AZ131" s="93"/>
      <c r="BA131" s="93"/>
      <c r="BB131" s="94">
        <f t="shared" ref="BB131:BV131" si="148">BB28/AX28-1</f>
        <v>2.7100271002709064E-3</v>
      </c>
      <c r="BC131" s="94">
        <f t="shared" si="148"/>
        <v>0.22857142857142865</v>
      </c>
      <c r="BD131" s="94">
        <f t="shared" si="148"/>
        <v>0.3086053412462908</v>
      </c>
      <c r="BE131" s="94">
        <f t="shared" si="148"/>
        <v>0.33717579250720453</v>
      </c>
      <c r="BF131" s="94">
        <f t="shared" si="148"/>
        <v>0.22702702702702693</v>
      </c>
      <c r="BG131" s="94">
        <f t="shared" si="148"/>
        <v>1.6279069767441756E-2</v>
      </c>
      <c r="BH131" s="94">
        <f t="shared" si="148"/>
        <v>5.6689342403628107E-2</v>
      </c>
      <c r="BI131" s="94">
        <f t="shared" si="148"/>
        <v>4.5258620689655249E-2</v>
      </c>
      <c r="BJ131" s="94">
        <f t="shared" si="148"/>
        <v>4.8458149779735615E-2</v>
      </c>
      <c r="BK131" s="94">
        <f t="shared" si="148"/>
        <v>0.15102974828375282</v>
      </c>
      <c r="BL131" s="94">
        <f t="shared" si="148"/>
        <v>4.0772532188841248E-2</v>
      </c>
      <c r="BM131" s="94">
        <f t="shared" si="148"/>
        <v>0.12989690721649483</v>
      </c>
      <c r="BN131" s="94">
        <f t="shared" si="148"/>
        <v>2.3109243697478909E-2</v>
      </c>
      <c r="BO131" s="94">
        <f t="shared" si="148"/>
        <v>3.9761431411530879E-2</v>
      </c>
      <c r="BP131" s="94">
        <f t="shared" si="148"/>
        <v>5.7731958762886615E-2</v>
      </c>
      <c r="BQ131" s="94">
        <f t="shared" si="148"/>
        <v>5.1094890510948954E-2</v>
      </c>
      <c r="BR131" s="94">
        <f t="shared" si="148"/>
        <v>6.1601642710472193E-2</v>
      </c>
      <c r="BS131" s="94">
        <f t="shared" si="148"/>
        <v>-0.21606118546845121</v>
      </c>
      <c r="BT131" s="94">
        <f t="shared" si="148"/>
        <v>-0.29434697855750491</v>
      </c>
      <c r="BU131" s="94">
        <f t="shared" si="148"/>
        <v>-0.50173611111111116</v>
      </c>
      <c r="BV131" s="94">
        <f t="shared" si="148"/>
        <v>-0.30947775628626695</v>
      </c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4"/>
      <c r="EC131" s="94"/>
      <c r="ED131" s="94"/>
      <c r="EE131" s="94"/>
      <c r="EF131" s="94"/>
      <c r="EG131" s="94"/>
      <c r="EH131" s="94"/>
      <c r="EI131" s="94"/>
      <c r="EJ131" s="94"/>
      <c r="EK131" s="5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146"/>
      <c r="FA131" s="146"/>
      <c r="FB131" s="146"/>
      <c r="FC131" s="146"/>
      <c r="FD131" s="146"/>
      <c r="FE131" s="146"/>
      <c r="FF131" s="64"/>
      <c r="FG131" s="40"/>
      <c r="FH131" s="64"/>
      <c r="FI131" s="64"/>
    </row>
    <row r="132" spans="2:165" s="26" customFormat="1" ht="13" x14ac:dyDescent="0.3">
      <c r="B132" s="15" t="s">
        <v>34</v>
      </c>
      <c r="C132" s="23"/>
      <c r="D132" s="23"/>
      <c r="E132" s="23"/>
      <c r="F132" s="23"/>
      <c r="G132" s="23"/>
      <c r="H132" s="23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93"/>
      <c r="AX132" s="93"/>
      <c r="AY132" s="93"/>
      <c r="AZ132" s="93"/>
      <c r="BA132" s="93"/>
      <c r="BB132" s="94">
        <f t="shared" ref="BB132:BV132" si="149">BB44/AX44-1</f>
        <v>0.12456747404844282</v>
      </c>
      <c r="BC132" s="94">
        <f t="shared" si="149"/>
        <v>0.20338983050847448</v>
      </c>
      <c r="BD132" s="94">
        <f t="shared" si="149"/>
        <v>0.18243243243243246</v>
      </c>
      <c r="BE132" s="94">
        <f t="shared" si="149"/>
        <v>0.24749163879598668</v>
      </c>
      <c r="BF132" s="94">
        <f t="shared" si="149"/>
        <v>7.6923076923076872E-2</v>
      </c>
      <c r="BG132" s="94">
        <f t="shared" si="149"/>
        <v>5.3521126760563309E-2</v>
      </c>
      <c r="BH132" s="94">
        <f t="shared" si="149"/>
        <v>0</v>
      </c>
      <c r="BI132" s="94">
        <f t="shared" si="149"/>
        <v>5.3619302949061698E-2</v>
      </c>
      <c r="BJ132" s="94">
        <f t="shared" si="149"/>
        <v>0.14285714285714279</v>
      </c>
      <c r="BK132" s="94">
        <f t="shared" si="149"/>
        <v>8.8235294117646967E-2</v>
      </c>
      <c r="BL132" s="94">
        <f t="shared" si="149"/>
        <v>9.4285714285714306E-2</v>
      </c>
      <c r="BM132" s="94">
        <f t="shared" si="149"/>
        <v>0.13740458015267176</v>
      </c>
      <c r="BN132" s="94">
        <f t="shared" si="149"/>
        <v>-7.7500000000000013E-2</v>
      </c>
      <c r="BO132" s="94">
        <f t="shared" si="149"/>
        <v>2.2113022113022129E-2</v>
      </c>
      <c r="BP132" s="94">
        <f t="shared" si="149"/>
        <v>5.7441253263707637E-2</v>
      </c>
      <c r="BQ132" s="94">
        <f t="shared" si="149"/>
        <v>-4.4742729306487261E-3</v>
      </c>
      <c r="BR132" s="94">
        <f t="shared" si="149"/>
        <v>6.5040650406503975E-2</v>
      </c>
      <c r="BS132" s="94">
        <f t="shared" si="149"/>
        <v>7.9326923076923128E-2</v>
      </c>
      <c r="BT132" s="94">
        <f t="shared" si="149"/>
        <v>8.1481481481481488E-2</v>
      </c>
      <c r="BU132" s="94">
        <f t="shared" si="149"/>
        <v>-0.15730337078651691</v>
      </c>
      <c r="BV132" s="94">
        <f t="shared" si="149"/>
        <v>0.12213740458015265</v>
      </c>
      <c r="BW132" s="94"/>
      <c r="BX132" s="94"/>
      <c r="BY132" s="94"/>
      <c r="BZ132" s="94"/>
      <c r="CA132" s="94"/>
      <c r="CB132" s="94"/>
      <c r="CC132" s="94"/>
      <c r="CD132" s="94"/>
      <c r="CE132" s="94"/>
      <c r="CF132" s="94"/>
      <c r="CG132" s="94"/>
      <c r="CH132" s="94"/>
      <c r="CI132" s="94"/>
      <c r="CJ132" s="94"/>
      <c r="CK132" s="94"/>
      <c r="CL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94"/>
      <c r="DS132" s="94"/>
      <c r="DT132" s="94"/>
      <c r="DU132" s="94"/>
      <c r="DV132" s="94"/>
      <c r="DW132" s="94"/>
      <c r="DX132" s="94"/>
      <c r="DY132" s="94"/>
      <c r="DZ132" s="94"/>
      <c r="EA132" s="94"/>
      <c r="EB132" s="94"/>
      <c r="EC132" s="94"/>
      <c r="ED132" s="94"/>
      <c r="EE132" s="94"/>
      <c r="EF132" s="94"/>
      <c r="EG132" s="94"/>
      <c r="EH132" s="94"/>
      <c r="EI132" s="94"/>
      <c r="EJ132" s="94"/>
      <c r="EK132" s="5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146"/>
      <c r="FA132" s="146"/>
      <c r="FB132" s="146"/>
      <c r="FC132" s="146"/>
      <c r="FD132" s="146"/>
      <c r="FE132" s="146"/>
      <c r="FF132" s="64"/>
      <c r="FG132" s="40"/>
      <c r="FH132" s="64"/>
      <c r="FI132" s="64"/>
    </row>
    <row r="133" spans="2:165" s="26" customFormat="1" ht="13" x14ac:dyDescent="0.3">
      <c r="B133" s="15" t="s">
        <v>31</v>
      </c>
      <c r="C133" s="23"/>
      <c r="D133" s="23"/>
      <c r="E133" s="23"/>
      <c r="F133" s="23"/>
      <c r="G133" s="23"/>
      <c r="H133" s="23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93"/>
      <c r="AX133" s="93"/>
      <c r="AY133" s="93"/>
      <c r="AZ133" s="93"/>
      <c r="BA133" s="93"/>
      <c r="BB133" s="94">
        <f t="shared" ref="BB133:BK133" si="150">BB46/AX46-1</f>
        <v>0.43478260869565211</v>
      </c>
      <c r="BC133" s="94">
        <f t="shared" si="150"/>
        <v>0.484375</v>
      </c>
      <c r="BD133" s="94">
        <f t="shared" si="150"/>
        <v>0.46896551724137936</v>
      </c>
      <c r="BE133" s="94">
        <f t="shared" si="150"/>
        <v>0.56164383561643838</v>
      </c>
      <c r="BF133" s="94">
        <f t="shared" si="150"/>
        <v>0.44242424242424239</v>
      </c>
      <c r="BG133" s="94">
        <f t="shared" si="150"/>
        <v>0.23157894736842111</v>
      </c>
      <c r="BH133" s="94">
        <f t="shared" si="150"/>
        <v>0.1220657276995305</v>
      </c>
      <c r="BI133" s="94">
        <f t="shared" si="150"/>
        <v>0.14035087719298245</v>
      </c>
      <c r="BJ133" s="94">
        <f t="shared" si="150"/>
        <v>0.12184873949579833</v>
      </c>
      <c r="BK133" s="94">
        <f t="shared" si="150"/>
        <v>0.20512820512820507</v>
      </c>
      <c r="BL133" s="94">
        <f t="shared" ref="BL133:BU133" si="151">BL46/BH46-1</f>
        <v>0.21338912133891208</v>
      </c>
      <c r="BM133" s="94">
        <f t="shared" si="151"/>
        <v>0.19999999999999996</v>
      </c>
      <c r="BN133" s="94">
        <f t="shared" si="151"/>
        <v>5.2434456928838857E-2</v>
      </c>
      <c r="BO133" s="94">
        <f t="shared" si="151"/>
        <v>3.5460992907801359E-2</v>
      </c>
      <c r="BP133" s="94">
        <f t="shared" si="151"/>
        <v>5.862068965517242E-2</v>
      </c>
      <c r="BQ133" s="94">
        <f t="shared" si="151"/>
        <v>6.0897435897435903E-2</v>
      </c>
      <c r="BR133" s="94">
        <f t="shared" si="151"/>
        <v>5.3380782918149405E-2</v>
      </c>
      <c r="BS133" s="94">
        <f t="shared" si="151"/>
        <v>0.13013698630136994</v>
      </c>
      <c r="BT133" s="94">
        <f t="shared" si="151"/>
        <v>6.1889250814332275E-2</v>
      </c>
      <c r="BU133" s="94">
        <f t="shared" si="151"/>
        <v>-6.9486404833836835E-2</v>
      </c>
      <c r="BV133" s="94">
        <f t="shared" ref="BV133" si="152">BV46/BR46-1</f>
        <v>0.18918918918918926</v>
      </c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5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146"/>
      <c r="FA133" s="146"/>
      <c r="FB133" s="146"/>
      <c r="FC133" s="146"/>
      <c r="FD133" s="146"/>
      <c r="FE133" s="146"/>
      <c r="FF133" s="64"/>
      <c r="FG133" s="40"/>
      <c r="FH133" s="64"/>
      <c r="FI133" s="64"/>
    </row>
    <row r="134" spans="2:165" s="26" customFormat="1" ht="13" x14ac:dyDescent="0.3">
      <c r="B134" s="15" t="s">
        <v>25</v>
      </c>
      <c r="C134" s="23"/>
      <c r="D134" s="23"/>
      <c r="E134" s="23"/>
      <c r="F134" s="23"/>
      <c r="G134" s="23"/>
      <c r="H134" s="23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93"/>
      <c r="AX134" s="93"/>
      <c r="AY134" s="93"/>
      <c r="AZ134" s="93"/>
      <c r="BA134" s="93"/>
      <c r="BB134" s="94"/>
      <c r="BC134" s="94"/>
      <c r="BD134" s="94"/>
      <c r="BE134" s="94">
        <f t="shared" ref="BE134:BV134" si="153">BE47/BA47-1</f>
        <v>7.2941176470588243</v>
      </c>
      <c r="BF134" s="94">
        <f t="shared" si="153"/>
        <v>2.0175438596491229</v>
      </c>
      <c r="BG134" s="94">
        <f t="shared" si="153"/>
        <v>1.2159090909090908</v>
      </c>
      <c r="BH134" s="94">
        <f t="shared" si="153"/>
        <v>1.0891089108910892</v>
      </c>
      <c r="BI134" s="94">
        <f t="shared" si="153"/>
        <v>0.66666666666666674</v>
      </c>
      <c r="BJ134" s="94">
        <f t="shared" si="153"/>
        <v>0.41279069767441867</v>
      </c>
      <c r="BK134" s="94">
        <f t="shared" si="153"/>
        <v>0.33333333333333326</v>
      </c>
      <c r="BL134" s="94">
        <f t="shared" si="153"/>
        <v>0.28436018957345977</v>
      </c>
      <c r="BM134" s="94">
        <f t="shared" si="153"/>
        <v>0.22553191489361701</v>
      </c>
      <c r="BN134" s="94">
        <f t="shared" si="153"/>
        <v>0.17695473251028804</v>
      </c>
      <c r="BO134" s="94">
        <f t="shared" si="153"/>
        <v>0.1576923076923078</v>
      </c>
      <c r="BP134" s="94">
        <f t="shared" si="153"/>
        <v>9.9630996309963082E-2</v>
      </c>
      <c r="BQ134" s="94">
        <f t="shared" si="153"/>
        <v>0.14583333333333326</v>
      </c>
      <c r="BR134" s="94">
        <f t="shared" si="153"/>
        <v>0.11888111888111896</v>
      </c>
      <c r="BS134" s="94">
        <f t="shared" si="153"/>
        <v>7.3089700996677776E-2</v>
      </c>
      <c r="BT134" s="94">
        <f t="shared" si="153"/>
        <v>7.0469798657718075E-2</v>
      </c>
      <c r="BU134" s="94">
        <f t="shared" si="153"/>
        <v>3.6363636363636376E-2</v>
      </c>
      <c r="BV134" s="94">
        <f t="shared" si="153"/>
        <v>1.8750000000000044E-2</v>
      </c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4"/>
      <c r="CR134" s="94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5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146"/>
      <c r="FA134" s="146"/>
      <c r="FB134" s="146"/>
      <c r="FC134" s="146"/>
      <c r="FD134" s="146"/>
      <c r="FE134" s="146"/>
      <c r="FF134" s="64"/>
      <c r="FG134" s="40"/>
      <c r="FH134" s="64"/>
      <c r="FI134" s="64"/>
    </row>
    <row r="135" spans="2:165" s="26" customFormat="1" ht="13" x14ac:dyDescent="0.3">
      <c r="B135" s="15" t="s">
        <v>29</v>
      </c>
      <c r="C135" s="23"/>
      <c r="D135" s="23"/>
      <c r="E135" s="23"/>
      <c r="F135" s="23"/>
      <c r="G135" s="23"/>
      <c r="H135" s="23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66"/>
      <c r="BI135" s="66"/>
      <c r="BJ135" s="66"/>
      <c r="BK135" s="66"/>
      <c r="BL135" s="94">
        <f t="shared" ref="BL135:BV135" si="154">BL24/BH24-1</f>
        <v>0.24479166666666674</v>
      </c>
      <c r="BM135" s="94">
        <f t="shared" si="154"/>
        <v>-0.1648351648351648</v>
      </c>
      <c r="BN135" s="94">
        <f t="shared" si="154"/>
        <v>-0.18250950570342206</v>
      </c>
      <c r="BO135" s="94">
        <f t="shared" si="154"/>
        <v>-0.13793103448275867</v>
      </c>
      <c r="BP135" s="94">
        <f t="shared" si="154"/>
        <v>2.9288702928870203E-2</v>
      </c>
      <c r="BQ135" s="94">
        <f t="shared" si="154"/>
        <v>0.20175438596491224</v>
      </c>
      <c r="BR135" s="94">
        <f t="shared" si="154"/>
        <v>0.29767441860465116</v>
      </c>
      <c r="BS135" s="94">
        <f t="shared" si="154"/>
        <v>0.30666666666666664</v>
      </c>
      <c r="BT135" s="94">
        <f t="shared" si="154"/>
        <v>0.20325203252032531</v>
      </c>
      <c r="BU135" s="94">
        <f t="shared" si="154"/>
        <v>0.2007299270072993</v>
      </c>
      <c r="BV135" s="94">
        <f t="shared" si="154"/>
        <v>0.17204301075268824</v>
      </c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5"/>
      <c r="EL135" s="47"/>
      <c r="EM135" s="47"/>
      <c r="EN135" s="47"/>
      <c r="EO135" s="47"/>
      <c r="EP135" s="47"/>
      <c r="EQ135" s="47"/>
      <c r="ER135" s="47"/>
      <c r="ES135" s="47"/>
      <c r="ET135" s="47"/>
      <c r="EU135" s="47"/>
      <c r="EV135" s="47"/>
      <c r="EW135" s="47"/>
      <c r="EX135" s="47"/>
      <c r="EY135" s="47"/>
      <c r="EZ135" s="146"/>
      <c r="FA135" s="146"/>
      <c r="FB135" s="146"/>
      <c r="FC135" s="146"/>
      <c r="FD135" s="146"/>
      <c r="FE135" s="146"/>
      <c r="FF135" s="64"/>
      <c r="FG135" s="40"/>
      <c r="FH135" s="64"/>
      <c r="FI135" s="64"/>
    </row>
    <row r="136" spans="2:165" s="26" customFormat="1" ht="13" x14ac:dyDescent="0.3">
      <c r="B136" s="15" t="s">
        <v>140</v>
      </c>
      <c r="C136" s="23"/>
      <c r="D136" s="23"/>
      <c r="E136" s="23"/>
      <c r="F136" s="23"/>
      <c r="G136" s="23"/>
      <c r="H136" s="23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93"/>
      <c r="AX136" s="93"/>
      <c r="AY136" s="93"/>
      <c r="AZ136" s="93"/>
      <c r="BA136" s="93"/>
      <c r="BB136" s="94"/>
      <c r="BC136" s="94"/>
      <c r="BD136" s="94"/>
      <c r="BE136" s="94"/>
      <c r="BF136" s="94"/>
      <c r="BG136" s="94">
        <f t="shared" ref="BG136:BV136" si="155">BG48/BC48-1</f>
        <v>3.3809523809523814</v>
      </c>
      <c r="BH136" s="94">
        <f t="shared" si="155"/>
        <v>9.1428571428571423</v>
      </c>
      <c r="BI136" s="94">
        <f t="shared" si="155"/>
        <v>2.5098039215686274</v>
      </c>
      <c r="BJ136" s="94">
        <f t="shared" si="155"/>
        <v>1.2666666666666666</v>
      </c>
      <c r="BK136" s="94">
        <f t="shared" si="155"/>
        <v>1.2173913043478262</v>
      </c>
      <c r="BL136" s="94">
        <f t="shared" si="155"/>
        <v>0.61971830985915499</v>
      </c>
      <c r="BM136" s="94">
        <f t="shared" si="155"/>
        <v>0.58100558659217882</v>
      </c>
      <c r="BN136" s="94">
        <f t="shared" si="155"/>
        <v>0.41764705882352948</v>
      </c>
      <c r="BO136" s="94">
        <f t="shared" si="155"/>
        <v>0.30392156862745101</v>
      </c>
      <c r="BP136" s="94">
        <f t="shared" si="155"/>
        <v>0.16521739130434776</v>
      </c>
      <c r="BQ136" s="94">
        <f t="shared" si="155"/>
        <v>0.1766784452296819</v>
      </c>
      <c r="BR136" s="94">
        <f t="shared" si="155"/>
        <v>3.3195020746888071E-2</v>
      </c>
      <c r="BS136" s="94">
        <f t="shared" si="155"/>
        <v>3.7593984962406068E-2</v>
      </c>
      <c r="BT136" s="94">
        <f t="shared" si="155"/>
        <v>-4.8507462686567138E-2</v>
      </c>
      <c r="BU136" s="94">
        <f t="shared" si="155"/>
        <v>-0.16516516516516522</v>
      </c>
      <c r="BV136" s="94">
        <f t="shared" si="155"/>
        <v>0.11244979919678721</v>
      </c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4"/>
      <c r="CR136" s="94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5"/>
      <c r="EL136" s="47"/>
      <c r="EM136" s="47"/>
      <c r="EN136" s="47"/>
      <c r="EO136" s="47"/>
      <c r="EP136" s="47"/>
      <c r="EQ136" s="47"/>
      <c r="ER136" s="47"/>
      <c r="ES136" s="47"/>
      <c r="ET136" s="47"/>
      <c r="EU136" s="47"/>
      <c r="EV136" s="47"/>
      <c r="EW136" s="47"/>
      <c r="EX136" s="47"/>
      <c r="EY136" s="47"/>
      <c r="EZ136" s="146"/>
      <c r="FA136" s="146"/>
      <c r="FB136" s="146"/>
      <c r="FC136" s="146"/>
      <c r="FD136" s="146"/>
      <c r="FE136" s="146"/>
      <c r="FF136" s="64"/>
      <c r="FG136" s="40"/>
      <c r="FH136" s="64"/>
      <c r="FI136" s="64"/>
    </row>
    <row r="137" spans="2:165" s="26" customFormat="1" ht="13" x14ac:dyDescent="0.3">
      <c r="B137" s="15" t="s">
        <v>39</v>
      </c>
      <c r="C137" s="23"/>
      <c r="D137" s="23"/>
      <c r="E137" s="23"/>
      <c r="F137" s="23"/>
      <c r="G137" s="23"/>
      <c r="H137" s="23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93"/>
      <c r="AX137" s="93"/>
      <c r="AY137" s="93"/>
      <c r="AZ137" s="93"/>
      <c r="BA137" s="93"/>
      <c r="BB137" s="94">
        <f t="shared" ref="BB137:BV137" si="156">BB55/AX55-1</f>
        <v>6.8493150684931781E-3</v>
      </c>
      <c r="BC137" s="94">
        <f t="shared" si="156"/>
        <v>0</v>
      </c>
      <c r="BD137" s="94">
        <f t="shared" si="156"/>
        <v>0.11724137931034484</v>
      </c>
      <c r="BE137" s="94">
        <f t="shared" si="156"/>
        <v>0.17518248175182483</v>
      </c>
      <c r="BF137" s="94">
        <f t="shared" si="156"/>
        <v>0.23129251700680276</v>
      </c>
      <c r="BG137" s="94">
        <f t="shared" si="156"/>
        <v>0.10303030303030303</v>
      </c>
      <c r="BH137" s="94">
        <f t="shared" si="156"/>
        <v>-1.2345679012345734E-2</v>
      </c>
      <c r="BI137" s="94">
        <f t="shared" si="156"/>
        <v>5.5900621118012417E-2</v>
      </c>
      <c r="BJ137" s="94">
        <f t="shared" si="156"/>
        <v>-9.9447513812154664E-2</v>
      </c>
      <c r="BK137" s="94">
        <f t="shared" si="156"/>
        <v>-3.2967032967032961E-2</v>
      </c>
      <c r="BL137" s="94">
        <f t="shared" si="156"/>
        <v>-5.6250000000000022E-2</v>
      </c>
      <c r="BM137" s="94">
        <f t="shared" si="156"/>
        <v>-0.16470588235294115</v>
      </c>
      <c r="BN137" s="94">
        <f t="shared" si="156"/>
        <v>-0.16564417177914115</v>
      </c>
      <c r="BO137" s="94">
        <f t="shared" si="156"/>
        <v>-0.27272727272727271</v>
      </c>
      <c r="BP137" s="94">
        <f t="shared" si="156"/>
        <v>-0.16556291390728473</v>
      </c>
      <c r="BQ137" s="94">
        <f t="shared" si="156"/>
        <v>-0.21126760563380287</v>
      </c>
      <c r="BR137" s="94">
        <f t="shared" si="156"/>
        <v>-0.24264705882352944</v>
      </c>
      <c r="BS137" s="94">
        <f t="shared" si="156"/>
        <v>-0.171875</v>
      </c>
      <c r="BT137" s="94">
        <f t="shared" si="156"/>
        <v>-0.22222222222222221</v>
      </c>
      <c r="BU137" s="94">
        <f t="shared" si="156"/>
        <v>-0.1964285714285714</v>
      </c>
      <c r="BV137" s="94">
        <f t="shared" si="156"/>
        <v>-0.11650485436893199</v>
      </c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4"/>
      <c r="CR137" s="94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5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146"/>
      <c r="FA137" s="146"/>
      <c r="FB137" s="146"/>
      <c r="FC137" s="146"/>
      <c r="FD137" s="146"/>
      <c r="FE137" s="146"/>
      <c r="FF137" s="64"/>
      <c r="FG137" s="40"/>
      <c r="FH137" s="64"/>
      <c r="FI137" s="64"/>
    </row>
    <row r="138" spans="2:165" s="26" customFormat="1" ht="13" x14ac:dyDescent="0.3">
      <c r="B138" s="15" t="s">
        <v>28</v>
      </c>
      <c r="C138" s="23"/>
      <c r="D138" s="23"/>
      <c r="E138" s="23"/>
      <c r="F138" s="23"/>
      <c r="G138" s="23"/>
      <c r="H138" s="23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93"/>
      <c r="AX138" s="93"/>
      <c r="AY138" s="93"/>
      <c r="AZ138" s="93"/>
      <c r="BA138" s="93"/>
      <c r="BB138" s="94">
        <f t="shared" ref="BB138:BV138" si="157">BB15/AX15-1</f>
        <v>1.1315789473684212</v>
      </c>
      <c r="BC138" s="94">
        <f t="shared" si="157"/>
        <v>0.81818181818181812</v>
      </c>
      <c r="BD138" s="94">
        <f t="shared" si="157"/>
        <v>0.52941176470588225</v>
      </c>
      <c r="BE138" s="94">
        <f t="shared" si="157"/>
        <v>0.68493150684931514</v>
      </c>
      <c r="BF138" s="94">
        <f t="shared" si="157"/>
        <v>0.53086419753086411</v>
      </c>
      <c r="BG138" s="94">
        <f t="shared" si="157"/>
        <v>0.33000000000000007</v>
      </c>
      <c r="BH138" s="94">
        <f t="shared" si="157"/>
        <v>0.29807692307692313</v>
      </c>
      <c r="BI138" s="94">
        <f t="shared" si="157"/>
        <v>0.17886178861788626</v>
      </c>
      <c r="BJ138" s="94">
        <f t="shared" si="157"/>
        <v>9.6774193548387011E-2</v>
      </c>
      <c r="BK138" s="94">
        <f t="shared" si="157"/>
        <v>0.11278195488721798</v>
      </c>
      <c r="BL138" s="94">
        <f t="shared" si="157"/>
        <v>7.4074074074074181E-2</v>
      </c>
      <c r="BM138" s="94">
        <f t="shared" si="157"/>
        <v>-4.8275862068965503E-2</v>
      </c>
      <c r="BN138" s="94">
        <f t="shared" si="157"/>
        <v>-8.0882352941176516E-2</v>
      </c>
      <c r="BO138" s="94">
        <f t="shared" si="157"/>
        <v>-9.4594594594594628E-2</v>
      </c>
      <c r="BP138" s="94">
        <f t="shared" si="157"/>
        <v>0</v>
      </c>
      <c r="BQ138" s="94">
        <f t="shared" si="157"/>
        <v>0.13043478260869557</v>
      </c>
      <c r="BR138" s="94">
        <f t="shared" si="157"/>
        <v>0.21599999999999997</v>
      </c>
      <c r="BS138" s="94">
        <f t="shared" si="157"/>
        <v>0.20149253731343286</v>
      </c>
      <c r="BT138" s="94">
        <f t="shared" si="157"/>
        <v>8.2758620689655116E-2</v>
      </c>
      <c r="BU138" s="94">
        <f t="shared" si="157"/>
        <v>-3.8461538461538436E-2</v>
      </c>
      <c r="BV138" s="94">
        <f t="shared" si="157"/>
        <v>-2.6315789473684181E-2</v>
      </c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5"/>
      <c r="EL138" s="47"/>
      <c r="EM138" s="47"/>
      <c r="EN138" s="47"/>
      <c r="EO138" s="47"/>
      <c r="EP138" s="47"/>
      <c r="EQ138" s="47"/>
      <c r="ER138" s="47"/>
      <c r="ES138" s="47"/>
      <c r="ET138" s="47"/>
      <c r="EU138" s="47"/>
      <c r="EV138" s="47"/>
      <c r="EW138" s="47"/>
      <c r="EX138" s="47"/>
      <c r="EY138" s="47"/>
      <c r="EZ138" s="146"/>
      <c r="FA138" s="146"/>
      <c r="FB138" s="146"/>
      <c r="FC138" s="146"/>
      <c r="FD138" s="146"/>
      <c r="FE138" s="146"/>
      <c r="FF138" s="64"/>
      <c r="FG138" s="40"/>
      <c r="FH138" s="64"/>
      <c r="FI138" s="64"/>
    </row>
    <row r="139" spans="2:165" s="26" customFormat="1" ht="13" x14ac:dyDescent="0.3">
      <c r="B139" s="15" t="s">
        <v>141</v>
      </c>
      <c r="C139" s="23"/>
      <c r="D139" s="23"/>
      <c r="E139" s="23"/>
      <c r="F139" s="23"/>
      <c r="G139" s="23"/>
      <c r="H139" s="23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93"/>
      <c r="AX139" s="93"/>
      <c r="AY139" s="93"/>
      <c r="AZ139" s="93"/>
      <c r="BA139" s="93"/>
      <c r="BB139" s="94">
        <f t="shared" ref="BB139:BK140" si="158">BB50/AX50-1</f>
        <v>0</v>
      </c>
      <c r="BC139" s="94">
        <f t="shared" si="158"/>
        <v>0.25316455696202533</v>
      </c>
      <c r="BD139" s="94">
        <f t="shared" si="158"/>
        <v>0.23456790123456783</v>
      </c>
      <c r="BE139" s="94">
        <f t="shared" si="158"/>
        <v>0.31325301204819267</v>
      </c>
      <c r="BF139" s="94">
        <f t="shared" si="158"/>
        <v>0.27906976744186052</v>
      </c>
      <c r="BG139" s="94">
        <f t="shared" si="158"/>
        <v>0.14141414141414144</v>
      </c>
      <c r="BH139" s="94">
        <f t="shared" si="158"/>
        <v>0.26</v>
      </c>
      <c r="BI139" s="94">
        <f t="shared" si="158"/>
        <v>0.27522935779816504</v>
      </c>
      <c r="BJ139" s="94">
        <f t="shared" si="158"/>
        <v>0.1272727272727272</v>
      </c>
      <c r="BK139" s="94">
        <f t="shared" si="158"/>
        <v>0.21238938053097356</v>
      </c>
      <c r="BL139" s="94">
        <f t="shared" ref="BL139:BU140" si="159">BL50/BH50-1</f>
        <v>8.7301587301587213E-2</v>
      </c>
      <c r="BM139" s="94">
        <f t="shared" si="159"/>
        <v>3.5971223021582732E-2</v>
      </c>
      <c r="BN139" s="94">
        <f t="shared" si="159"/>
        <v>3.2258064516129004E-2</v>
      </c>
      <c r="BO139" s="94">
        <f t="shared" si="159"/>
        <v>-7.2992700729926918E-3</v>
      </c>
      <c r="BP139" s="94">
        <f t="shared" si="159"/>
        <v>4.3795620437956151E-2</v>
      </c>
      <c r="BQ139" s="94">
        <f t="shared" si="159"/>
        <v>3.4722222222222321E-2</v>
      </c>
      <c r="BR139" s="94">
        <f t="shared" si="159"/>
        <v>2.34375E-2</v>
      </c>
      <c r="BS139" s="94">
        <f t="shared" si="159"/>
        <v>5.1470588235294157E-2</v>
      </c>
      <c r="BT139" s="94">
        <f t="shared" si="159"/>
        <v>3.4965034965035002E-2</v>
      </c>
      <c r="BU139" s="94">
        <f t="shared" si="159"/>
        <v>-4.6979865771812124E-2</v>
      </c>
      <c r="BV139" s="94">
        <f t="shared" ref="BV139:BV140" si="160">BV50/BR50-1</f>
        <v>0.13740458015267176</v>
      </c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5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7"/>
      <c r="EY139" s="47"/>
      <c r="EZ139" s="146"/>
      <c r="FA139" s="146"/>
      <c r="FB139" s="146"/>
      <c r="FC139" s="146"/>
      <c r="FD139" s="146"/>
      <c r="FE139" s="146"/>
      <c r="FF139" s="64"/>
      <c r="FG139" s="40"/>
      <c r="FH139" s="64"/>
      <c r="FI139" s="64"/>
    </row>
    <row r="140" spans="2:165" s="26" customFormat="1" ht="13" x14ac:dyDescent="0.3">
      <c r="B140" s="15" t="s">
        <v>142</v>
      </c>
      <c r="C140" s="23"/>
      <c r="D140" s="23"/>
      <c r="E140" s="23"/>
      <c r="F140" s="23"/>
      <c r="G140" s="23"/>
      <c r="H140" s="23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93"/>
      <c r="AX140" s="93"/>
      <c r="AY140" s="93"/>
      <c r="AZ140" s="93"/>
      <c r="BA140" s="93"/>
      <c r="BB140" s="94">
        <f t="shared" si="158"/>
        <v>9.1743119266054496E-3</v>
      </c>
      <c r="BC140" s="94">
        <f t="shared" si="158"/>
        <v>5.1724137931034475E-2</v>
      </c>
      <c r="BD140" s="94">
        <f t="shared" si="158"/>
        <v>5.4545454545454453E-2</v>
      </c>
      <c r="BE140" s="94">
        <f t="shared" si="158"/>
        <v>0.12280701754385959</v>
      </c>
      <c r="BF140" s="94">
        <f t="shared" si="158"/>
        <v>7.2727272727272751E-2</v>
      </c>
      <c r="BG140" s="94">
        <f t="shared" si="158"/>
        <v>3.2786885245901676E-2</v>
      </c>
      <c r="BH140" s="94">
        <f t="shared" si="158"/>
        <v>1.7241379310344751E-2</v>
      </c>
      <c r="BI140" s="94">
        <f t="shared" si="158"/>
        <v>3.125E-2</v>
      </c>
      <c r="BJ140" s="94">
        <f t="shared" si="158"/>
        <v>-8.4745762711864181E-3</v>
      </c>
      <c r="BK140" s="94">
        <f t="shared" si="158"/>
        <v>-3.1746031746031744E-2</v>
      </c>
      <c r="BL140" s="94">
        <f t="shared" si="159"/>
        <v>0</v>
      </c>
      <c r="BM140" s="94">
        <f t="shared" si="159"/>
        <v>-0.14393939393939392</v>
      </c>
      <c r="BN140" s="94">
        <f t="shared" si="159"/>
        <v>-0.17094017094017089</v>
      </c>
      <c r="BO140" s="94">
        <f t="shared" si="159"/>
        <v>-0.19672131147540983</v>
      </c>
      <c r="BP140" s="94">
        <f t="shared" si="159"/>
        <v>-0.10169491525423724</v>
      </c>
      <c r="BQ140" s="94">
        <f t="shared" si="159"/>
        <v>-8.8495575221239076E-3</v>
      </c>
      <c r="BR140" s="94">
        <f t="shared" si="159"/>
        <v>7.2164948453608213E-2</v>
      </c>
      <c r="BS140" s="94">
        <f t="shared" si="159"/>
        <v>9.1836734693877542E-2</v>
      </c>
      <c r="BT140" s="94">
        <f t="shared" si="159"/>
        <v>-5.6603773584905648E-2</v>
      </c>
      <c r="BU140" s="94">
        <f t="shared" si="159"/>
        <v>-0.2053571428571429</v>
      </c>
      <c r="BV140" s="94">
        <f t="shared" si="160"/>
        <v>-0.125</v>
      </c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5"/>
      <c r="EL140" s="47"/>
      <c r="EM140" s="47"/>
      <c r="EN140" s="47"/>
      <c r="EO140" s="47"/>
      <c r="EP140" s="47"/>
      <c r="EQ140" s="47"/>
      <c r="ER140" s="47"/>
      <c r="ES140" s="47"/>
      <c r="ET140" s="47"/>
      <c r="EU140" s="47"/>
      <c r="EV140" s="47"/>
      <c r="EW140" s="47"/>
      <c r="EX140" s="47"/>
      <c r="EY140" s="47"/>
      <c r="EZ140" s="146"/>
      <c r="FA140" s="146"/>
      <c r="FB140" s="146"/>
      <c r="FC140" s="146"/>
      <c r="FD140" s="146"/>
      <c r="FE140" s="146"/>
      <c r="FF140" s="64"/>
      <c r="FG140" s="40"/>
      <c r="FH140" s="64"/>
      <c r="FI140" s="64"/>
    </row>
    <row r="141" spans="2:165" s="26" customFormat="1" ht="13" x14ac:dyDescent="0.3">
      <c r="B141" s="15" t="s">
        <v>27</v>
      </c>
      <c r="C141" s="23"/>
      <c r="D141" s="23"/>
      <c r="E141" s="23"/>
      <c r="F141" s="23"/>
      <c r="G141" s="23"/>
      <c r="H141" s="23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93"/>
      <c r="AX141" s="93"/>
      <c r="AY141" s="93"/>
      <c r="AZ141" s="93"/>
      <c r="BA141" s="93"/>
      <c r="BB141" s="94">
        <f t="shared" ref="BB141:BV141" si="161">BB27/AX27-1</f>
        <v>5.9523809523809534E-2</v>
      </c>
      <c r="BC141" s="94">
        <f t="shared" si="161"/>
        <v>0.18586636397103939</v>
      </c>
      <c r="BD141" s="94">
        <f t="shared" si="161"/>
        <v>0.16279069767441867</v>
      </c>
      <c r="BE141" s="94">
        <f t="shared" si="161"/>
        <v>0.2441860465116279</v>
      </c>
      <c r="BF141" s="94">
        <f t="shared" si="161"/>
        <v>0.22471910112359561</v>
      </c>
      <c r="BG141" s="94">
        <f t="shared" si="161"/>
        <v>6.1855670103092786E-2</v>
      </c>
      <c r="BH141" s="94">
        <f t="shared" si="161"/>
        <v>8.0000000000000071E-2</v>
      </c>
      <c r="BI141" s="94">
        <f t="shared" si="161"/>
        <v>8.4112149532710179E-2</v>
      </c>
      <c r="BJ141" s="94">
        <f t="shared" si="161"/>
        <v>1.8348623853210899E-2</v>
      </c>
      <c r="BK141" s="94">
        <f t="shared" si="161"/>
        <v>0.16504854368932032</v>
      </c>
      <c r="BL141" s="94">
        <f t="shared" si="161"/>
        <v>0.14814814814814814</v>
      </c>
      <c r="BM141" s="94">
        <f t="shared" si="161"/>
        <v>0.10344827586206895</v>
      </c>
      <c r="BN141" s="94">
        <f t="shared" si="161"/>
        <v>5.4054054054053946E-2</v>
      </c>
      <c r="BO141" s="94">
        <f t="shared" si="161"/>
        <v>0</v>
      </c>
      <c r="BP141" s="94">
        <f t="shared" si="161"/>
        <v>-3.2258064516129004E-2</v>
      </c>
      <c r="BQ141" s="94">
        <f t="shared" si="161"/>
        <v>8.59375E-2</v>
      </c>
      <c r="BR141" s="94">
        <f t="shared" si="161"/>
        <v>2.564102564102555E-2</v>
      </c>
      <c r="BS141" s="94">
        <f t="shared" si="161"/>
        <v>6.6666666666666652E-2</v>
      </c>
      <c r="BT141" s="94">
        <f t="shared" si="161"/>
        <v>4.1666666666666741E-2</v>
      </c>
      <c r="BU141" s="94">
        <f t="shared" si="161"/>
        <v>-7.9136690647481966E-2</v>
      </c>
      <c r="BV141" s="94">
        <f t="shared" si="161"/>
        <v>0.125</v>
      </c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5"/>
      <c r="EL141" s="47"/>
      <c r="EM141" s="47"/>
      <c r="EN141" s="47"/>
      <c r="EO141" s="47"/>
      <c r="EP141" s="47"/>
      <c r="EQ141" s="47"/>
      <c r="ER141" s="47"/>
      <c r="ES141" s="47"/>
      <c r="ET141" s="47"/>
      <c r="EU141" s="47"/>
      <c r="EV141" s="47"/>
      <c r="EW141" s="47"/>
      <c r="EX141" s="47"/>
      <c r="EY141" s="47"/>
      <c r="EZ141" s="146"/>
      <c r="FA141" s="146"/>
      <c r="FB141" s="146"/>
      <c r="FC141" s="146"/>
      <c r="FD141" s="146"/>
      <c r="FE141" s="146"/>
      <c r="FF141" s="64"/>
      <c r="FG141" s="40"/>
      <c r="FH141" s="64"/>
      <c r="FI141" s="64"/>
    </row>
    <row r="142" spans="2:165" s="26" customFormat="1" ht="13" x14ac:dyDescent="0.3">
      <c r="B142" s="15" t="s">
        <v>37</v>
      </c>
      <c r="C142" s="23"/>
      <c r="D142" s="23"/>
      <c r="E142" s="23"/>
      <c r="F142" s="23"/>
      <c r="G142" s="23"/>
      <c r="H142" s="23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66"/>
      <c r="BI142" s="66"/>
      <c r="BJ142" s="66"/>
      <c r="BK142" s="66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3"/>
      <c r="ED142" s="93"/>
      <c r="EE142" s="93"/>
      <c r="EF142" s="93"/>
      <c r="EG142" s="93"/>
      <c r="EH142" s="93"/>
      <c r="EI142" s="93"/>
      <c r="EJ142" s="93"/>
      <c r="EK142" s="5"/>
      <c r="EL142" s="47"/>
      <c r="EM142" s="47"/>
      <c r="EN142" s="47"/>
      <c r="EO142" s="47"/>
      <c r="EP142" s="47"/>
      <c r="EQ142" s="47"/>
      <c r="ER142" s="47"/>
      <c r="ES142" s="47"/>
      <c r="ET142" s="47"/>
      <c r="EU142" s="47"/>
      <c r="EV142" s="47"/>
      <c r="EW142" s="47"/>
      <c r="EX142" s="47"/>
      <c r="EY142" s="47"/>
      <c r="EZ142" s="146"/>
      <c r="FA142" s="146"/>
      <c r="FB142" s="146"/>
      <c r="FC142" s="146"/>
      <c r="FD142" s="146"/>
      <c r="FE142" s="146"/>
      <c r="FF142" s="64"/>
      <c r="FG142" s="40"/>
      <c r="FH142" s="64"/>
      <c r="FI142" s="64"/>
    </row>
    <row r="143" spans="2:165" s="26" customFormat="1" ht="13" x14ac:dyDescent="0.3">
      <c r="B143" s="15" t="s">
        <v>30</v>
      </c>
      <c r="C143" s="23"/>
      <c r="D143" s="23"/>
      <c r="E143" s="23"/>
      <c r="F143" s="23"/>
      <c r="G143" s="23"/>
      <c r="H143" s="23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66"/>
      <c r="BI143" s="66"/>
      <c r="BJ143" s="66"/>
      <c r="BK143" s="66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3"/>
      <c r="DD143" s="93"/>
      <c r="DE143" s="93"/>
      <c r="DF143" s="93"/>
      <c r="DG143" s="93"/>
      <c r="DH143" s="93"/>
      <c r="DI143" s="93"/>
      <c r="DJ143" s="93"/>
      <c r="DK143" s="93"/>
      <c r="DL143" s="93"/>
      <c r="DM143" s="93"/>
      <c r="DN143" s="93"/>
      <c r="DO143" s="93"/>
      <c r="DP143" s="93"/>
      <c r="DQ143" s="93"/>
      <c r="DR143" s="93"/>
      <c r="DS143" s="93"/>
      <c r="DT143" s="93"/>
      <c r="DU143" s="93"/>
      <c r="DV143" s="93"/>
      <c r="DW143" s="93"/>
      <c r="DX143" s="93"/>
      <c r="DY143" s="93"/>
      <c r="DZ143" s="93"/>
      <c r="EA143" s="93"/>
      <c r="EB143" s="93"/>
      <c r="EC143" s="93"/>
      <c r="ED143" s="93"/>
      <c r="EE143" s="93"/>
      <c r="EF143" s="93"/>
      <c r="EG143" s="93"/>
      <c r="EH143" s="93"/>
      <c r="EI143" s="93"/>
      <c r="EJ143" s="93"/>
      <c r="EK143" s="5"/>
      <c r="EL143" s="47"/>
      <c r="EM143" s="47"/>
      <c r="EN143" s="47"/>
      <c r="EO143" s="47"/>
      <c r="EP143" s="47"/>
      <c r="EQ143" s="47"/>
      <c r="ER143" s="47"/>
      <c r="ES143" s="47"/>
      <c r="ET143" s="47"/>
      <c r="EU143" s="47"/>
      <c r="EV143" s="47"/>
      <c r="EW143" s="47"/>
      <c r="EX143" s="47"/>
      <c r="EY143" s="47"/>
      <c r="EZ143" s="146"/>
      <c r="FA143" s="146"/>
      <c r="FB143" s="146"/>
      <c r="FC143" s="146"/>
      <c r="FD143" s="146"/>
      <c r="FE143" s="146"/>
      <c r="FF143" s="64"/>
      <c r="FG143" s="40"/>
      <c r="FH143" s="64"/>
      <c r="FI143" s="64"/>
    </row>
    <row r="144" spans="2:165" s="26" customFormat="1" ht="13" x14ac:dyDescent="0.3">
      <c r="B144" s="15" t="s">
        <v>26</v>
      </c>
      <c r="C144" s="23"/>
      <c r="D144" s="23"/>
      <c r="E144" s="23"/>
      <c r="F144" s="23"/>
      <c r="G144" s="23"/>
      <c r="H144" s="23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66"/>
      <c r="BI144" s="66"/>
      <c r="BJ144" s="66"/>
      <c r="BK144" s="66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3"/>
      <c r="DP144" s="93"/>
      <c r="DQ144" s="93"/>
      <c r="DR144" s="93"/>
      <c r="DS144" s="93"/>
      <c r="DT144" s="93"/>
      <c r="DU144" s="93"/>
      <c r="DV144" s="93"/>
      <c r="DW144" s="93"/>
      <c r="DX144" s="93"/>
      <c r="DY144" s="93"/>
      <c r="DZ144" s="93"/>
      <c r="EA144" s="93"/>
      <c r="EB144" s="93"/>
      <c r="EC144" s="93"/>
      <c r="ED144" s="93"/>
      <c r="EE144" s="93"/>
      <c r="EF144" s="93"/>
      <c r="EG144" s="93"/>
      <c r="EH144" s="93"/>
      <c r="EI144" s="93"/>
      <c r="EJ144" s="93"/>
      <c r="EK144" s="5"/>
      <c r="EL144" s="47"/>
      <c r="EM144" s="47"/>
      <c r="EN144" s="47"/>
      <c r="EO144" s="47"/>
      <c r="EP144" s="47"/>
      <c r="EQ144" s="47"/>
      <c r="ER144" s="47"/>
      <c r="ES144" s="47"/>
      <c r="ET144" s="47"/>
      <c r="EU144" s="47"/>
      <c r="EV144" s="47"/>
      <c r="EW144" s="47"/>
      <c r="EX144" s="47"/>
      <c r="EY144" s="47"/>
      <c r="EZ144" s="146"/>
      <c r="FA144" s="146"/>
      <c r="FB144" s="146"/>
      <c r="FC144" s="146"/>
      <c r="FD144" s="146"/>
      <c r="FE144" s="146"/>
      <c r="FF144" s="64"/>
      <c r="FG144" s="40"/>
      <c r="FH144" s="64"/>
      <c r="FI144" s="64"/>
    </row>
    <row r="145" spans="2:165" s="26" customFormat="1" ht="13" x14ac:dyDescent="0.3">
      <c r="C145" s="23"/>
      <c r="D145" s="23"/>
      <c r="E145" s="23"/>
      <c r="F145" s="23"/>
      <c r="G145" s="23"/>
      <c r="H145" s="23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66"/>
      <c r="BI145" s="66"/>
      <c r="BJ145" s="66"/>
      <c r="BK145" s="66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3"/>
      <c r="DP145" s="93"/>
      <c r="DQ145" s="93"/>
      <c r="DR145" s="93"/>
      <c r="DS145" s="93"/>
      <c r="DT145" s="93"/>
      <c r="DU145" s="93"/>
      <c r="DV145" s="93"/>
      <c r="DW145" s="93"/>
      <c r="DX145" s="93"/>
      <c r="DY145" s="93"/>
      <c r="DZ145" s="93"/>
      <c r="EA145" s="93"/>
      <c r="EB145" s="93"/>
      <c r="EC145" s="93"/>
      <c r="ED145" s="93"/>
      <c r="EE145" s="93"/>
      <c r="EF145" s="93"/>
      <c r="EG145" s="93"/>
      <c r="EH145" s="93"/>
      <c r="EI145" s="93"/>
      <c r="EJ145" s="93"/>
      <c r="EK145" s="5"/>
      <c r="EL145" s="47"/>
      <c r="EM145" s="47"/>
      <c r="EN145" s="47"/>
      <c r="EO145" s="47"/>
      <c r="EP145" s="47"/>
      <c r="EQ145" s="47"/>
      <c r="ER145" s="47"/>
      <c r="ES145" s="47"/>
      <c r="ET145" s="47"/>
      <c r="EU145" s="47"/>
      <c r="EV145" s="47"/>
      <c r="EW145" s="47"/>
      <c r="EX145" s="47"/>
      <c r="EY145" s="47"/>
      <c r="EZ145" s="146"/>
      <c r="FA145" s="146"/>
      <c r="FB145" s="146"/>
      <c r="FC145" s="146"/>
      <c r="FD145" s="146"/>
      <c r="FE145" s="146"/>
      <c r="FF145" s="64"/>
      <c r="FG145" s="40"/>
      <c r="FH145" s="64"/>
      <c r="FI145" s="64"/>
    </row>
    <row r="146" spans="2:165" s="26" customFormat="1" ht="13" x14ac:dyDescent="0.3">
      <c r="B146" s="3" t="s">
        <v>604</v>
      </c>
      <c r="C146" s="23"/>
      <c r="D146" s="23"/>
      <c r="E146" s="23"/>
      <c r="F146" s="23"/>
      <c r="G146" s="23"/>
      <c r="H146" s="23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66"/>
      <c r="BI146" s="66"/>
      <c r="BJ146" s="66"/>
      <c r="BK146" s="66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93"/>
      <c r="EJ146" s="93"/>
      <c r="EK146" s="5"/>
      <c r="EL146" s="47"/>
      <c r="EM146" s="47"/>
      <c r="EN146" s="47"/>
      <c r="EO146" s="47"/>
      <c r="EP146" s="47"/>
      <c r="EQ146" s="47"/>
      <c r="ER146" s="47"/>
      <c r="ES146" s="23">
        <f>ES87</f>
        <v>9786</v>
      </c>
      <c r="ET146" s="23">
        <f t="shared" ref="ET146" si="162">ET87</f>
        <v>9919</v>
      </c>
      <c r="EU146" s="47"/>
      <c r="EV146" s="47"/>
      <c r="EW146" s="47"/>
      <c r="EX146" s="47"/>
      <c r="EY146" s="47"/>
      <c r="EZ146" s="146"/>
      <c r="FA146" s="146"/>
      <c r="FB146" s="146"/>
      <c r="FC146" s="146"/>
      <c r="FD146" s="146"/>
      <c r="FE146" s="146"/>
      <c r="FF146" s="64"/>
      <c r="FG146" s="40"/>
      <c r="FH146" s="64"/>
      <c r="FI146" s="64"/>
    </row>
    <row r="147" spans="2:165" x14ac:dyDescent="0.25">
      <c r="B147" s="3" t="s">
        <v>601</v>
      </c>
      <c r="E147" s="44"/>
      <c r="F147" s="44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ES147" s="23">
        <v>12177</v>
      </c>
      <c r="ET147" s="23">
        <v>16877</v>
      </c>
    </row>
    <row r="148" spans="2:165" x14ac:dyDescent="0.25">
      <c r="B148" s="3" t="s">
        <v>602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ES148" s="23">
        <v>3139</v>
      </c>
      <c r="ET148" s="23">
        <v>2984</v>
      </c>
    </row>
    <row r="149" spans="2:165" x14ac:dyDescent="0.25">
      <c r="B149" s="3" t="s">
        <v>603</v>
      </c>
      <c r="E149" s="28"/>
      <c r="F149" s="28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ES149" s="23">
        <f>+ES147-ES148</f>
        <v>9038</v>
      </c>
      <c r="ET149" s="23">
        <f>+ET147-ET148</f>
        <v>13893</v>
      </c>
    </row>
    <row r="150" spans="2:165" x14ac:dyDescent="0.25"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spans="2:165" x14ac:dyDescent="0.25">
      <c r="B151" s="3" t="s">
        <v>808</v>
      </c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EW151" s="23">
        <v>82089</v>
      </c>
      <c r="EX151" s="23">
        <v>85080</v>
      </c>
      <c r="EY151" s="23">
        <v>88509</v>
      </c>
      <c r="EZ151" s="130">
        <v>91747</v>
      </c>
      <c r="FA151" s="130">
        <v>94052</v>
      </c>
      <c r="FB151" s="130">
        <v>93734</v>
      </c>
      <c r="FC151" s="130">
        <v>94442</v>
      </c>
      <c r="FD151" s="130">
        <v>97735</v>
      </c>
      <c r="FE151" s="130">
        <v>101465</v>
      </c>
      <c r="FF151" s="130">
        <v>100920</v>
      </c>
    </row>
    <row r="152" spans="2:165" x14ac:dyDescent="0.25"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spans="2:165" s="123" customFormat="1" x14ac:dyDescent="0.25">
      <c r="B153" s="20" t="s">
        <v>938</v>
      </c>
      <c r="C153" s="23"/>
      <c r="D153" s="23"/>
      <c r="E153" s="23"/>
      <c r="F153" s="23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  <c r="EH153" s="66"/>
      <c r="EI153" s="66"/>
      <c r="EJ153" s="66"/>
      <c r="EK153" s="122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130"/>
      <c r="FA153" s="130"/>
      <c r="FB153" s="130"/>
      <c r="FC153" s="130"/>
      <c r="FD153" s="130"/>
      <c r="FE153" s="130"/>
      <c r="FF153" s="130"/>
      <c r="FG153" s="147"/>
      <c r="FH153" s="130">
        <f>+FH154-FH165</f>
        <v>-18699</v>
      </c>
      <c r="FI153" s="130">
        <f>+FI154-FI165</f>
        <v>-17337</v>
      </c>
    </row>
    <row r="154" spans="2:165" s="123" customFormat="1" x14ac:dyDescent="0.25">
      <c r="B154" s="20" t="s">
        <v>809</v>
      </c>
      <c r="C154" s="23"/>
      <c r="D154" s="23"/>
      <c r="E154" s="23"/>
      <c r="F154" s="23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122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130"/>
      <c r="FA154" s="130"/>
      <c r="FB154" s="130"/>
      <c r="FC154" s="130"/>
      <c r="FD154" s="130"/>
      <c r="FE154" s="130"/>
      <c r="FF154" s="130"/>
      <c r="FG154" s="147"/>
      <c r="FH154" s="130">
        <f>5376+5134</f>
        <v>10510</v>
      </c>
      <c r="FI154" s="130">
        <f>6975+10342</f>
        <v>17317</v>
      </c>
    </row>
    <row r="155" spans="2:165" s="123" customFormat="1" x14ac:dyDescent="0.25">
      <c r="B155" s="20" t="s">
        <v>929</v>
      </c>
      <c r="C155" s="23"/>
      <c r="D155" s="23"/>
      <c r="E155" s="23"/>
      <c r="F155" s="23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122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130"/>
      <c r="FA155" s="130"/>
      <c r="FB155" s="130"/>
      <c r="FC155" s="130"/>
      <c r="FD155" s="130"/>
      <c r="FE155" s="130"/>
      <c r="FF155" s="130"/>
      <c r="FG155" s="147"/>
      <c r="FH155" s="130">
        <v>3822</v>
      </c>
      <c r="FI155" s="130">
        <v>3401</v>
      </c>
    </row>
    <row r="156" spans="2:165" s="123" customFormat="1" x14ac:dyDescent="0.25">
      <c r="B156" s="20" t="s">
        <v>930</v>
      </c>
      <c r="C156" s="23"/>
      <c r="D156" s="23"/>
      <c r="E156" s="23"/>
      <c r="F156" s="23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122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130"/>
      <c r="FA156" s="130"/>
      <c r="FB156" s="130"/>
      <c r="FC156" s="130"/>
      <c r="FD156" s="130"/>
      <c r="FE156" s="130"/>
      <c r="FF156" s="130"/>
      <c r="FG156" s="147"/>
      <c r="FH156" s="130">
        <f>344+6882</f>
        <v>7226</v>
      </c>
      <c r="FI156" s="130">
        <f>415+8569</f>
        <v>8984</v>
      </c>
    </row>
    <row r="157" spans="2:165" s="123" customFormat="1" x14ac:dyDescent="0.25">
      <c r="B157" s="20" t="s">
        <v>931</v>
      </c>
      <c r="C157" s="23"/>
      <c r="D157" s="23"/>
      <c r="E157" s="23"/>
      <c r="F157" s="23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122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130"/>
      <c r="FA157" s="130"/>
      <c r="FB157" s="130"/>
      <c r="FC157" s="130"/>
      <c r="FD157" s="130"/>
      <c r="FE157" s="130"/>
      <c r="FF157" s="130"/>
      <c r="FG157" s="147"/>
      <c r="FH157" s="130">
        <v>11021</v>
      </c>
      <c r="FI157" s="130">
        <v>11297</v>
      </c>
    </row>
    <row r="158" spans="2:165" s="123" customFormat="1" x14ac:dyDescent="0.25">
      <c r="B158" s="20" t="s">
        <v>932</v>
      </c>
      <c r="C158" s="23"/>
      <c r="D158" s="23"/>
      <c r="E158" s="23"/>
      <c r="F158" s="23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122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130"/>
      <c r="FA158" s="130"/>
      <c r="FB158" s="130"/>
      <c r="FC158" s="130"/>
      <c r="FD158" s="130"/>
      <c r="FE158" s="130"/>
      <c r="FF158" s="130"/>
      <c r="FG158" s="147"/>
      <c r="FH158" s="130">
        <v>7749</v>
      </c>
      <c r="FI158" s="130">
        <v>7606</v>
      </c>
    </row>
    <row r="159" spans="2:165" s="123" customFormat="1" x14ac:dyDescent="0.25">
      <c r="B159" s="20" t="s">
        <v>933</v>
      </c>
      <c r="C159" s="23"/>
      <c r="D159" s="23"/>
      <c r="E159" s="23"/>
      <c r="F159" s="23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122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130"/>
      <c r="FA159" s="130"/>
      <c r="FB159" s="130"/>
      <c r="FC159" s="130"/>
      <c r="FD159" s="130"/>
      <c r="FE159" s="130"/>
      <c r="FF159" s="130"/>
      <c r="FG159" s="147"/>
      <c r="FH159" s="130">
        <v>1964</v>
      </c>
      <c r="FI159" s="130">
        <v>2021</v>
      </c>
    </row>
    <row r="160" spans="2:165" s="123" customFormat="1" x14ac:dyDescent="0.25">
      <c r="B160" s="20" t="s">
        <v>934</v>
      </c>
      <c r="C160" s="23"/>
      <c r="D160" s="23"/>
      <c r="E160" s="23"/>
      <c r="F160" s="23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122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130"/>
      <c r="FA160" s="130"/>
      <c r="FB160" s="130"/>
      <c r="FC160" s="130"/>
      <c r="FD160" s="130"/>
      <c r="FE160" s="130"/>
      <c r="FF160" s="130"/>
      <c r="FG160" s="147"/>
      <c r="FH160" s="130">
        <v>1019</v>
      </c>
      <c r="FI160" s="130">
        <v>2256</v>
      </c>
    </row>
    <row r="161" spans="2:165" s="123" customFormat="1" x14ac:dyDescent="0.25">
      <c r="B161" s="20" t="s">
        <v>937</v>
      </c>
      <c r="C161" s="23"/>
      <c r="D161" s="23"/>
      <c r="E161" s="23"/>
      <c r="F161" s="23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122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130"/>
      <c r="FA161" s="130"/>
      <c r="FB161" s="130"/>
      <c r="FC161" s="130"/>
      <c r="FD161" s="130"/>
      <c r="FE161" s="130"/>
      <c r="FF161" s="130"/>
      <c r="FG161" s="147"/>
      <c r="FH161" s="130">
        <f>9390+14828+1215</f>
        <v>25433</v>
      </c>
      <c r="FI161" s="130">
        <f>1183+7876+17303</f>
        <v>26362</v>
      </c>
    </row>
    <row r="162" spans="2:165" s="123" customFormat="1" x14ac:dyDescent="0.25">
      <c r="B162" s="20" t="s">
        <v>936</v>
      </c>
      <c r="C162" s="23"/>
      <c r="D162" s="23"/>
      <c r="E162" s="23"/>
      <c r="F162" s="23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122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130"/>
      <c r="FA162" s="130"/>
      <c r="FB162" s="130"/>
      <c r="FC162" s="130"/>
      <c r="FD162" s="130"/>
      <c r="FE162" s="130"/>
      <c r="FF162" s="130"/>
      <c r="FG162" s="147"/>
      <c r="FH162" s="130">
        <v>21724</v>
      </c>
      <c r="FI162" s="130">
        <v>22557</v>
      </c>
    </row>
    <row r="163" spans="2:165" s="123" customFormat="1" ht="13" x14ac:dyDescent="0.3">
      <c r="B163" s="20" t="s">
        <v>935</v>
      </c>
      <c r="C163" s="23"/>
      <c r="D163" s="23"/>
      <c r="E163" s="23"/>
      <c r="F163" s="23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25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122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130"/>
      <c r="FA163" s="130"/>
      <c r="FB163" s="130"/>
      <c r="FC163" s="130"/>
      <c r="FD163" s="130"/>
      <c r="FE163" s="130"/>
      <c r="FF163" s="130"/>
      <c r="FG163" s="147"/>
      <c r="FH163" s="139">
        <f>SUM(FH154:FH162)</f>
        <v>90468</v>
      </c>
      <c r="FI163" s="139">
        <f>SUM(FI154:FI162)</f>
        <v>101801</v>
      </c>
    </row>
    <row r="165" spans="2:165" s="123" customFormat="1" x14ac:dyDescent="0.25">
      <c r="B165" s="20" t="s">
        <v>611</v>
      </c>
      <c r="C165" s="23"/>
      <c r="D165" s="23"/>
      <c r="E165" s="23"/>
      <c r="F165" s="23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25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122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130"/>
      <c r="FA165" s="130"/>
      <c r="FB165" s="130"/>
      <c r="FC165" s="130"/>
      <c r="FD165" s="130"/>
      <c r="FE165" s="130"/>
      <c r="FF165" s="130"/>
      <c r="FG165" s="147"/>
      <c r="FH165" s="130">
        <f>4400+24809</f>
        <v>29209</v>
      </c>
      <c r="FI165" s="130">
        <f>30722+3932</f>
        <v>34654</v>
      </c>
    </row>
    <row r="166" spans="2:165" s="123" customFormat="1" x14ac:dyDescent="0.25">
      <c r="B166" s="20" t="s">
        <v>941</v>
      </c>
      <c r="C166" s="23"/>
      <c r="D166" s="23"/>
      <c r="E166" s="23"/>
      <c r="F166" s="23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25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122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130"/>
      <c r="FA166" s="130"/>
      <c r="FB166" s="130"/>
      <c r="FC166" s="130"/>
      <c r="FD166" s="130"/>
      <c r="FE166" s="130"/>
      <c r="FF166" s="130"/>
      <c r="FG166" s="147"/>
      <c r="FH166" s="130">
        <v>12158</v>
      </c>
      <c r="FI166" s="130">
        <v>13548</v>
      </c>
    </row>
    <row r="167" spans="2:165" s="123" customFormat="1" x14ac:dyDescent="0.25">
      <c r="B167" s="20" t="s">
        <v>940</v>
      </c>
      <c r="C167" s="23"/>
      <c r="D167" s="23"/>
      <c r="E167" s="23"/>
      <c r="F167" s="23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25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122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130"/>
      <c r="FA167" s="130"/>
      <c r="FB167" s="130"/>
      <c r="FC167" s="130"/>
      <c r="FD167" s="130"/>
      <c r="FE167" s="130"/>
      <c r="FF167" s="130"/>
      <c r="FG167" s="147"/>
      <c r="FH167" s="130">
        <v>4325</v>
      </c>
      <c r="FI167" s="130">
        <v>4894</v>
      </c>
    </row>
    <row r="168" spans="2:165" s="123" customFormat="1" x14ac:dyDescent="0.25">
      <c r="B168" s="20" t="s">
        <v>939</v>
      </c>
      <c r="C168" s="23"/>
      <c r="D168" s="23"/>
      <c r="E168" s="23"/>
      <c r="F168" s="23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25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122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130"/>
      <c r="FA168" s="130"/>
      <c r="FB168" s="130"/>
      <c r="FC168" s="130"/>
      <c r="FD168" s="130"/>
      <c r="FE168" s="130"/>
      <c r="FF168" s="130"/>
      <c r="FG168" s="147"/>
      <c r="FH168" s="130">
        <f>1684+1059</f>
        <v>2743</v>
      </c>
      <c r="FI168" s="130">
        <f>1726+1079</f>
        <v>2805</v>
      </c>
    </row>
    <row r="169" spans="2:165" s="123" customFormat="1" x14ac:dyDescent="0.25">
      <c r="B169" s="20" t="s">
        <v>930</v>
      </c>
      <c r="C169" s="23"/>
      <c r="D169" s="23"/>
      <c r="E169" s="23"/>
      <c r="F169" s="23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25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122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130"/>
      <c r="FA169" s="130"/>
      <c r="FB169" s="130"/>
      <c r="FC169" s="130"/>
      <c r="FD169" s="130"/>
      <c r="FE169" s="130"/>
      <c r="FF169" s="130"/>
      <c r="FG169" s="147"/>
      <c r="FH169" s="130">
        <f>2257+593</f>
        <v>2850</v>
      </c>
      <c r="FI169" s="130">
        <f>2923+832</f>
        <v>3755</v>
      </c>
    </row>
    <row r="170" spans="2:165" s="123" customFormat="1" x14ac:dyDescent="0.25">
      <c r="B170" s="20" t="s">
        <v>942</v>
      </c>
      <c r="C170" s="23"/>
      <c r="D170" s="23"/>
      <c r="E170" s="23"/>
      <c r="F170" s="23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25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122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130"/>
      <c r="FA170" s="130"/>
      <c r="FB170" s="130"/>
      <c r="FC170" s="130"/>
      <c r="FD170" s="130"/>
      <c r="FE170" s="130"/>
      <c r="FF170" s="130"/>
      <c r="FG170" s="147"/>
      <c r="FH170" s="130">
        <v>1541</v>
      </c>
      <c r="FI170" s="130">
        <v>1603</v>
      </c>
    </row>
    <row r="171" spans="2:165" s="123" customFormat="1" x14ac:dyDescent="0.25">
      <c r="B171" s="20" t="s">
        <v>943</v>
      </c>
      <c r="C171" s="23"/>
      <c r="D171" s="23"/>
      <c r="E171" s="23"/>
      <c r="F171" s="23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25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122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130"/>
      <c r="FA171" s="130"/>
      <c r="FB171" s="130"/>
      <c r="FC171" s="130"/>
      <c r="FD171" s="130"/>
      <c r="FE171" s="130"/>
      <c r="FF171" s="130"/>
      <c r="FG171" s="147"/>
      <c r="FH171" s="130">
        <v>4379</v>
      </c>
      <c r="FI171" s="130">
        <v>4381</v>
      </c>
    </row>
    <row r="172" spans="2:165" s="123" customFormat="1" x14ac:dyDescent="0.25">
      <c r="B172" s="20" t="s">
        <v>945</v>
      </c>
      <c r="C172" s="23"/>
      <c r="D172" s="23"/>
      <c r="E172" s="23"/>
      <c r="F172" s="23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25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122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130"/>
      <c r="FA172" s="130"/>
      <c r="FB172" s="130"/>
      <c r="FC172" s="130"/>
      <c r="FD172" s="130"/>
      <c r="FE172" s="130"/>
      <c r="FF172" s="130"/>
      <c r="FG172" s="147"/>
      <c r="FH172" s="130">
        <v>33263</v>
      </c>
      <c r="FI172" s="130">
        <v>36161</v>
      </c>
    </row>
    <row r="173" spans="2:165" s="123" customFormat="1" ht="13" x14ac:dyDescent="0.3">
      <c r="B173" s="20" t="s">
        <v>944</v>
      </c>
      <c r="C173" s="23"/>
      <c r="D173" s="23"/>
      <c r="E173" s="23"/>
      <c r="F173" s="23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25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122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130"/>
      <c r="FA173" s="130"/>
      <c r="FB173" s="130"/>
      <c r="FC173" s="130"/>
      <c r="FD173" s="130"/>
      <c r="FE173" s="130"/>
      <c r="FF173" s="130"/>
      <c r="FG173" s="147"/>
      <c r="FH173" s="139">
        <f>SUM(FH165:FH172)</f>
        <v>90468</v>
      </c>
      <c r="FI173" s="139">
        <f>SUM(FI165:FI172)</f>
        <v>101801</v>
      </c>
    </row>
    <row r="175" spans="2:165" s="123" customFormat="1" x14ac:dyDescent="0.25">
      <c r="B175" s="20" t="s">
        <v>604</v>
      </c>
      <c r="C175" s="23"/>
      <c r="D175" s="23"/>
      <c r="E175" s="23"/>
      <c r="F175" s="23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25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122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130"/>
      <c r="FA175" s="130"/>
      <c r="FB175" s="130"/>
      <c r="FC175" s="130"/>
      <c r="FD175" s="130"/>
      <c r="FE175" s="130"/>
      <c r="FF175" s="130"/>
      <c r="FG175" s="147"/>
      <c r="FH175" s="130">
        <f>+FH87</f>
        <v>14109</v>
      </c>
      <c r="FI175" s="130">
        <f>+FI87</f>
        <v>14250.09</v>
      </c>
    </row>
    <row r="176" spans="2:165" s="123" customFormat="1" x14ac:dyDescent="0.25">
      <c r="B176" s="20" t="s">
        <v>1030</v>
      </c>
      <c r="C176" s="23"/>
      <c r="D176" s="23"/>
      <c r="E176" s="23"/>
      <c r="F176" s="23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25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122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130"/>
      <c r="FA176" s="130"/>
      <c r="FB176" s="130"/>
      <c r="FC176" s="130"/>
      <c r="FD176" s="130"/>
      <c r="FE176" s="130"/>
      <c r="FF176" s="130"/>
      <c r="FG176" s="147"/>
      <c r="FH176" s="130">
        <v>22617</v>
      </c>
      <c r="FI176" s="130">
        <v>24332</v>
      </c>
    </row>
    <row r="177" spans="2:165" s="123" customFormat="1" x14ac:dyDescent="0.25">
      <c r="B177" s="20" t="s">
        <v>1031</v>
      </c>
      <c r="C177" s="23"/>
      <c r="D177" s="23"/>
      <c r="E177" s="23"/>
      <c r="F177" s="23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25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122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130"/>
      <c r="FA177" s="130"/>
      <c r="FB177" s="130"/>
      <c r="FC177" s="130"/>
      <c r="FD177" s="130"/>
      <c r="FE177" s="130"/>
      <c r="FF177" s="130"/>
      <c r="FG177" s="147"/>
      <c r="FH177" s="130">
        <v>-1107</v>
      </c>
      <c r="FI177" s="130">
        <v>1161</v>
      </c>
    </row>
    <row r="178" spans="2:165" s="123" customFormat="1" x14ac:dyDescent="0.25">
      <c r="B178" s="20" t="s">
        <v>934</v>
      </c>
      <c r="C178" s="23"/>
      <c r="D178" s="23"/>
      <c r="E178" s="23"/>
      <c r="F178" s="23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25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122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130"/>
      <c r="FA178" s="130"/>
      <c r="FB178" s="130"/>
      <c r="FC178" s="130"/>
      <c r="FD178" s="130"/>
      <c r="FE178" s="130"/>
      <c r="FF178" s="130"/>
      <c r="FG178" s="147"/>
      <c r="FH178" s="130">
        <v>-743</v>
      </c>
      <c r="FI178" s="130">
        <v>-661</v>
      </c>
    </row>
    <row r="179" spans="2:165" s="123" customFormat="1" x14ac:dyDescent="0.25">
      <c r="B179" s="20" t="s">
        <v>939</v>
      </c>
      <c r="C179" s="23"/>
      <c r="D179" s="23"/>
      <c r="E179" s="23"/>
      <c r="F179" s="23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25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122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130"/>
      <c r="FA179" s="130"/>
      <c r="FB179" s="130"/>
      <c r="FC179" s="130"/>
      <c r="FD179" s="130"/>
      <c r="FE179" s="130"/>
      <c r="FF179" s="130"/>
      <c r="FG179" s="147"/>
      <c r="FH179" s="130">
        <v>-1052</v>
      </c>
      <c r="FI179" s="130">
        <v>-1012</v>
      </c>
    </row>
    <row r="180" spans="2:165" s="123" customFormat="1" x14ac:dyDescent="0.25">
      <c r="B180" s="20" t="s">
        <v>18</v>
      </c>
      <c r="C180" s="23"/>
      <c r="D180" s="23"/>
      <c r="E180" s="23"/>
      <c r="F180" s="23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25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122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130"/>
      <c r="FA180" s="130"/>
      <c r="FB180" s="130"/>
      <c r="FC180" s="130"/>
      <c r="FD180" s="130"/>
      <c r="FE180" s="130"/>
      <c r="FF180" s="130"/>
      <c r="FG180" s="147"/>
      <c r="FH180" s="130">
        <v>0</v>
      </c>
      <c r="FI180" s="130">
        <v>1</v>
      </c>
    </row>
    <row r="181" spans="2:165" s="123" customFormat="1" x14ac:dyDescent="0.25">
      <c r="B181" s="20" t="s">
        <v>930</v>
      </c>
      <c r="C181" s="23"/>
      <c r="D181" s="23"/>
      <c r="E181" s="23"/>
      <c r="F181" s="23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25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122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130"/>
      <c r="FA181" s="130"/>
      <c r="FB181" s="130"/>
      <c r="FC181" s="130"/>
      <c r="FD181" s="130"/>
      <c r="FE181" s="130"/>
      <c r="FF181" s="130"/>
      <c r="FG181" s="147"/>
      <c r="FH181" s="130">
        <v>-3620</v>
      </c>
      <c r="FI181" s="130">
        <v>-3727</v>
      </c>
    </row>
    <row r="182" spans="2:165" s="123" customFormat="1" x14ac:dyDescent="0.25">
      <c r="B182" s="20" t="s">
        <v>601</v>
      </c>
      <c r="C182" s="23"/>
      <c r="D182" s="23"/>
      <c r="E182" s="23"/>
      <c r="F182" s="23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25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122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130"/>
      <c r="FA182" s="130"/>
      <c r="FB182" s="130"/>
      <c r="FC182" s="130"/>
      <c r="FD182" s="130"/>
      <c r="FE182" s="130"/>
      <c r="FF182" s="130"/>
      <c r="FG182" s="147"/>
      <c r="FH182" s="130">
        <f>SUM(FH176:FH181)</f>
        <v>16095</v>
      </c>
      <c r="FI182" s="130">
        <f>SUM(FI176:FI181)</f>
        <v>20094</v>
      </c>
    </row>
    <row r="184" spans="2:165" s="123" customFormat="1" x14ac:dyDescent="0.25">
      <c r="B184" s="20" t="s">
        <v>1033</v>
      </c>
      <c r="C184" s="23"/>
      <c r="D184" s="23"/>
      <c r="E184" s="23"/>
      <c r="F184" s="23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25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122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130"/>
      <c r="FA184" s="130"/>
      <c r="FB184" s="130"/>
      <c r="FC184" s="130"/>
      <c r="FD184" s="130"/>
      <c r="FE184" s="130"/>
      <c r="FF184" s="130"/>
      <c r="FG184" s="147"/>
      <c r="FH184" s="130">
        <f>-3742+173</f>
        <v>-3569</v>
      </c>
      <c r="FI184" s="130">
        <f>-3529+61</f>
        <v>-3468</v>
      </c>
    </row>
    <row r="185" spans="2:165" s="123" customFormat="1" x14ac:dyDescent="0.25">
      <c r="B185" s="20" t="s">
        <v>1034</v>
      </c>
      <c r="C185" s="23"/>
      <c r="D185" s="23"/>
      <c r="E185" s="23"/>
      <c r="F185" s="23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25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122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130"/>
      <c r="FA185" s="130"/>
      <c r="FB185" s="130"/>
      <c r="FC185" s="130"/>
      <c r="FD185" s="130"/>
      <c r="FE185" s="130"/>
      <c r="FF185" s="130"/>
      <c r="FG185" s="147"/>
      <c r="FH185" s="130">
        <v>-907</v>
      </c>
      <c r="FI185" s="130">
        <v>-1480</v>
      </c>
    </row>
    <row r="186" spans="2:165" s="123" customFormat="1" x14ac:dyDescent="0.25">
      <c r="B186" s="20" t="s">
        <v>1035</v>
      </c>
      <c r="C186" s="23"/>
      <c r="D186" s="23"/>
      <c r="E186" s="23"/>
      <c r="F186" s="23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25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122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130"/>
      <c r="FA186" s="130"/>
      <c r="FB186" s="130"/>
      <c r="FC186" s="130"/>
      <c r="FD186" s="130"/>
      <c r="FE186" s="130"/>
      <c r="FF186" s="130"/>
      <c r="FG186" s="147"/>
      <c r="FH186" s="133">
        <f>558+1</f>
        <v>559</v>
      </c>
      <c r="FI186" s="130">
        <f>376+1049+1</f>
        <v>1426</v>
      </c>
    </row>
    <row r="187" spans="2:165" s="123" customFormat="1" x14ac:dyDescent="0.25">
      <c r="B187" s="20" t="s">
        <v>1036</v>
      </c>
      <c r="C187" s="23"/>
      <c r="D187" s="23"/>
      <c r="E187" s="23"/>
      <c r="F187" s="23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25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122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130"/>
      <c r="FA187" s="130"/>
      <c r="FB187" s="130"/>
      <c r="FC187" s="130"/>
      <c r="FD187" s="130"/>
      <c r="FE187" s="130"/>
      <c r="FF187" s="130"/>
      <c r="FG187" s="147"/>
      <c r="FH187" s="130">
        <v>-6220</v>
      </c>
      <c r="FI187" s="130">
        <f>-2836-283</f>
        <v>-3119</v>
      </c>
    </row>
    <row r="188" spans="2:165" s="123" customFormat="1" x14ac:dyDescent="0.25">
      <c r="B188" s="20" t="s">
        <v>1037</v>
      </c>
      <c r="C188" s="23"/>
      <c r="D188" s="23"/>
      <c r="E188" s="23"/>
      <c r="F188" s="23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25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122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130"/>
      <c r="FA188" s="130"/>
      <c r="FB188" s="130"/>
      <c r="FC188" s="130"/>
      <c r="FD188" s="130"/>
      <c r="FE188" s="130"/>
      <c r="FF188" s="130"/>
      <c r="FG188" s="147"/>
      <c r="FH188" s="130">
        <f>168+125-87-745+33</f>
        <v>-506</v>
      </c>
      <c r="FI188" s="130">
        <f>232+198-112-5084+14</f>
        <v>-4752</v>
      </c>
    </row>
    <row r="189" spans="2:165" s="123" customFormat="1" x14ac:dyDescent="0.25">
      <c r="B189" s="20" t="s">
        <v>1032</v>
      </c>
      <c r="C189" s="23"/>
      <c r="D189" s="23"/>
      <c r="E189" s="23"/>
      <c r="F189" s="23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25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122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130"/>
      <c r="FA189" s="130"/>
      <c r="FB189" s="130"/>
      <c r="FC189" s="130"/>
      <c r="FD189" s="130"/>
      <c r="FE189" s="130"/>
      <c r="FF189" s="130"/>
      <c r="FG189" s="147"/>
      <c r="FH189" s="130">
        <f>SUM(FH184:FH188)</f>
        <v>-10643</v>
      </c>
      <c r="FI189" s="130">
        <f>SUM(FI184:FI188)</f>
        <v>-11393</v>
      </c>
    </row>
    <row r="191" spans="2:165" s="123" customFormat="1" x14ac:dyDescent="0.25">
      <c r="B191" s="20" t="s">
        <v>611</v>
      </c>
      <c r="C191" s="23"/>
      <c r="D191" s="23"/>
      <c r="E191" s="23"/>
      <c r="F191" s="23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25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122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130"/>
      <c r="FA191" s="130"/>
      <c r="FB191" s="130"/>
      <c r="FC191" s="130"/>
      <c r="FD191" s="130"/>
      <c r="FE191" s="130"/>
      <c r="FF191" s="130"/>
      <c r="FG191" s="147"/>
      <c r="FH191" s="130">
        <f>8167-1751-806+175+155-770</f>
        <v>5170</v>
      </c>
      <c r="FI191" s="130">
        <f>7915-3095-709-292+30-1145</f>
        <v>2704</v>
      </c>
    </row>
    <row r="192" spans="2:165" s="123" customFormat="1" x14ac:dyDescent="0.25">
      <c r="B192" s="20" t="s">
        <v>1041</v>
      </c>
      <c r="C192" s="23"/>
      <c r="D192" s="23"/>
      <c r="E192" s="23"/>
      <c r="F192" s="23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25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122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130"/>
      <c r="FA192" s="130"/>
      <c r="FB192" s="130"/>
      <c r="FC192" s="130"/>
      <c r="FD192" s="130"/>
      <c r="FE192" s="130"/>
      <c r="FF192" s="130"/>
      <c r="FG192" s="147"/>
      <c r="FH192" s="130">
        <v>-339</v>
      </c>
      <c r="FI192" s="130">
        <v>-350</v>
      </c>
    </row>
    <row r="193" spans="2:165" s="123" customFormat="1" x14ac:dyDescent="0.25">
      <c r="B193" s="20" t="s">
        <v>1040</v>
      </c>
      <c r="C193" s="23"/>
      <c r="D193" s="23"/>
      <c r="E193" s="23"/>
      <c r="F193" s="23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25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122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130"/>
      <c r="FA193" s="130"/>
      <c r="FB193" s="130"/>
      <c r="FC193" s="130"/>
      <c r="FD193" s="130"/>
      <c r="FE193" s="130"/>
      <c r="FF193" s="130"/>
      <c r="FG193" s="147"/>
      <c r="FH193" s="130">
        <v>-7926</v>
      </c>
      <c r="FI193" s="130">
        <v>-8043</v>
      </c>
    </row>
    <row r="194" spans="2:165" s="123" customFormat="1" x14ac:dyDescent="0.25">
      <c r="B194" s="20" t="s">
        <v>1039</v>
      </c>
      <c r="C194" s="23"/>
      <c r="D194" s="23"/>
      <c r="E194" s="23"/>
      <c r="F194" s="23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25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122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130"/>
      <c r="FA194" s="130"/>
      <c r="FB194" s="130"/>
      <c r="FC194" s="130"/>
      <c r="FD194" s="130"/>
      <c r="FE194" s="130"/>
      <c r="FF194" s="130"/>
      <c r="FG194" s="147"/>
      <c r="FH194" s="130">
        <v>-1144</v>
      </c>
      <c r="FI194" s="130">
        <v>-1130</v>
      </c>
    </row>
    <row r="195" spans="2:165" s="123" customFormat="1" x14ac:dyDescent="0.25">
      <c r="B195" s="20" t="s">
        <v>1038</v>
      </c>
      <c r="C195" s="23"/>
      <c r="D195" s="23"/>
      <c r="E195" s="23"/>
      <c r="F195" s="23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25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122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130"/>
      <c r="FA195" s="130"/>
      <c r="FB195" s="130"/>
      <c r="FC195" s="130"/>
      <c r="FD195" s="130"/>
      <c r="FE195" s="130"/>
      <c r="FF195" s="130"/>
      <c r="FG195" s="147"/>
      <c r="FH195" s="130">
        <f t="shared" ref="FH195" si="163">SUM(FH191:FH194)</f>
        <v>-4239</v>
      </c>
      <c r="FI195" s="130">
        <f>SUM(FI191:FI194)</f>
        <v>-6819</v>
      </c>
    </row>
    <row r="196" spans="2:165" x14ac:dyDescent="0.25">
      <c r="B196" s="3" t="s">
        <v>1043</v>
      </c>
      <c r="FH196" s="131">
        <v>-828</v>
      </c>
      <c r="FI196" s="131">
        <v>-283</v>
      </c>
    </row>
    <row r="197" spans="2:165" x14ac:dyDescent="0.25">
      <c r="B197" s="3" t="s">
        <v>1042</v>
      </c>
      <c r="FH197" s="130">
        <f t="shared" ref="FH197" si="164">+FH196+FH195+FH189+FH182</f>
        <v>385</v>
      </c>
      <c r="FI197" s="130">
        <f>+FI196+FI195+FI189+FI182</f>
        <v>1599</v>
      </c>
    </row>
  </sheetData>
  <phoneticPr fontId="0" type="noConversion"/>
  <hyperlinks>
    <hyperlink ref="A1" location="Main!A1" display="Main" xr:uid="{00000000-0004-0000-0300-000000000000}"/>
  </hyperlinks>
  <printOptions horizontalCentered="1" verticalCentered="1"/>
  <pageMargins left="0.23" right="0.2" top="0.26" bottom="0.25" header="0.25" footer="0.25"/>
  <pageSetup scale="15" orientation="landscape" r:id="rId1"/>
  <headerFooter alignWithMargins="0">
    <oddHeader>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F5E5-E2DF-486B-876C-CF711BFA812B}">
  <dimension ref="A1:C33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2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802</v>
      </c>
    </row>
    <row r="3" spans="1:3" x14ac:dyDescent="0.25">
      <c r="B3" s="2" t="s">
        <v>814</v>
      </c>
      <c r="C3" s="2" t="s">
        <v>974</v>
      </c>
    </row>
    <row r="4" spans="1:3" x14ac:dyDescent="0.25">
      <c r="B4" s="2" t="s">
        <v>44</v>
      </c>
      <c r="C4" s="2" t="s">
        <v>976</v>
      </c>
    </row>
    <row r="5" spans="1:3" x14ac:dyDescent="0.25">
      <c r="B5" s="2" t="s">
        <v>817</v>
      </c>
      <c r="C5" s="2" t="s">
        <v>977</v>
      </c>
    </row>
    <row r="6" spans="1:3" x14ac:dyDescent="0.25">
      <c r="B6" s="2" t="s">
        <v>978</v>
      </c>
      <c r="C6" s="2" t="s">
        <v>979</v>
      </c>
    </row>
    <row r="7" spans="1:3" x14ac:dyDescent="0.25">
      <c r="B7" s="2" t="s">
        <v>104</v>
      </c>
      <c r="C7" s="2" t="s">
        <v>975</v>
      </c>
    </row>
    <row r="8" spans="1:3" x14ac:dyDescent="0.25">
      <c r="B8" s="2"/>
      <c r="C8" s="2" t="s">
        <v>980</v>
      </c>
    </row>
    <row r="9" spans="1:3" x14ac:dyDescent="0.25">
      <c r="B9" s="2" t="s">
        <v>53</v>
      </c>
    </row>
    <row r="10" spans="1:3" ht="13" x14ac:dyDescent="0.3">
      <c r="C10" s="40" t="s">
        <v>981</v>
      </c>
    </row>
    <row r="11" spans="1:3" x14ac:dyDescent="0.25">
      <c r="C11" s="2" t="s">
        <v>989</v>
      </c>
    </row>
    <row r="12" spans="1:3" x14ac:dyDescent="0.25">
      <c r="C12" s="2" t="s">
        <v>988</v>
      </c>
    </row>
    <row r="14" spans="1:3" ht="13" x14ac:dyDescent="0.3">
      <c r="C14" s="40" t="s">
        <v>982</v>
      </c>
    </row>
    <row r="15" spans="1:3" x14ac:dyDescent="0.25">
      <c r="C15" s="2" t="s">
        <v>990</v>
      </c>
    </row>
    <row r="16" spans="1:3" x14ac:dyDescent="0.25">
      <c r="C16" s="2" t="s">
        <v>991</v>
      </c>
    </row>
    <row r="17" spans="3:3" ht="13" x14ac:dyDescent="0.3">
      <c r="C17" s="91"/>
    </row>
    <row r="18" spans="3:3" ht="13" x14ac:dyDescent="0.3">
      <c r="C18" s="40" t="s">
        <v>985</v>
      </c>
    </row>
    <row r="19" spans="3:3" x14ac:dyDescent="0.25">
      <c r="C19" s="2" t="s">
        <v>992</v>
      </c>
    </row>
    <row r="22" spans="3:3" ht="13" x14ac:dyDescent="0.3">
      <c r="C22" s="40" t="s">
        <v>986</v>
      </c>
    </row>
    <row r="23" spans="3:3" x14ac:dyDescent="0.25">
      <c r="C23" s="2" t="s">
        <v>993</v>
      </c>
    </row>
    <row r="26" spans="3:3" ht="13" x14ac:dyDescent="0.3">
      <c r="C26" s="40" t="s">
        <v>983</v>
      </c>
    </row>
    <row r="29" spans="3:3" ht="13" x14ac:dyDescent="0.3">
      <c r="C29" s="40" t="s">
        <v>984</v>
      </c>
    </row>
    <row r="33" spans="3:3" ht="13" x14ac:dyDescent="0.3">
      <c r="C33" s="40" t="s">
        <v>987</v>
      </c>
    </row>
  </sheetData>
  <hyperlinks>
    <hyperlink ref="A1" location="Main!A1" display="Main" xr:uid="{D261D207-27BE-4F03-A2D2-0A7EDC71690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5B3-07FE-4EEF-84E7-5108734F64E4}">
  <dimension ref="A1:C18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893</v>
      </c>
    </row>
    <row r="3" spans="1:3" x14ac:dyDescent="0.25">
      <c r="B3" s="2" t="s">
        <v>814</v>
      </c>
      <c r="C3" s="2" t="s">
        <v>815</v>
      </c>
    </row>
    <row r="4" spans="1:3" x14ac:dyDescent="0.25">
      <c r="B4" s="2" t="s">
        <v>44</v>
      </c>
      <c r="C4" s="2" t="s">
        <v>816</v>
      </c>
    </row>
    <row r="5" spans="1:3" x14ac:dyDescent="0.25">
      <c r="B5" s="2"/>
      <c r="C5" s="2" t="s">
        <v>832</v>
      </c>
    </row>
    <row r="6" spans="1:3" x14ac:dyDescent="0.25">
      <c r="B6" s="2" t="s">
        <v>817</v>
      </c>
      <c r="C6" s="2" t="s">
        <v>812</v>
      </c>
    </row>
    <row r="7" spans="1:3" x14ac:dyDescent="0.25">
      <c r="B7" s="2" t="s">
        <v>53</v>
      </c>
    </row>
    <row r="8" spans="1:3" ht="13" x14ac:dyDescent="0.3">
      <c r="C8" s="40" t="s">
        <v>831</v>
      </c>
    </row>
    <row r="9" spans="1:3" x14ac:dyDescent="0.25">
      <c r="C9" s="2" t="s">
        <v>828</v>
      </c>
    </row>
    <row r="10" spans="1:3" x14ac:dyDescent="0.25">
      <c r="C10" s="2" t="s">
        <v>829</v>
      </c>
    </row>
    <row r="11" spans="1:3" x14ac:dyDescent="0.25">
      <c r="C11" s="2" t="s">
        <v>830</v>
      </c>
    </row>
    <row r="13" spans="1:3" ht="13" x14ac:dyDescent="0.3">
      <c r="C13" s="40" t="s">
        <v>839</v>
      </c>
    </row>
    <row r="14" spans="1:3" x14ac:dyDescent="0.25">
      <c r="C14" s="2" t="s">
        <v>838</v>
      </c>
    </row>
    <row r="15" spans="1:3" x14ac:dyDescent="0.25">
      <c r="C15" s="2" t="s">
        <v>837</v>
      </c>
    </row>
    <row r="16" spans="1:3" x14ac:dyDescent="0.25">
      <c r="C16" s="2" t="s">
        <v>835</v>
      </c>
    </row>
    <row r="17" spans="3:3" x14ac:dyDescent="0.25">
      <c r="C17" s="2" t="s">
        <v>836</v>
      </c>
    </row>
    <row r="18" spans="3:3" x14ac:dyDescent="0.25">
      <c r="C18" s="2" t="s">
        <v>840</v>
      </c>
    </row>
  </sheetData>
  <hyperlinks>
    <hyperlink ref="A1" location="Main!A1" display="Main" xr:uid="{E1C9F1F9-FCBD-44EC-A620-74140254EEE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509D-B07E-4040-BDE2-947BE83599F5}">
  <dimension ref="A1:C9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2.453125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799</v>
      </c>
    </row>
    <row r="3" spans="1:3" x14ac:dyDescent="0.25">
      <c r="B3" s="2" t="s">
        <v>814</v>
      </c>
      <c r="C3" s="2" t="s">
        <v>998</v>
      </c>
    </row>
    <row r="4" spans="1:3" x14ac:dyDescent="0.25">
      <c r="B4" s="2" t="s">
        <v>44</v>
      </c>
      <c r="C4" s="2" t="s">
        <v>146</v>
      </c>
    </row>
    <row r="5" spans="1:3" x14ac:dyDescent="0.25">
      <c r="B5" s="2" t="s">
        <v>104</v>
      </c>
      <c r="C5" s="2" t="s">
        <v>997</v>
      </c>
    </row>
    <row r="6" spans="1:3" x14ac:dyDescent="0.25">
      <c r="B6" s="2" t="s">
        <v>817</v>
      </c>
    </row>
    <row r="7" spans="1:3" x14ac:dyDescent="0.25">
      <c r="B7" s="2" t="s">
        <v>65</v>
      </c>
      <c r="C7" s="2" t="s">
        <v>996</v>
      </c>
    </row>
    <row r="8" spans="1:3" x14ac:dyDescent="0.25">
      <c r="B8" s="2" t="s">
        <v>53</v>
      </c>
    </row>
    <row r="9" spans="1:3" ht="13" x14ac:dyDescent="0.3">
      <c r="C9" s="40" t="s">
        <v>999</v>
      </c>
    </row>
  </sheetData>
  <hyperlinks>
    <hyperlink ref="A1" location="Main!A1" display="Main" xr:uid="{8F41DEBC-7EBE-4203-9D66-3D1B432EB44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C20" sqref="C20"/>
    </sheetView>
  </sheetViews>
  <sheetFormatPr defaultColWidth="8.81640625" defaultRowHeight="12.5" x14ac:dyDescent="0.25"/>
  <cols>
    <col min="1" max="1" width="5" bestFit="1" customWidth="1"/>
    <col min="2" max="2" width="22.7265625" customWidth="1"/>
    <col min="3" max="3" width="12.1796875" customWidth="1"/>
  </cols>
  <sheetData>
    <row r="1" spans="1:5" x14ac:dyDescent="0.25">
      <c r="A1" s="39" t="s">
        <v>55</v>
      </c>
    </row>
    <row r="2" spans="1:5" x14ac:dyDescent="0.25">
      <c r="B2" s="2" t="s">
        <v>408</v>
      </c>
    </row>
    <row r="3" spans="1:5" x14ac:dyDescent="0.25">
      <c r="B3" s="2" t="s">
        <v>504</v>
      </c>
    </row>
    <row r="4" spans="1:5" x14ac:dyDescent="0.25">
      <c r="B4" s="2" t="s">
        <v>407</v>
      </c>
    </row>
    <row r="5" spans="1:5" x14ac:dyDescent="0.25">
      <c r="B5" s="3" t="s">
        <v>401</v>
      </c>
    </row>
    <row r="6" spans="1:5" x14ac:dyDescent="0.25">
      <c r="B6" s="3" t="s">
        <v>402</v>
      </c>
    </row>
    <row r="7" spans="1:5" x14ac:dyDescent="0.25">
      <c r="B7" s="2" t="s">
        <v>410</v>
      </c>
    </row>
    <row r="8" spans="1:5" x14ac:dyDescent="0.25">
      <c r="B8" s="2" t="s">
        <v>409</v>
      </c>
    </row>
    <row r="9" spans="1:5" x14ac:dyDescent="0.25">
      <c r="B9" s="2" t="s">
        <v>457</v>
      </c>
    </row>
    <row r="11" spans="1:5" ht="13" x14ac:dyDescent="0.3">
      <c r="B11" s="40" t="s">
        <v>459</v>
      </c>
      <c r="C11" s="64" t="s">
        <v>482</v>
      </c>
      <c r="E11" s="40" t="s">
        <v>660</v>
      </c>
    </row>
    <row r="12" spans="1:5" x14ac:dyDescent="0.25">
      <c r="B12" s="2" t="s">
        <v>460</v>
      </c>
      <c r="C12" s="65">
        <f>3363/7365</f>
        <v>0.4566191446028513</v>
      </c>
      <c r="E12" s="2" t="s">
        <v>663</v>
      </c>
    </row>
    <row r="13" spans="1:5" x14ac:dyDescent="0.25">
      <c r="B13" s="2" t="s">
        <v>461</v>
      </c>
      <c r="C13" s="65">
        <f>346/7365</f>
        <v>4.6978954514596064E-2</v>
      </c>
      <c r="E13" s="2" t="s">
        <v>664</v>
      </c>
    </row>
    <row r="14" spans="1:5" x14ac:dyDescent="0.25">
      <c r="B14" s="2" t="s">
        <v>462</v>
      </c>
      <c r="C14" s="65">
        <f>2158/7365</f>
        <v>0.29300746775288528</v>
      </c>
      <c r="E14" s="2" t="s">
        <v>661</v>
      </c>
    </row>
    <row r="15" spans="1:5" x14ac:dyDescent="0.25">
      <c r="B15" s="2" t="s">
        <v>480</v>
      </c>
      <c r="C15" s="65">
        <f>882/7365</f>
        <v>0.11975560081466395</v>
      </c>
      <c r="E15" s="2" t="s">
        <v>662</v>
      </c>
    </row>
    <row r="16" spans="1:5" x14ac:dyDescent="0.25">
      <c r="B16" s="2" t="s">
        <v>481</v>
      </c>
      <c r="C16" s="65">
        <f>616/7365</f>
        <v>8.3638832315003395E-2</v>
      </c>
      <c r="E16" s="2" t="s">
        <v>665</v>
      </c>
    </row>
    <row r="17" spans="2:5" x14ac:dyDescent="0.25">
      <c r="E17" s="2"/>
    </row>
    <row r="19" spans="2:5" ht="13" x14ac:dyDescent="0.3">
      <c r="B19" s="40" t="s">
        <v>842</v>
      </c>
    </row>
    <row r="20" spans="2:5" x14ac:dyDescent="0.25">
      <c r="B20" s="2" t="s">
        <v>843</v>
      </c>
      <c r="C20" s="2" t="s">
        <v>844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C1E7-E82D-44AC-A17C-198506D7E061}">
  <dimension ref="A1:C16"/>
  <sheetViews>
    <sheetView zoomScale="205" zoomScaleNormal="205" workbookViewId="0"/>
  </sheetViews>
  <sheetFormatPr defaultRowHeight="12.5" x14ac:dyDescent="0.25"/>
  <cols>
    <col min="1" max="1" width="4.54296875" bestFit="1" customWidth="1"/>
    <col min="2" max="2" width="9.54296875" bestFit="1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957</v>
      </c>
    </row>
    <row r="3" spans="1:3" x14ac:dyDescent="0.25">
      <c r="B3" s="2" t="s">
        <v>814</v>
      </c>
    </row>
    <row r="4" spans="1:3" x14ac:dyDescent="0.25">
      <c r="B4" s="2" t="s">
        <v>65</v>
      </c>
      <c r="C4" s="2" t="s">
        <v>1007</v>
      </c>
    </row>
    <row r="5" spans="1:3" x14ac:dyDescent="0.25">
      <c r="B5" s="2" t="s">
        <v>53</v>
      </c>
    </row>
    <row r="6" spans="1:3" ht="13" x14ac:dyDescent="0.3">
      <c r="C6" s="40" t="s">
        <v>1008</v>
      </c>
    </row>
    <row r="7" spans="1:3" x14ac:dyDescent="0.25">
      <c r="C7" s="2" t="s">
        <v>1009</v>
      </c>
    </row>
    <row r="10" spans="1:3" ht="13" x14ac:dyDescent="0.3">
      <c r="C10" s="40" t="s">
        <v>1010</v>
      </c>
    </row>
    <row r="13" spans="1:3" ht="13" x14ac:dyDescent="0.3">
      <c r="C13" s="40" t="s">
        <v>1011</v>
      </c>
    </row>
    <row r="16" spans="1:3" ht="13" x14ac:dyDescent="0.3">
      <c r="C16" s="40" t="s">
        <v>1012</v>
      </c>
    </row>
  </sheetData>
  <hyperlinks>
    <hyperlink ref="A1" location="Main!A1" display="Main" xr:uid="{A7BDF025-D314-422D-8026-21AF8D9F400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1550-2C60-4D31-8950-C59764829BC8}">
  <dimension ref="A1:C8"/>
  <sheetViews>
    <sheetView zoomScale="220" zoomScaleNormal="220" workbookViewId="0"/>
  </sheetViews>
  <sheetFormatPr defaultRowHeight="12.5" x14ac:dyDescent="0.25"/>
  <cols>
    <col min="1" max="1" width="4.54296875" bestFit="1" customWidth="1"/>
    <col min="2" max="2" width="15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798</v>
      </c>
    </row>
    <row r="3" spans="1:3" x14ac:dyDescent="0.25">
      <c r="B3" s="2" t="s">
        <v>814</v>
      </c>
    </row>
    <row r="4" spans="1:3" x14ac:dyDescent="0.25">
      <c r="B4" s="2" t="s">
        <v>65</v>
      </c>
      <c r="C4" s="2" t="s">
        <v>1004</v>
      </c>
    </row>
    <row r="5" spans="1:3" x14ac:dyDescent="0.25">
      <c r="B5" s="2" t="s">
        <v>9</v>
      </c>
      <c r="C5" s="2" t="s">
        <v>1006</v>
      </c>
    </row>
    <row r="6" spans="1:3" x14ac:dyDescent="0.25">
      <c r="B6" s="2" t="s">
        <v>53</v>
      </c>
    </row>
    <row r="7" spans="1:3" ht="13" x14ac:dyDescent="0.3">
      <c r="C7" s="40" t="s">
        <v>1013</v>
      </c>
    </row>
    <row r="8" spans="1:3" x14ac:dyDescent="0.25">
      <c r="C8" s="2" t="s">
        <v>1005</v>
      </c>
    </row>
  </sheetData>
  <hyperlinks>
    <hyperlink ref="A1" location="Main!A1" display="Main" xr:uid="{4C4B5457-511E-4CEF-98D6-780325045EF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2"/>
  <sheetViews>
    <sheetView zoomScale="205" zoomScaleNormal="205" workbookViewId="0">
      <selection activeCell="C11" sqref="C11"/>
    </sheetView>
  </sheetViews>
  <sheetFormatPr defaultColWidth="9.1796875" defaultRowHeight="12.5" x14ac:dyDescent="0.25"/>
  <cols>
    <col min="1" max="1" width="5" style="5" bestFit="1" customWidth="1"/>
    <col min="2" max="2" width="13.1796875" style="5" customWidth="1"/>
    <col min="3" max="3" width="19.26953125" style="5" customWidth="1"/>
    <col min="4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165</v>
      </c>
    </row>
    <row r="3" spans="1:3" x14ac:dyDescent="0.25">
      <c r="B3" s="5" t="s">
        <v>51</v>
      </c>
      <c r="C3" s="5" t="s">
        <v>166</v>
      </c>
    </row>
    <row r="4" spans="1:3" x14ac:dyDescent="0.25">
      <c r="B4" s="5" t="s">
        <v>44</v>
      </c>
      <c r="C4" s="15" t="s">
        <v>305</v>
      </c>
    </row>
    <row r="5" spans="1:3" x14ac:dyDescent="0.25">
      <c r="B5" s="5" t="s">
        <v>65</v>
      </c>
      <c r="C5" s="5" t="s">
        <v>208</v>
      </c>
    </row>
    <row r="6" spans="1:3" x14ac:dyDescent="0.25">
      <c r="B6" s="5" t="s">
        <v>168</v>
      </c>
      <c r="C6" s="5" t="s">
        <v>169</v>
      </c>
    </row>
    <row r="7" spans="1:3" x14ac:dyDescent="0.25">
      <c r="B7" s="5" t="s">
        <v>106</v>
      </c>
      <c r="C7" s="5" t="s">
        <v>286</v>
      </c>
    </row>
    <row r="8" spans="1:3" x14ac:dyDescent="0.25">
      <c r="B8" s="5" t="s">
        <v>912</v>
      </c>
      <c r="C8" s="5" t="s">
        <v>913</v>
      </c>
    </row>
    <row r="9" spans="1:3" x14ac:dyDescent="0.25">
      <c r="B9" s="5" t="s">
        <v>914</v>
      </c>
      <c r="C9" s="5" t="s">
        <v>915</v>
      </c>
    </row>
    <row r="10" spans="1:3" x14ac:dyDescent="0.25">
      <c r="B10" s="5" t="s">
        <v>911</v>
      </c>
      <c r="C10" s="5" t="s">
        <v>917</v>
      </c>
    </row>
    <row r="11" spans="1:3" x14ac:dyDescent="0.25">
      <c r="B11" s="15" t="s">
        <v>9</v>
      </c>
      <c r="C11" s="3" t="s">
        <v>916</v>
      </c>
    </row>
    <row r="12" spans="1:3" x14ac:dyDescent="0.25">
      <c r="B12" s="3" t="s">
        <v>75</v>
      </c>
      <c r="C12" s="3" t="s">
        <v>485</v>
      </c>
    </row>
    <row r="13" spans="1:3" x14ac:dyDescent="0.25">
      <c r="B13" s="5" t="s">
        <v>53</v>
      </c>
    </row>
    <row r="14" spans="1:3" ht="13" x14ac:dyDescent="0.3">
      <c r="C14" s="16" t="s">
        <v>167</v>
      </c>
    </row>
    <row r="15" spans="1:3" x14ac:dyDescent="0.25">
      <c r="C15" s="5" t="s">
        <v>170</v>
      </c>
    </row>
    <row r="17" spans="3:3" ht="13" x14ac:dyDescent="0.3">
      <c r="C17" s="16" t="s">
        <v>292</v>
      </c>
    </row>
    <row r="18" spans="3:3" x14ac:dyDescent="0.25">
      <c r="C18" s="5" t="s">
        <v>171</v>
      </c>
    </row>
    <row r="20" spans="3:3" ht="13" x14ac:dyDescent="0.3">
      <c r="C20" s="16" t="s">
        <v>218</v>
      </c>
    </row>
    <row r="21" spans="3:3" x14ac:dyDescent="0.25">
      <c r="C21" s="5" t="s">
        <v>219</v>
      </c>
    </row>
    <row r="23" spans="3:3" ht="13" x14ac:dyDescent="0.3">
      <c r="C23" s="16" t="s">
        <v>220</v>
      </c>
    </row>
    <row r="25" spans="3:3" ht="13" x14ac:dyDescent="0.3">
      <c r="C25" s="16" t="s">
        <v>403</v>
      </c>
    </row>
    <row r="26" spans="3:3" x14ac:dyDescent="0.25">
      <c r="C26" s="3" t="s">
        <v>396</v>
      </c>
    </row>
    <row r="27" spans="3:3" x14ac:dyDescent="0.25">
      <c r="C27" s="3"/>
    </row>
    <row r="28" spans="3:3" ht="13" x14ac:dyDescent="0.3">
      <c r="C28" s="16" t="s">
        <v>516</v>
      </c>
    </row>
    <row r="29" spans="3:3" x14ac:dyDescent="0.25">
      <c r="C29" s="3" t="s">
        <v>517</v>
      </c>
    </row>
    <row r="30" spans="3:3" x14ac:dyDescent="0.25">
      <c r="C30" s="3"/>
    </row>
    <row r="31" spans="3:3" ht="13" x14ac:dyDescent="0.3">
      <c r="C31" s="16" t="s">
        <v>518</v>
      </c>
    </row>
    <row r="32" spans="3:3" x14ac:dyDescent="0.25">
      <c r="C32" s="3" t="s">
        <v>519</v>
      </c>
    </row>
    <row r="33" spans="3:29" x14ac:dyDescent="0.25">
      <c r="C33" s="3"/>
    </row>
    <row r="34" spans="3:29" ht="13" x14ac:dyDescent="0.3">
      <c r="C34" s="16" t="s">
        <v>513</v>
      </c>
    </row>
    <row r="35" spans="3:29" x14ac:dyDescent="0.25">
      <c r="C35" s="3" t="s">
        <v>520</v>
      </c>
    </row>
    <row r="36" spans="3:29" x14ac:dyDescent="0.25">
      <c r="C36" s="3"/>
    </row>
    <row r="37" spans="3:29" ht="13" x14ac:dyDescent="0.3">
      <c r="C37" s="16" t="s">
        <v>679</v>
      </c>
    </row>
    <row r="38" spans="3:29" x14ac:dyDescent="0.25">
      <c r="C38" s="3" t="s">
        <v>680</v>
      </c>
    </row>
    <row r="39" spans="3:29" x14ac:dyDescent="0.25">
      <c r="C39" s="3"/>
    </row>
    <row r="40" spans="3:29" ht="13" x14ac:dyDescent="0.3">
      <c r="C40" s="16" t="s">
        <v>681</v>
      </c>
    </row>
    <row r="41" spans="3:29" x14ac:dyDescent="0.25">
      <c r="C41" s="3" t="s">
        <v>682</v>
      </c>
    </row>
    <row r="43" spans="3:29" ht="13" x14ac:dyDescent="0.3">
      <c r="C43" s="31" t="s">
        <v>56</v>
      </c>
      <c r="D43" s="48" t="s">
        <v>157</v>
      </c>
      <c r="E43" s="48" t="s">
        <v>156</v>
      </c>
      <c r="F43" s="48" t="s">
        <v>155</v>
      </c>
      <c r="G43" s="48" t="s">
        <v>154</v>
      </c>
      <c r="H43" s="48" t="s">
        <v>153</v>
      </c>
      <c r="I43" s="48" t="s">
        <v>152</v>
      </c>
      <c r="J43" s="48" t="s">
        <v>151</v>
      </c>
      <c r="K43" s="48" t="s">
        <v>150</v>
      </c>
      <c r="L43" s="48" t="s">
        <v>131</v>
      </c>
      <c r="M43" s="48" t="s">
        <v>160</v>
      </c>
      <c r="N43" s="48" t="s">
        <v>132</v>
      </c>
      <c r="O43" s="48" t="s">
        <v>133</v>
      </c>
      <c r="P43" s="48" t="s">
        <v>134</v>
      </c>
      <c r="Q43" s="48" t="s">
        <v>135</v>
      </c>
      <c r="R43" s="48" t="s">
        <v>136</v>
      </c>
      <c r="S43" s="48" t="s">
        <v>137</v>
      </c>
      <c r="T43" s="48" t="s">
        <v>195</v>
      </c>
      <c r="U43" s="93"/>
      <c r="V43" s="48" t="s">
        <v>57</v>
      </c>
      <c r="W43" s="48" t="s">
        <v>58</v>
      </c>
      <c r="X43" s="48" t="s">
        <v>59</v>
      </c>
      <c r="Y43" s="48" t="s">
        <v>60</v>
      </c>
      <c r="Z43" s="48">
        <v>2005</v>
      </c>
      <c r="AA43" s="48">
        <v>2006</v>
      </c>
      <c r="AB43" s="48">
        <f t="shared" ref="AB43:AC43" si="0">AA43+1</f>
        <v>2007</v>
      </c>
      <c r="AC43" s="48">
        <f t="shared" si="0"/>
        <v>2008</v>
      </c>
    </row>
    <row r="44" spans="3:29" ht="13" x14ac:dyDescent="0.3">
      <c r="C44" s="17" t="s">
        <v>61</v>
      </c>
      <c r="D44" s="105">
        <f>SUM(D45:D47)</f>
        <v>782</v>
      </c>
      <c r="E44" s="105">
        <f>SUM(E45:E47)</f>
        <v>842</v>
      </c>
      <c r="F44" s="105">
        <f>SUM(F45:F47)</f>
        <v>880</v>
      </c>
      <c r="G44" s="105">
        <f>SUM(G45:G47)</f>
        <v>874</v>
      </c>
      <c r="H44" s="105">
        <f>SUM(H45:H47)</f>
        <v>929</v>
      </c>
      <c r="I44" s="105">
        <f t="shared" ref="I44:T44" si="1">SUM(I45:I47)</f>
        <v>1015</v>
      </c>
      <c r="J44" s="105">
        <f t="shared" si="1"/>
        <v>1057</v>
      </c>
      <c r="K44" s="105">
        <f t="shared" si="1"/>
        <v>1153</v>
      </c>
      <c r="L44" s="105">
        <f t="shared" si="1"/>
        <v>1146</v>
      </c>
      <c r="M44" s="105">
        <f t="shared" si="1"/>
        <v>1202</v>
      </c>
      <c r="N44" s="105">
        <f t="shared" si="1"/>
        <v>1177</v>
      </c>
      <c r="O44" s="105">
        <f t="shared" si="1"/>
        <v>1314</v>
      </c>
      <c r="P44" s="105">
        <f t="shared" si="1"/>
        <v>1309</v>
      </c>
      <c r="Q44" s="105">
        <f t="shared" si="1"/>
        <v>1395</v>
      </c>
      <c r="R44" s="105">
        <f t="shared" si="1"/>
        <v>1380</v>
      </c>
      <c r="S44" s="105">
        <f t="shared" si="1"/>
        <v>1432</v>
      </c>
      <c r="T44" s="105">
        <f t="shared" si="1"/>
        <v>1407</v>
      </c>
      <c r="U44" s="93"/>
      <c r="V44" s="106">
        <v>1721.3157894736842</v>
      </c>
      <c r="W44" s="106">
        <v>2402</v>
      </c>
      <c r="X44" s="106">
        <v>2775</v>
      </c>
      <c r="Y44" s="105">
        <f>SUM(D44:G44)</f>
        <v>3378</v>
      </c>
      <c r="Z44" s="105">
        <f t="shared" ref="Z44:Z47" si="2">SUM(H44:K44)</f>
        <v>4154</v>
      </c>
      <c r="AA44" s="105">
        <f t="shared" ref="AA44:AA47" si="3">SUM(L44:O44)</f>
        <v>4839</v>
      </c>
      <c r="AB44" s="105">
        <f>SUM(P44:S44)</f>
        <v>5516</v>
      </c>
      <c r="AC44" s="105"/>
    </row>
    <row r="45" spans="3:29" x14ac:dyDescent="0.25">
      <c r="C45" s="15" t="s">
        <v>93</v>
      </c>
      <c r="D45" s="107">
        <v>484</v>
      </c>
      <c r="E45" s="107">
        <v>514</v>
      </c>
      <c r="F45" s="107">
        <v>531</v>
      </c>
      <c r="G45" s="107">
        <v>514</v>
      </c>
      <c r="H45" s="107">
        <v>540</v>
      </c>
      <c r="I45" s="107">
        <v>573</v>
      </c>
      <c r="J45" s="107">
        <v>612</v>
      </c>
      <c r="K45" s="107">
        <v>672</v>
      </c>
      <c r="L45" s="107">
        <v>634</v>
      </c>
      <c r="M45" s="107">
        <v>675</v>
      </c>
      <c r="N45" s="107">
        <v>650</v>
      </c>
      <c r="O45" s="107">
        <v>737</v>
      </c>
      <c r="P45" s="107">
        <v>682</v>
      </c>
      <c r="Q45" s="107">
        <v>742</v>
      </c>
      <c r="R45" s="107">
        <v>718</v>
      </c>
      <c r="S45" s="107">
        <v>709</v>
      </c>
      <c r="T45" s="107">
        <v>675</v>
      </c>
      <c r="U45" s="93"/>
      <c r="V45" s="108">
        <v>1365</v>
      </c>
      <c r="W45" s="108">
        <v>1760</v>
      </c>
      <c r="X45" s="108">
        <v>1923</v>
      </c>
      <c r="Y45" s="109">
        <f>SUM(D45:G45)</f>
        <v>2043</v>
      </c>
      <c r="Z45" s="109">
        <f>SUM(H45:K45)</f>
        <v>2397</v>
      </c>
      <c r="AA45" s="109">
        <f t="shared" si="3"/>
        <v>2696</v>
      </c>
      <c r="AB45" s="107"/>
      <c r="AC45" s="107"/>
    </row>
    <row r="46" spans="3:29" x14ac:dyDescent="0.25">
      <c r="C46" s="15" t="s">
        <v>92</v>
      </c>
      <c r="D46" s="107">
        <v>39</v>
      </c>
      <c r="E46" s="107">
        <v>48</v>
      </c>
      <c r="F46" s="107">
        <v>49</v>
      </c>
      <c r="G46" s="107">
        <v>58</v>
      </c>
      <c r="H46" s="107">
        <v>40</v>
      </c>
      <c r="I46" s="107">
        <v>52</v>
      </c>
      <c r="J46" s="107">
        <v>50</v>
      </c>
      <c r="K46" s="107">
        <v>59</v>
      </c>
      <c r="L46" s="107">
        <v>41</v>
      </c>
      <c r="M46" s="107">
        <v>48</v>
      </c>
      <c r="N46" s="107">
        <v>49</v>
      </c>
      <c r="O46" s="107">
        <v>56</v>
      </c>
      <c r="P46" s="107">
        <v>38</v>
      </c>
      <c r="Q46" s="107">
        <v>48</v>
      </c>
      <c r="R46" s="107">
        <v>49</v>
      </c>
      <c r="S46" s="107">
        <v>55</v>
      </c>
      <c r="T46" s="107">
        <v>43</v>
      </c>
      <c r="U46" s="93"/>
      <c r="V46" s="108">
        <v>26.315789473684209</v>
      </c>
      <c r="W46" s="108">
        <v>70</v>
      </c>
      <c r="X46" s="108">
        <v>109</v>
      </c>
      <c r="Y46" s="109">
        <f t="shared" ref="Y46:Y47" si="4">SUM(D46:G46)</f>
        <v>194</v>
      </c>
      <c r="Z46" s="109">
        <f t="shared" si="2"/>
        <v>201</v>
      </c>
      <c r="AA46" s="109">
        <f t="shared" si="3"/>
        <v>194</v>
      </c>
      <c r="AB46" s="107"/>
      <c r="AC46" s="107"/>
    </row>
    <row r="47" spans="3:29" x14ac:dyDescent="0.25">
      <c r="C47" s="15" t="s">
        <v>162</v>
      </c>
      <c r="D47" s="107">
        <v>259</v>
      </c>
      <c r="E47" s="107">
        <v>280</v>
      </c>
      <c r="F47" s="107">
        <v>300</v>
      </c>
      <c r="G47" s="107">
        <v>302</v>
      </c>
      <c r="H47" s="107">
        <v>349</v>
      </c>
      <c r="I47" s="107">
        <v>390</v>
      </c>
      <c r="J47" s="107">
        <v>395</v>
      </c>
      <c r="K47" s="107">
        <v>422</v>
      </c>
      <c r="L47" s="107">
        <v>471</v>
      </c>
      <c r="M47" s="107">
        <v>479</v>
      </c>
      <c r="N47" s="66">
        <v>478</v>
      </c>
      <c r="O47" s="66">
        <v>521</v>
      </c>
      <c r="P47" s="66">
        <v>589</v>
      </c>
      <c r="Q47" s="66">
        <v>605</v>
      </c>
      <c r="R47" s="66">
        <v>613</v>
      </c>
      <c r="S47" s="107">
        <v>668</v>
      </c>
      <c r="T47" s="107">
        <v>689</v>
      </c>
      <c r="U47" s="93"/>
      <c r="V47" s="108">
        <v>330</v>
      </c>
      <c r="W47" s="108">
        <v>572</v>
      </c>
      <c r="X47" s="108">
        <v>743</v>
      </c>
      <c r="Y47" s="109">
        <f t="shared" si="4"/>
        <v>1141</v>
      </c>
      <c r="Z47" s="109">
        <f t="shared" si="2"/>
        <v>1556</v>
      </c>
      <c r="AA47" s="109">
        <f t="shared" si="3"/>
        <v>1949</v>
      </c>
      <c r="AB47" s="107"/>
      <c r="AC47" s="107"/>
    </row>
    <row r="50" spans="2:4" x14ac:dyDescent="0.25">
      <c r="B50" s="3" t="s">
        <v>397</v>
      </c>
    </row>
    <row r="51" spans="2:4" x14ac:dyDescent="0.25">
      <c r="C51" s="55">
        <v>39387</v>
      </c>
      <c r="D51" s="5">
        <v>197</v>
      </c>
    </row>
    <row r="52" spans="2:4" x14ac:dyDescent="0.25">
      <c r="C52" s="55">
        <v>39356</v>
      </c>
      <c r="D52" s="5">
        <v>202</v>
      </c>
    </row>
  </sheetData>
  <phoneticPr fontId="17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0F0E-07B1-F341-AD79-56F9F4F62487}">
  <dimension ref="A1:C4"/>
  <sheetViews>
    <sheetView zoomScale="160" zoomScaleNormal="160"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793</v>
      </c>
    </row>
    <row r="3" spans="1:3" x14ac:dyDescent="0.25">
      <c r="B3" s="2" t="s">
        <v>814</v>
      </c>
    </row>
    <row r="4" spans="1:3" x14ac:dyDescent="0.25">
      <c r="B4" s="2" t="s">
        <v>44</v>
      </c>
      <c r="C4" s="2" t="s">
        <v>820</v>
      </c>
    </row>
  </sheetData>
  <hyperlinks>
    <hyperlink ref="A1" location="Main!A1" display="Main" xr:uid="{E1D96BB9-C922-CC4B-B74F-B678E7F4A88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2"/>
  <sheetViews>
    <sheetView zoomScale="145" zoomScaleNormal="145" workbookViewId="0"/>
  </sheetViews>
  <sheetFormatPr defaultColWidth="9.1796875" defaultRowHeight="12.5" x14ac:dyDescent="0.25"/>
  <cols>
    <col min="1" max="1" width="5" style="5" bestFit="1" customWidth="1"/>
    <col min="2" max="2" width="14.179687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A2" s="13"/>
      <c r="B2" s="5" t="s">
        <v>49</v>
      </c>
      <c r="C2" s="5" t="s">
        <v>23</v>
      </c>
    </row>
    <row r="3" spans="1:3" x14ac:dyDescent="0.25">
      <c r="A3" s="13"/>
      <c r="B3" s="5" t="s">
        <v>51</v>
      </c>
      <c r="C3" s="5" t="s">
        <v>190</v>
      </c>
    </row>
    <row r="4" spans="1:3" x14ac:dyDescent="0.25">
      <c r="A4" s="13"/>
      <c r="B4" s="5" t="s">
        <v>44</v>
      </c>
      <c r="C4" s="5" t="s">
        <v>231</v>
      </c>
    </row>
    <row r="5" spans="1:3" x14ac:dyDescent="0.25">
      <c r="A5" s="13"/>
      <c r="C5" s="3" t="s">
        <v>534</v>
      </c>
    </row>
    <row r="6" spans="1:3" x14ac:dyDescent="0.25">
      <c r="A6" s="13"/>
      <c r="B6" s="5" t="s">
        <v>191</v>
      </c>
      <c r="C6" s="5" t="s">
        <v>192</v>
      </c>
    </row>
    <row r="7" spans="1:3" x14ac:dyDescent="0.25">
      <c r="A7" s="13"/>
      <c r="C7" s="5" t="s">
        <v>193</v>
      </c>
    </row>
    <row r="8" spans="1:3" x14ac:dyDescent="0.25">
      <c r="B8" s="5" t="s">
        <v>65</v>
      </c>
      <c r="C8" s="3" t="s">
        <v>532</v>
      </c>
    </row>
    <row r="9" spans="1:3" x14ac:dyDescent="0.25">
      <c r="B9" s="5" t="s">
        <v>66</v>
      </c>
      <c r="C9" s="3" t="s">
        <v>531</v>
      </c>
    </row>
    <row r="10" spans="1:3" x14ac:dyDescent="0.25">
      <c r="B10" s="5" t="s">
        <v>81</v>
      </c>
      <c r="C10" s="5" t="s">
        <v>526</v>
      </c>
    </row>
    <row r="11" spans="1:3" x14ac:dyDescent="0.25">
      <c r="B11" s="3" t="s">
        <v>75</v>
      </c>
      <c r="C11" s="3" t="s">
        <v>561</v>
      </c>
    </row>
    <row r="12" spans="1:3" x14ac:dyDescent="0.25">
      <c r="B12" s="3" t="s">
        <v>96</v>
      </c>
      <c r="C12" s="3" t="s">
        <v>533</v>
      </c>
    </row>
    <row r="13" spans="1:3" x14ac:dyDescent="0.25">
      <c r="B13" s="3"/>
      <c r="C13" s="3" t="s">
        <v>535</v>
      </c>
    </row>
    <row r="14" spans="1:3" x14ac:dyDescent="0.25">
      <c r="B14" s="3"/>
      <c r="C14" s="3" t="s">
        <v>538</v>
      </c>
    </row>
    <row r="15" spans="1:3" x14ac:dyDescent="0.25">
      <c r="B15" s="3"/>
      <c r="C15" s="3" t="s">
        <v>545</v>
      </c>
    </row>
    <row r="16" spans="1:3" x14ac:dyDescent="0.25">
      <c r="B16" s="3"/>
      <c r="C16" s="3" t="s">
        <v>554</v>
      </c>
    </row>
    <row r="17" spans="2:3" x14ac:dyDescent="0.25">
      <c r="B17" s="3"/>
      <c r="C17" s="3" t="s">
        <v>562</v>
      </c>
    </row>
    <row r="18" spans="2:3" x14ac:dyDescent="0.25">
      <c r="B18" s="3"/>
      <c r="C18" s="3" t="s">
        <v>568</v>
      </c>
    </row>
    <row r="19" spans="2:3" x14ac:dyDescent="0.25">
      <c r="B19" s="5" t="s">
        <v>53</v>
      </c>
    </row>
    <row r="20" spans="2:3" ht="13" x14ac:dyDescent="0.3">
      <c r="C20" s="16" t="s">
        <v>430</v>
      </c>
    </row>
    <row r="21" spans="2:3" x14ac:dyDescent="0.25">
      <c r="C21" s="3" t="s">
        <v>428</v>
      </c>
    </row>
    <row r="22" spans="2:3" x14ac:dyDescent="0.25">
      <c r="C22" s="3" t="s">
        <v>429</v>
      </c>
    </row>
    <row r="23" spans="2:3" x14ac:dyDescent="0.25">
      <c r="C23" s="3"/>
    </row>
    <row r="24" spans="2:3" ht="13" x14ac:dyDescent="0.3">
      <c r="C24" s="16" t="s">
        <v>596</v>
      </c>
    </row>
    <row r="25" spans="2:3" x14ac:dyDescent="0.25">
      <c r="C25" s="3" t="s">
        <v>668</v>
      </c>
    </row>
    <row r="26" spans="2:3" ht="13" x14ac:dyDescent="0.3">
      <c r="C26" s="16"/>
    </row>
    <row r="27" spans="2:3" ht="13" x14ac:dyDescent="0.3">
      <c r="C27" s="16" t="s">
        <v>597</v>
      </c>
    </row>
    <row r="28" spans="2:3" x14ac:dyDescent="0.25">
      <c r="C28" s="3" t="s">
        <v>666</v>
      </c>
    </row>
    <row r="29" spans="2:3" x14ac:dyDescent="0.25">
      <c r="C29" s="3" t="s">
        <v>667</v>
      </c>
    </row>
    <row r="30" spans="2:3" x14ac:dyDescent="0.25">
      <c r="C30" s="3"/>
    </row>
    <row r="31" spans="2:3" ht="13" x14ac:dyDescent="0.3">
      <c r="C31" s="16"/>
    </row>
    <row r="32" spans="2:3" ht="13" x14ac:dyDescent="0.3">
      <c r="C32" s="16" t="s">
        <v>598</v>
      </c>
    </row>
    <row r="33" spans="3:3" ht="13" x14ac:dyDescent="0.3">
      <c r="C33" s="16" t="s">
        <v>669</v>
      </c>
    </row>
    <row r="34" spans="3:3" x14ac:dyDescent="0.25">
      <c r="C34" s="3"/>
    </row>
    <row r="35" spans="3:3" ht="13" x14ac:dyDescent="0.3">
      <c r="C35" s="16" t="s">
        <v>525</v>
      </c>
    </row>
    <row r="36" spans="3:3" x14ac:dyDescent="0.25">
      <c r="C36" s="3" t="s">
        <v>567</v>
      </c>
    </row>
    <row r="37" spans="3:3" x14ac:dyDescent="0.25">
      <c r="C37" s="3" t="s">
        <v>566</v>
      </c>
    </row>
    <row r="38" spans="3:3" ht="13" x14ac:dyDescent="0.3">
      <c r="C38" s="16"/>
    </row>
    <row r="39" spans="3:3" ht="13" x14ac:dyDescent="0.3">
      <c r="C39" s="16" t="s">
        <v>226</v>
      </c>
    </row>
    <row r="40" spans="3:3" x14ac:dyDescent="0.25">
      <c r="C40" s="5" t="s">
        <v>223</v>
      </c>
    </row>
    <row r="41" spans="3:3" x14ac:dyDescent="0.25">
      <c r="C41" s="5" t="s">
        <v>224</v>
      </c>
    </row>
    <row r="42" spans="3:3" x14ac:dyDescent="0.25">
      <c r="C42" s="5" t="s">
        <v>225</v>
      </c>
    </row>
    <row r="43" spans="3:3" x14ac:dyDescent="0.25">
      <c r="C43" s="3" t="s">
        <v>541</v>
      </c>
    </row>
    <row r="45" spans="3:3" ht="13" x14ac:dyDescent="0.3">
      <c r="C45" s="16" t="s">
        <v>540</v>
      </c>
    </row>
    <row r="46" spans="3:3" x14ac:dyDescent="0.25">
      <c r="C46" s="3" t="s">
        <v>539</v>
      </c>
    </row>
    <row r="47" spans="3:3" x14ac:dyDescent="0.25">
      <c r="C47" s="3" t="s">
        <v>542</v>
      </c>
    </row>
    <row r="48" spans="3:3" x14ac:dyDescent="0.25">
      <c r="C48" s="3"/>
    </row>
    <row r="49" spans="3:3" ht="13" x14ac:dyDescent="0.3">
      <c r="C49" s="16" t="s">
        <v>426</v>
      </c>
    </row>
    <row r="50" spans="3:3" x14ac:dyDescent="0.25">
      <c r="C50" s="15" t="s">
        <v>229</v>
      </c>
    </row>
    <row r="52" spans="3:3" ht="13" x14ac:dyDescent="0.3">
      <c r="C52" s="16" t="s">
        <v>227</v>
      </c>
    </row>
    <row r="53" spans="3:3" x14ac:dyDescent="0.25">
      <c r="C53" s="5" t="s">
        <v>228</v>
      </c>
    </row>
    <row r="55" spans="3:3" ht="13" x14ac:dyDescent="0.3">
      <c r="C55" s="16" t="s">
        <v>423</v>
      </c>
    </row>
    <row r="56" spans="3:3" x14ac:dyDescent="0.25">
      <c r="C56" s="3" t="s">
        <v>427</v>
      </c>
    </row>
    <row r="57" spans="3:3" ht="13" x14ac:dyDescent="0.3">
      <c r="C57" s="16"/>
    </row>
    <row r="58" spans="3:3" x14ac:dyDescent="0.25">
      <c r="C58" s="3" t="s">
        <v>424</v>
      </c>
    </row>
    <row r="59" spans="3:3" x14ac:dyDescent="0.25">
      <c r="C59" s="3" t="s">
        <v>425</v>
      </c>
    </row>
    <row r="60" spans="3:3" x14ac:dyDescent="0.25">
      <c r="C60" s="3"/>
    </row>
    <row r="61" spans="3:3" ht="13" x14ac:dyDescent="0.3">
      <c r="C61" s="16" t="s">
        <v>536</v>
      </c>
    </row>
    <row r="62" spans="3:3" x14ac:dyDescent="0.25">
      <c r="C62" s="3" t="s">
        <v>537</v>
      </c>
    </row>
    <row r="63" spans="3:3" x14ac:dyDescent="0.25">
      <c r="C63" s="5" t="s">
        <v>230</v>
      </c>
    </row>
    <row r="65" spans="3:3" ht="13" x14ac:dyDescent="0.3">
      <c r="C65" s="16" t="s">
        <v>258</v>
      </c>
    </row>
    <row r="66" spans="3:3" x14ac:dyDescent="0.25">
      <c r="C66" s="5" t="s">
        <v>259</v>
      </c>
    </row>
    <row r="68" spans="3:3" ht="13" x14ac:dyDescent="0.3">
      <c r="C68" s="16" t="s">
        <v>555</v>
      </c>
    </row>
    <row r="69" spans="3:3" x14ac:dyDescent="0.25">
      <c r="C69" s="3" t="s">
        <v>556</v>
      </c>
    </row>
    <row r="70" spans="3:3" x14ac:dyDescent="0.25">
      <c r="C70" s="3" t="s">
        <v>557</v>
      </c>
    </row>
    <row r="71" spans="3:3" x14ac:dyDescent="0.25">
      <c r="C71" s="3" t="s">
        <v>558</v>
      </c>
    </row>
    <row r="73" spans="3:3" ht="13" x14ac:dyDescent="0.3">
      <c r="C73" s="16" t="s">
        <v>439</v>
      </c>
    </row>
    <row r="74" spans="3:3" x14ac:dyDescent="0.25">
      <c r="C74" s="3" t="s">
        <v>437</v>
      </c>
    </row>
    <row r="75" spans="3:3" x14ac:dyDescent="0.25">
      <c r="C75" s="3" t="s">
        <v>440</v>
      </c>
    </row>
    <row r="76" spans="3:3" x14ac:dyDescent="0.25">
      <c r="C76" s="3" t="s">
        <v>441</v>
      </c>
    </row>
    <row r="77" spans="3:3" x14ac:dyDescent="0.25">
      <c r="C77" s="3"/>
    </row>
    <row r="78" spans="3:3" ht="13" x14ac:dyDescent="0.3">
      <c r="C78" s="16" t="s">
        <v>432</v>
      </c>
    </row>
    <row r="79" spans="3:3" x14ac:dyDescent="0.25">
      <c r="C79" s="3" t="s">
        <v>433</v>
      </c>
    </row>
    <row r="80" spans="3:3" x14ac:dyDescent="0.25">
      <c r="C80" s="3"/>
    </row>
    <row r="81" spans="3:3" ht="13" x14ac:dyDescent="0.3">
      <c r="C81" s="16" t="s">
        <v>434</v>
      </c>
    </row>
    <row r="82" spans="3:3" x14ac:dyDescent="0.25">
      <c r="C82" s="3" t="s">
        <v>435</v>
      </c>
    </row>
    <row r="83" spans="3:3" x14ac:dyDescent="0.25">
      <c r="C83" s="3"/>
    </row>
    <row r="84" spans="3:3" x14ac:dyDescent="0.25">
      <c r="C84" s="3" t="s">
        <v>415</v>
      </c>
    </row>
    <row r="85" spans="3:3" ht="13" x14ac:dyDescent="0.3">
      <c r="C85" s="16" t="s">
        <v>438</v>
      </c>
    </row>
    <row r="86" spans="3:3" ht="13" x14ac:dyDescent="0.3">
      <c r="C86" s="16"/>
    </row>
    <row r="87" spans="3:3" ht="13" x14ac:dyDescent="0.3">
      <c r="C87" s="16" t="s">
        <v>523</v>
      </c>
    </row>
    <row r="88" spans="3:3" x14ac:dyDescent="0.25">
      <c r="C88" s="3" t="s">
        <v>524</v>
      </c>
    </row>
    <row r="89" spans="3:3" x14ac:dyDescent="0.25">
      <c r="C89" s="3"/>
    </row>
    <row r="90" spans="3:3" ht="13" x14ac:dyDescent="0.3">
      <c r="C90" s="16" t="s">
        <v>546</v>
      </c>
    </row>
    <row r="91" spans="3:3" x14ac:dyDescent="0.25">
      <c r="C91" s="3" t="s">
        <v>547</v>
      </c>
    </row>
    <row r="92" spans="3:3" x14ac:dyDescent="0.25">
      <c r="C92" s="3"/>
    </row>
    <row r="93" spans="3:3" ht="13" x14ac:dyDescent="0.3">
      <c r="C93" s="16" t="s">
        <v>559</v>
      </c>
    </row>
    <row r="94" spans="3:3" x14ac:dyDescent="0.25">
      <c r="C94" s="3"/>
    </row>
    <row r="95" spans="3:3" ht="13" x14ac:dyDescent="0.3">
      <c r="C95" s="16" t="s">
        <v>560</v>
      </c>
    </row>
    <row r="96" spans="3:3" ht="13" x14ac:dyDescent="0.3">
      <c r="C96" s="16"/>
    </row>
    <row r="97" spans="2:4" ht="13" x14ac:dyDescent="0.3">
      <c r="C97" s="16" t="s">
        <v>563</v>
      </c>
    </row>
    <row r="98" spans="2:4" ht="13" x14ac:dyDescent="0.3">
      <c r="C98" s="16"/>
    </row>
    <row r="99" spans="2:4" ht="13" x14ac:dyDescent="0.3">
      <c r="C99" s="16" t="s">
        <v>564</v>
      </c>
    </row>
    <row r="100" spans="2:4" ht="13" x14ac:dyDescent="0.3">
      <c r="C100" s="16"/>
    </row>
    <row r="101" spans="2:4" ht="13" x14ac:dyDescent="0.3">
      <c r="C101" s="16" t="s">
        <v>565</v>
      </c>
    </row>
    <row r="102" spans="2:4" ht="13" x14ac:dyDescent="0.3">
      <c r="C102" s="16"/>
    </row>
    <row r="103" spans="2:4" ht="13" x14ac:dyDescent="0.3">
      <c r="C103" s="16" t="s">
        <v>569</v>
      </c>
    </row>
    <row r="104" spans="2:4" x14ac:dyDescent="0.25">
      <c r="C104" s="3" t="s">
        <v>570</v>
      </c>
    </row>
    <row r="105" spans="2:4" ht="13" x14ac:dyDescent="0.3">
      <c r="C105" s="16"/>
    </row>
    <row r="106" spans="2:4" ht="13" x14ac:dyDescent="0.3">
      <c r="C106" s="16" t="s">
        <v>571</v>
      </c>
    </row>
    <row r="107" spans="2:4" ht="13" x14ac:dyDescent="0.3">
      <c r="C107" s="16"/>
    </row>
    <row r="108" spans="2:4" ht="13" x14ac:dyDescent="0.3">
      <c r="C108" s="16"/>
    </row>
    <row r="109" spans="2:4" ht="13" x14ac:dyDescent="0.3">
      <c r="C109" s="16"/>
    </row>
    <row r="110" spans="2:4" x14ac:dyDescent="0.25">
      <c r="B110" s="3" t="s">
        <v>397</v>
      </c>
    </row>
    <row r="111" spans="2:4" x14ac:dyDescent="0.25">
      <c r="C111" s="55">
        <v>39387</v>
      </c>
      <c r="D111" s="5">
        <v>194</v>
      </c>
    </row>
    <row r="112" spans="2:4" x14ac:dyDescent="0.25">
      <c r="C112" s="55">
        <v>39356</v>
      </c>
      <c r="D112" s="5">
        <v>196</v>
      </c>
    </row>
  </sheetData>
  <phoneticPr fontId="17" type="noConversion"/>
  <hyperlinks>
    <hyperlink ref="A1" location="Main!A1" display="Main" xr:uid="{00000000-0004-0000-0600-000000000000}"/>
  </hyperlink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4" sqref="E14"/>
    </sheetView>
  </sheetViews>
  <sheetFormatPr defaultColWidth="8.81640625" defaultRowHeight="12.5" x14ac:dyDescent="0.25"/>
  <cols>
    <col min="1" max="1" width="5" bestFit="1" customWidth="1"/>
    <col min="2" max="2" width="22.453125" customWidth="1"/>
    <col min="3" max="26" width="8.7265625" customWidth="1"/>
  </cols>
  <sheetData>
    <row r="1" spans="1:26" x14ac:dyDescent="0.25">
      <c r="A1" s="39" t="s">
        <v>55</v>
      </c>
    </row>
    <row r="3" spans="1:26" x14ac:dyDescent="0.25">
      <c r="C3">
        <v>2005</v>
      </c>
      <c r="D3">
        <v>2006</v>
      </c>
      <c r="E3">
        <f>+D3+1</f>
        <v>2007</v>
      </c>
      <c r="F3">
        <f t="shared" ref="F3:Z3" si="0">+E3+1</f>
        <v>2008</v>
      </c>
      <c r="G3">
        <f t="shared" si="0"/>
        <v>2009</v>
      </c>
      <c r="H3">
        <f t="shared" si="0"/>
        <v>2010</v>
      </c>
      <c r="I3">
        <f t="shared" si="0"/>
        <v>2011</v>
      </c>
      <c r="J3">
        <f t="shared" si="0"/>
        <v>2012</v>
      </c>
      <c r="K3">
        <f t="shared" si="0"/>
        <v>2013</v>
      </c>
      <c r="L3">
        <f t="shared" si="0"/>
        <v>2014</v>
      </c>
      <c r="M3">
        <f t="shared" si="0"/>
        <v>2015</v>
      </c>
      <c r="N3">
        <f t="shared" si="0"/>
        <v>2016</v>
      </c>
      <c r="O3">
        <f t="shared" si="0"/>
        <v>2017</v>
      </c>
      <c r="P3">
        <f t="shared" si="0"/>
        <v>2018</v>
      </c>
      <c r="Q3">
        <f t="shared" si="0"/>
        <v>2019</v>
      </c>
      <c r="R3">
        <f t="shared" si="0"/>
        <v>2020</v>
      </c>
      <c r="S3">
        <f t="shared" si="0"/>
        <v>2021</v>
      </c>
      <c r="T3">
        <f t="shared" si="0"/>
        <v>2022</v>
      </c>
      <c r="U3">
        <f t="shared" si="0"/>
        <v>2023</v>
      </c>
      <c r="V3">
        <f t="shared" si="0"/>
        <v>2024</v>
      </c>
      <c r="W3">
        <f t="shared" si="0"/>
        <v>2025</v>
      </c>
      <c r="X3">
        <f t="shared" si="0"/>
        <v>2026</v>
      </c>
      <c r="Y3">
        <f t="shared" si="0"/>
        <v>2027</v>
      </c>
      <c r="Z3">
        <f t="shared" si="0"/>
        <v>2028</v>
      </c>
    </row>
    <row r="4" spans="1:26" x14ac:dyDescent="0.25">
      <c r="B4" s="2" t="s">
        <v>543</v>
      </c>
    </row>
    <row r="5" spans="1:26" x14ac:dyDescent="0.25">
      <c r="B5" s="2" t="s">
        <v>544</v>
      </c>
    </row>
    <row r="8" spans="1:26" x14ac:dyDescent="0.25">
      <c r="B8" s="2" t="s">
        <v>548</v>
      </c>
      <c r="C8" s="89">
        <v>15000</v>
      </c>
      <c r="D8" s="89">
        <f>C8*1.01</f>
        <v>15150</v>
      </c>
      <c r="E8" s="89">
        <f t="shared" ref="E8:Z8" si="1">D8*1.01</f>
        <v>15301.5</v>
      </c>
      <c r="F8" s="89">
        <f t="shared" si="1"/>
        <v>15454.514999999999</v>
      </c>
      <c r="G8" s="89">
        <f t="shared" si="1"/>
        <v>15609.060149999999</v>
      </c>
      <c r="H8" s="89">
        <f t="shared" si="1"/>
        <v>15765.150751499999</v>
      </c>
      <c r="I8" s="89">
        <f t="shared" si="1"/>
        <v>15922.802259014999</v>
      </c>
      <c r="J8" s="89">
        <f t="shared" si="1"/>
        <v>16082.03028160515</v>
      </c>
      <c r="K8" s="89">
        <f t="shared" si="1"/>
        <v>16242.850584421201</v>
      </c>
      <c r="L8" s="89">
        <f t="shared" si="1"/>
        <v>16405.279090265412</v>
      </c>
      <c r="M8" s="89">
        <f t="shared" si="1"/>
        <v>16569.331881168066</v>
      </c>
      <c r="N8" s="89">
        <f t="shared" si="1"/>
        <v>16735.025199979747</v>
      </c>
      <c r="O8" s="89">
        <f t="shared" si="1"/>
        <v>16902.375451979544</v>
      </c>
      <c r="P8" s="89">
        <f t="shared" si="1"/>
        <v>17071.39920649934</v>
      </c>
      <c r="Q8" s="89">
        <f t="shared" si="1"/>
        <v>17242.113198564333</v>
      </c>
      <c r="R8" s="89">
        <f t="shared" si="1"/>
        <v>17414.534330549977</v>
      </c>
      <c r="S8" s="89">
        <f t="shared" si="1"/>
        <v>17588.679673855477</v>
      </c>
      <c r="T8" s="89">
        <f t="shared" si="1"/>
        <v>17764.566470594033</v>
      </c>
      <c r="U8" s="89">
        <f t="shared" si="1"/>
        <v>17942.212135299975</v>
      </c>
      <c r="V8" s="89">
        <f t="shared" si="1"/>
        <v>18121.634256652975</v>
      </c>
      <c r="W8" s="89">
        <f t="shared" si="1"/>
        <v>18302.850599219506</v>
      </c>
      <c r="X8" s="89">
        <f t="shared" si="1"/>
        <v>18485.879105211701</v>
      </c>
      <c r="Y8" s="89">
        <f t="shared" si="1"/>
        <v>18670.737896263818</v>
      </c>
      <c r="Z8" s="89">
        <f t="shared" si="1"/>
        <v>18857.445275226455</v>
      </c>
    </row>
    <row r="9" spans="1:26" x14ac:dyDescent="0.25">
      <c r="B9" s="2" t="s">
        <v>549</v>
      </c>
      <c r="C9" s="89">
        <v>15000</v>
      </c>
      <c r="D9" s="89">
        <f t="shared" ref="D9:Z9" si="2">C9*1.01</f>
        <v>15150</v>
      </c>
      <c r="E9" s="89">
        <f t="shared" si="2"/>
        <v>15301.5</v>
      </c>
      <c r="F9" s="89">
        <f t="shared" si="2"/>
        <v>15454.514999999999</v>
      </c>
      <c r="G9" s="89">
        <f t="shared" si="2"/>
        <v>15609.060149999999</v>
      </c>
      <c r="H9" s="89">
        <f t="shared" si="2"/>
        <v>15765.150751499999</v>
      </c>
      <c r="I9" s="89">
        <f t="shared" si="2"/>
        <v>15922.802259014999</v>
      </c>
      <c r="J9" s="89">
        <f t="shared" si="2"/>
        <v>16082.03028160515</v>
      </c>
      <c r="K9" s="89">
        <f t="shared" si="2"/>
        <v>16242.850584421201</v>
      </c>
      <c r="L9" s="89">
        <f t="shared" si="2"/>
        <v>16405.279090265412</v>
      </c>
      <c r="M9" s="89">
        <f t="shared" si="2"/>
        <v>16569.331881168066</v>
      </c>
      <c r="N9" s="89">
        <f t="shared" si="2"/>
        <v>16735.025199979747</v>
      </c>
      <c r="O9" s="89">
        <f t="shared" si="2"/>
        <v>16902.375451979544</v>
      </c>
      <c r="P9" s="89">
        <f t="shared" si="2"/>
        <v>17071.39920649934</v>
      </c>
      <c r="Q9" s="89">
        <f t="shared" si="2"/>
        <v>17242.113198564333</v>
      </c>
      <c r="R9" s="89">
        <f t="shared" si="2"/>
        <v>17414.534330549977</v>
      </c>
      <c r="S9" s="89">
        <f t="shared" si="2"/>
        <v>17588.679673855477</v>
      </c>
      <c r="T9" s="89">
        <f t="shared" si="2"/>
        <v>17764.566470594033</v>
      </c>
      <c r="U9" s="89">
        <f t="shared" si="2"/>
        <v>17942.212135299975</v>
      </c>
      <c r="V9" s="89">
        <f t="shared" si="2"/>
        <v>18121.634256652975</v>
      </c>
      <c r="W9" s="89">
        <f t="shared" si="2"/>
        <v>18302.850599219506</v>
      </c>
      <c r="X9" s="89">
        <f t="shared" si="2"/>
        <v>18485.879105211701</v>
      </c>
      <c r="Y9" s="89">
        <f t="shared" si="2"/>
        <v>18670.737896263818</v>
      </c>
      <c r="Z9" s="89">
        <f t="shared" si="2"/>
        <v>18857.445275226455</v>
      </c>
    </row>
    <row r="10" spans="1:26" x14ac:dyDescent="0.25">
      <c r="B10" s="2" t="s">
        <v>551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x14ac:dyDescent="0.25">
      <c r="B11" s="2" t="s">
        <v>552</v>
      </c>
      <c r="C11" s="89">
        <f>SUM(C8:C10)</f>
        <v>30000</v>
      </c>
      <c r="D11" s="89">
        <f t="shared" ref="D11:Z11" si="3">SUM(D8:D10)</f>
        <v>30300</v>
      </c>
      <c r="E11" s="89">
        <f t="shared" si="3"/>
        <v>30603</v>
      </c>
      <c r="F11" s="89">
        <f t="shared" si="3"/>
        <v>30909.03</v>
      </c>
      <c r="G11" s="89">
        <f t="shared" si="3"/>
        <v>31218.120299999999</v>
      </c>
      <c r="H11" s="89">
        <f t="shared" si="3"/>
        <v>31530.301502999999</v>
      </c>
      <c r="I11" s="89">
        <f t="shared" si="3"/>
        <v>31845.604518029999</v>
      </c>
      <c r="J11" s="89">
        <f t="shared" si="3"/>
        <v>32164.0605632103</v>
      </c>
      <c r="K11" s="89">
        <f t="shared" si="3"/>
        <v>32485.701168842403</v>
      </c>
      <c r="L11" s="89">
        <f t="shared" si="3"/>
        <v>32810.558180530825</v>
      </c>
      <c r="M11" s="89">
        <f t="shared" si="3"/>
        <v>33138.663762336131</v>
      </c>
      <c r="N11" s="89">
        <f t="shared" si="3"/>
        <v>33470.050399959495</v>
      </c>
      <c r="O11" s="89">
        <f t="shared" si="3"/>
        <v>33804.750903959088</v>
      </c>
      <c r="P11" s="89">
        <f t="shared" si="3"/>
        <v>34142.79841299868</v>
      </c>
      <c r="Q11" s="89">
        <f t="shared" si="3"/>
        <v>34484.226397128667</v>
      </c>
      <c r="R11" s="89">
        <f t="shared" si="3"/>
        <v>34829.068661099955</v>
      </c>
      <c r="S11" s="89">
        <f t="shared" si="3"/>
        <v>35177.359347710953</v>
      </c>
      <c r="T11" s="89">
        <f t="shared" si="3"/>
        <v>35529.132941188065</v>
      </c>
      <c r="U11" s="89">
        <f t="shared" si="3"/>
        <v>35884.42427059995</v>
      </c>
      <c r="V11" s="89">
        <f t="shared" si="3"/>
        <v>36243.268513305949</v>
      </c>
      <c r="W11" s="89">
        <f t="shared" si="3"/>
        <v>36605.701198439012</v>
      </c>
      <c r="X11" s="89">
        <f t="shared" si="3"/>
        <v>36971.758210423402</v>
      </c>
      <c r="Y11" s="89">
        <f t="shared" si="3"/>
        <v>37341.475792527635</v>
      </c>
      <c r="Z11" s="89">
        <f t="shared" si="3"/>
        <v>37714.89055045291</v>
      </c>
    </row>
    <row r="12" spans="1:26" x14ac:dyDescent="0.25">
      <c r="B12" s="2" t="s">
        <v>550</v>
      </c>
      <c r="C12" s="90">
        <v>0</v>
      </c>
      <c r="D12" s="90">
        <v>0.25</v>
      </c>
      <c r="E12" s="90">
        <v>0.3</v>
      </c>
      <c r="F12" s="90">
        <v>0.35</v>
      </c>
      <c r="G12" s="90">
        <v>0.35</v>
      </c>
      <c r="H12" s="90">
        <v>0.35</v>
      </c>
      <c r="I12" s="90">
        <v>0.35</v>
      </c>
      <c r="J12" s="90">
        <v>0.35</v>
      </c>
      <c r="K12" s="90">
        <v>0.35</v>
      </c>
      <c r="L12" s="90">
        <v>0.35</v>
      </c>
      <c r="M12" s="90">
        <v>0.35</v>
      </c>
      <c r="N12" s="90">
        <v>0.35</v>
      </c>
      <c r="O12" s="90">
        <v>0.35</v>
      </c>
      <c r="P12" s="90">
        <v>0.35</v>
      </c>
      <c r="Q12" s="90">
        <v>0.35</v>
      </c>
      <c r="R12" s="90">
        <v>0.35</v>
      </c>
      <c r="S12" s="90">
        <v>0.35</v>
      </c>
      <c r="T12" s="90">
        <v>0.35</v>
      </c>
      <c r="U12" s="90">
        <v>0.35</v>
      </c>
      <c r="V12" s="90">
        <v>0.35</v>
      </c>
      <c r="W12" s="90">
        <v>0.35</v>
      </c>
      <c r="X12" s="90">
        <v>0.35</v>
      </c>
      <c r="Y12" s="90">
        <v>0.35</v>
      </c>
      <c r="Z12" s="90">
        <v>0.35</v>
      </c>
    </row>
    <row r="13" spans="1:26" x14ac:dyDescent="0.25">
      <c r="B13" s="2" t="s">
        <v>106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  <c r="I13">
        <v>50</v>
      </c>
      <c r="J13">
        <v>50</v>
      </c>
      <c r="K13">
        <v>50</v>
      </c>
      <c r="L13">
        <v>50</v>
      </c>
      <c r="M13">
        <v>50</v>
      </c>
      <c r="N13">
        <v>50</v>
      </c>
      <c r="O13">
        <v>50</v>
      </c>
      <c r="P13">
        <v>50</v>
      </c>
      <c r="Q13">
        <v>50</v>
      </c>
      <c r="R13">
        <v>50</v>
      </c>
      <c r="S13">
        <v>50</v>
      </c>
      <c r="T13">
        <v>50</v>
      </c>
      <c r="U13">
        <v>50</v>
      </c>
      <c r="V13">
        <v>50</v>
      </c>
      <c r="W13">
        <v>50</v>
      </c>
      <c r="X13">
        <v>50</v>
      </c>
      <c r="Y13">
        <v>50</v>
      </c>
      <c r="Z13">
        <v>50</v>
      </c>
    </row>
    <row r="14" spans="1:26" s="91" customFormat="1" ht="13" x14ac:dyDescent="0.3">
      <c r="B14" s="91" t="s">
        <v>553</v>
      </c>
      <c r="C14" s="92">
        <f>C13*C12*C9</f>
        <v>0</v>
      </c>
      <c r="D14" s="92">
        <f t="shared" ref="D14:Z14" si="4">D13*D12*D9</f>
        <v>189375</v>
      </c>
      <c r="E14" s="92">
        <f t="shared" si="4"/>
        <v>229522.5</v>
      </c>
      <c r="F14" s="92">
        <f t="shared" si="4"/>
        <v>270454.01250000001</v>
      </c>
      <c r="G14" s="92">
        <f t="shared" si="4"/>
        <v>273158.55262500001</v>
      </c>
      <c r="H14" s="92">
        <f t="shared" si="4"/>
        <v>275890.13815124996</v>
      </c>
      <c r="I14" s="92">
        <f t="shared" si="4"/>
        <v>278649.03953276249</v>
      </c>
      <c r="J14" s="92">
        <f t="shared" si="4"/>
        <v>281435.52992809011</v>
      </c>
      <c r="K14" s="92">
        <f t="shared" si="4"/>
        <v>284249.88522737101</v>
      </c>
      <c r="L14" s="92">
        <f t="shared" si="4"/>
        <v>287092.38407964469</v>
      </c>
      <c r="M14" s="92">
        <f t="shared" si="4"/>
        <v>289963.30792044115</v>
      </c>
      <c r="N14" s="92">
        <f t="shared" si="4"/>
        <v>292862.94099964557</v>
      </c>
      <c r="O14" s="92">
        <f t="shared" si="4"/>
        <v>295791.57040964201</v>
      </c>
      <c r="P14" s="92">
        <f t="shared" si="4"/>
        <v>298749.48611373844</v>
      </c>
      <c r="Q14" s="92">
        <f t="shared" si="4"/>
        <v>301736.98097487586</v>
      </c>
      <c r="R14" s="92">
        <f t="shared" si="4"/>
        <v>304754.35078462458</v>
      </c>
      <c r="S14" s="92">
        <f t="shared" si="4"/>
        <v>307801.89429247082</v>
      </c>
      <c r="T14" s="92">
        <f t="shared" si="4"/>
        <v>310879.91323539556</v>
      </c>
      <c r="U14" s="92">
        <f t="shared" si="4"/>
        <v>313988.71236774954</v>
      </c>
      <c r="V14" s="92">
        <f t="shared" si="4"/>
        <v>317128.59949142707</v>
      </c>
      <c r="W14" s="92">
        <f t="shared" si="4"/>
        <v>320299.88548634137</v>
      </c>
      <c r="X14" s="92">
        <f t="shared" si="4"/>
        <v>323502.88434120477</v>
      </c>
      <c r="Y14" s="92">
        <f t="shared" si="4"/>
        <v>326737.91318461683</v>
      </c>
      <c r="Z14" s="92">
        <f t="shared" si="4"/>
        <v>330005.29231646296</v>
      </c>
    </row>
  </sheetData>
  <hyperlinks>
    <hyperlink ref="A1" location="Main!A1" display="Main" xr:uid="{00000000-0004-0000-07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E127-785F-4CE6-BD27-DE08806227C3}">
  <dimension ref="A1:C10"/>
  <sheetViews>
    <sheetView zoomScale="160" zoomScaleNormal="160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9" t="s">
        <v>55</v>
      </c>
    </row>
    <row r="2" spans="1:3" x14ac:dyDescent="0.25">
      <c r="B2" s="2" t="s">
        <v>813</v>
      </c>
      <c r="C2" s="2" t="s">
        <v>800</v>
      </c>
    </row>
    <row r="3" spans="1:3" x14ac:dyDescent="0.25">
      <c r="B3" s="2" t="s">
        <v>814</v>
      </c>
      <c r="C3" s="2" t="s">
        <v>850</v>
      </c>
    </row>
    <row r="4" spans="1:3" x14ac:dyDescent="0.25">
      <c r="B4" s="2" t="s">
        <v>44</v>
      </c>
      <c r="C4" s="2" t="s">
        <v>856</v>
      </c>
    </row>
    <row r="5" spans="1:3" x14ac:dyDescent="0.25">
      <c r="B5" s="2" t="s">
        <v>817</v>
      </c>
      <c r="C5" s="2" t="s">
        <v>848</v>
      </c>
    </row>
    <row r="6" spans="1:3" x14ac:dyDescent="0.25">
      <c r="B6" s="2" t="s">
        <v>65</v>
      </c>
      <c r="C6" s="2" t="s">
        <v>846</v>
      </c>
    </row>
    <row r="7" spans="1:3" x14ac:dyDescent="0.25">
      <c r="B7" s="2" t="s">
        <v>53</v>
      </c>
    </row>
    <row r="8" spans="1:3" ht="13" x14ac:dyDescent="0.3">
      <c r="C8" s="40" t="s">
        <v>852</v>
      </c>
    </row>
    <row r="9" spans="1:3" x14ac:dyDescent="0.25">
      <c r="C9" s="2" t="s">
        <v>851</v>
      </c>
    </row>
    <row r="10" spans="1:3" x14ac:dyDescent="0.25">
      <c r="C10" s="2" t="s">
        <v>853</v>
      </c>
    </row>
  </sheetData>
  <hyperlinks>
    <hyperlink ref="A1" location="Main!A1" display="Main" xr:uid="{0B2D5550-8E3D-4BF1-A950-6B4377AE243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>
      <selection activeCell="C19" sqref="C19"/>
    </sheetView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24</v>
      </c>
    </row>
    <row r="3" spans="1:3" x14ac:dyDescent="0.25">
      <c r="B3" s="5" t="s">
        <v>51</v>
      </c>
      <c r="C3" s="5" t="s">
        <v>260</v>
      </c>
    </row>
    <row r="4" spans="1:3" x14ac:dyDescent="0.25">
      <c r="B4" s="5" t="s">
        <v>44</v>
      </c>
      <c r="C4" s="5" t="s">
        <v>261</v>
      </c>
    </row>
    <row r="5" spans="1:3" x14ac:dyDescent="0.25">
      <c r="B5" s="5" t="s">
        <v>106</v>
      </c>
      <c r="C5" s="15" t="s">
        <v>286</v>
      </c>
    </row>
    <row r="6" spans="1:3" x14ac:dyDescent="0.25">
      <c r="B6" s="5" t="s">
        <v>53</v>
      </c>
    </row>
    <row r="7" spans="1:3" ht="13" x14ac:dyDescent="0.3">
      <c r="C7" s="16" t="s">
        <v>237</v>
      </c>
    </row>
    <row r="8" spans="1:3" x14ac:dyDescent="0.25">
      <c r="C8" s="5" t="s">
        <v>238</v>
      </c>
    </row>
    <row r="10" spans="1:3" ht="13" x14ac:dyDescent="0.3">
      <c r="C10" s="16" t="s">
        <v>264</v>
      </c>
    </row>
    <row r="12" spans="1:3" ht="13" x14ac:dyDescent="0.3">
      <c r="C12" s="16" t="s">
        <v>262</v>
      </c>
    </row>
    <row r="14" spans="1:3" ht="13" x14ac:dyDescent="0.3">
      <c r="C14" s="16" t="s">
        <v>263</v>
      </c>
    </row>
    <row r="16" spans="1:3" ht="13" x14ac:dyDescent="0.3">
      <c r="C16" s="16" t="s">
        <v>442</v>
      </c>
    </row>
    <row r="17" spans="2:4" x14ac:dyDescent="0.25">
      <c r="C17" s="3" t="s">
        <v>443</v>
      </c>
    </row>
    <row r="18" spans="2:4" x14ac:dyDescent="0.25">
      <c r="C18" s="15"/>
    </row>
    <row r="19" spans="2:4" ht="13" x14ac:dyDescent="0.3">
      <c r="C19" s="16" t="s">
        <v>436</v>
      </c>
    </row>
    <row r="21" spans="2:4" x14ac:dyDescent="0.25">
      <c r="B21" s="3" t="s">
        <v>397</v>
      </c>
    </row>
    <row r="22" spans="2:4" x14ac:dyDescent="0.25">
      <c r="C22" s="55">
        <v>39387</v>
      </c>
      <c r="D22" s="5">
        <v>109</v>
      </c>
    </row>
    <row r="23" spans="2:4" x14ac:dyDescent="0.25">
      <c r="C23" s="55">
        <v>39356</v>
      </c>
      <c r="D23" s="5">
        <v>110</v>
      </c>
    </row>
  </sheetData>
  <phoneticPr fontId="17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34</v>
      </c>
    </row>
    <row r="3" spans="1:3" x14ac:dyDescent="0.25">
      <c r="B3" s="5" t="s">
        <v>51</v>
      </c>
      <c r="C3" s="5" t="s">
        <v>245</v>
      </c>
    </row>
    <row r="4" spans="1:3" x14ac:dyDescent="0.25">
      <c r="B4" s="5" t="s">
        <v>44</v>
      </c>
      <c r="C4" s="5" t="s">
        <v>246</v>
      </c>
    </row>
    <row r="5" spans="1:3" x14ac:dyDescent="0.25">
      <c r="B5" s="5" t="s">
        <v>53</v>
      </c>
    </row>
    <row r="6" spans="1:3" ht="13" x14ac:dyDescent="0.3">
      <c r="C6" s="16" t="s">
        <v>247</v>
      </c>
    </row>
    <row r="7" spans="1:3" x14ac:dyDescent="0.25">
      <c r="C7" s="5" t="s">
        <v>248</v>
      </c>
    </row>
    <row r="9" spans="1:3" ht="13" x14ac:dyDescent="0.3">
      <c r="C9" s="16" t="s">
        <v>249</v>
      </c>
    </row>
    <row r="10" spans="1:3" x14ac:dyDescent="0.25">
      <c r="C10" s="5" t="s">
        <v>250</v>
      </c>
    </row>
    <row r="12" spans="1:3" ht="13" x14ac:dyDescent="0.3">
      <c r="C12" s="16" t="s">
        <v>251</v>
      </c>
    </row>
  </sheetData>
  <phoneticPr fontId="17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2" t="s">
        <v>49</v>
      </c>
      <c r="C2" s="2" t="s">
        <v>31</v>
      </c>
    </row>
    <row r="3" spans="1:3" x14ac:dyDescent="0.25">
      <c r="B3" s="2" t="s">
        <v>51</v>
      </c>
      <c r="C3" s="2" t="s">
        <v>510</v>
      </c>
    </row>
    <row r="4" spans="1:3" x14ac:dyDescent="0.25">
      <c r="B4" s="2" t="s">
        <v>74</v>
      </c>
      <c r="C4" s="2" t="s">
        <v>511</v>
      </c>
    </row>
  </sheetData>
  <hyperlinks>
    <hyperlink ref="A1" location="Main!A1" display="Main" xr:uid="{00000000-0004-0000-0A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2579-86B6-4388-B513-8B891427E3C2}">
  <dimension ref="A1:C13"/>
  <sheetViews>
    <sheetView workbookViewId="0"/>
  </sheetViews>
  <sheetFormatPr defaultRowHeight="12.5" x14ac:dyDescent="0.25"/>
  <cols>
    <col min="1" max="1" width="4.54296875" bestFit="1" customWidth="1"/>
    <col min="2" max="2" width="11.26953125" bestFit="1" customWidth="1"/>
  </cols>
  <sheetData>
    <row r="1" spans="1:3" x14ac:dyDescent="0.25">
      <c r="A1" s="39" t="s">
        <v>55</v>
      </c>
    </row>
    <row r="2" spans="1:3" x14ac:dyDescent="0.25">
      <c r="B2" t="s">
        <v>813</v>
      </c>
      <c r="C2" s="2" t="s">
        <v>967</v>
      </c>
    </row>
    <row r="3" spans="1:3" x14ac:dyDescent="0.25">
      <c r="B3" t="s">
        <v>814</v>
      </c>
      <c r="C3" t="s">
        <v>960</v>
      </c>
    </row>
    <row r="4" spans="1:3" x14ac:dyDescent="0.25">
      <c r="B4" t="s">
        <v>44</v>
      </c>
      <c r="C4" t="s">
        <v>961</v>
      </c>
    </row>
    <row r="5" spans="1:3" x14ac:dyDescent="0.25">
      <c r="B5" s="2" t="s">
        <v>817</v>
      </c>
      <c r="C5" s="2" t="s">
        <v>884</v>
      </c>
    </row>
    <row r="6" spans="1:3" x14ac:dyDescent="0.25">
      <c r="B6" t="s">
        <v>53</v>
      </c>
    </row>
    <row r="7" spans="1:3" ht="13" x14ac:dyDescent="0.3">
      <c r="C7" s="40" t="s">
        <v>962</v>
      </c>
    </row>
    <row r="8" spans="1:3" x14ac:dyDescent="0.25">
      <c r="C8" s="2" t="s">
        <v>964</v>
      </c>
    </row>
    <row r="12" spans="1:3" ht="13" x14ac:dyDescent="0.3">
      <c r="C12" s="40" t="s">
        <v>966</v>
      </c>
    </row>
    <row r="13" spans="1:3" x14ac:dyDescent="0.25">
      <c r="C13" s="2" t="s">
        <v>965</v>
      </c>
    </row>
  </sheetData>
  <hyperlinks>
    <hyperlink ref="A1" location="Main!A1" display="Main" xr:uid="{7092318C-0EE8-4263-A5F7-AB3F9CDD04A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.81640625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62</v>
      </c>
    </row>
    <row r="3" spans="1:3" x14ac:dyDescent="0.25">
      <c r="B3" s="4" t="s">
        <v>51</v>
      </c>
      <c r="C3" s="4" t="s">
        <v>210</v>
      </c>
    </row>
    <row r="4" spans="1:3" x14ac:dyDescent="0.25">
      <c r="B4" s="4" t="s">
        <v>66</v>
      </c>
      <c r="C4" s="4" t="s">
        <v>85</v>
      </c>
    </row>
    <row r="5" spans="1:3" x14ac:dyDescent="0.25">
      <c r="B5" s="4" t="s">
        <v>75</v>
      </c>
      <c r="C5" s="4" t="s">
        <v>209</v>
      </c>
    </row>
    <row r="6" spans="1:3" x14ac:dyDescent="0.25">
      <c r="B6" s="15" t="s">
        <v>191</v>
      </c>
      <c r="C6" s="15" t="s">
        <v>311</v>
      </c>
    </row>
    <row r="7" spans="1:3" x14ac:dyDescent="0.25">
      <c r="B7" s="4" t="s">
        <v>53</v>
      </c>
    </row>
    <row r="8" spans="1:3" ht="13" x14ac:dyDescent="0.3">
      <c r="C8" s="16" t="s">
        <v>217</v>
      </c>
    </row>
    <row r="9" spans="1:3" ht="13" x14ac:dyDescent="0.3">
      <c r="C9" s="17" t="s">
        <v>213</v>
      </c>
    </row>
    <row r="10" spans="1:3" x14ac:dyDescent="0.25">
      <c r="C10" s="4" t="s">
        <v>214</v>
      </c>
    </row>
    <row r="12" spans="1:3" ht="13" x14ac:dyDescent="0.3">
      <c r="C12" s="16" t="s">
        <v>212</v>
      </c>
    </row>
    <row r="13" spans="1:3" x14ac:dyDescent="0.25">
      <c r="C13" s="4" t="s">
        <v>215</v>
      </c>
    </row>
    <row r="14" spans="1:3" x14ac:dyDescent="0.25">
      <c r="C14" s="4" t="s">
        <v>216</v>
      </c>
    </row>
    <row r="16" spans="1:3" ht="13" x14ac:dyDescent="0.3">
      <c r="C16" s="16" t="s">
        <v>501</v>
      </c>
    </row>
    <row r="17" spans="3:3" x14ac:dyDescent="0.25">
      <c r="C17" s="4" t="s">
        <v>242</v>
      </c>
    </row>
    <row r="18" spans="3:3" x14ac:dyDescent="0.25">
      <c r="C18" s="3" t="s">
        <v>500</v>
      </c>
    </row>
    <row r="19" spans="3:3" x14ac:dyDescent="0.25">
      <c r="C19" s="3" t="s">
        <v>502</v>
      </c>
    </row>
  </sheetData>
  <phoneticPr fontId="17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defaultColWidth="9.1796875" defaultRowHeight="12.5" x14ac:dyDescent="0.25"/>
  <cols>
    <col min="1" max="1" width="5" style="57" bestFit="1" customWidth="1"/>
    <col min="2" max="2" width="11.26953125" style="57" bestFit="1" customWidth="1"/>
    <col min="3" max="16384" width="9.1796875" style="57"/>
  </cols>
  <sheetData>
    <row r="1" spans="1:4" x14ac:dyDescent="0.25">
      <c r="A1" s="56" t="s">
        <v>55</v>
      </c>
    </row>
    <row r="2" spans="1:4" x14ac:dyDescent="0.25">
      <c r="B2" s="58" t="s">
        <v>49</v>
      </c>
      <c r="C2" s="58" t="s">
        <v>29</v>
      </c>
    </row>
    <row r="3" spans="1:4" x14ac:dyDescent="0.25">
      <c r="B3" s="58" t="s">
        <v>397</v>
      </c>
    </row>
    <row r="4" spans="1:4" x14ac:dyDescent="0.25">
      <c r="C4" s="59">
        <v>39387</v>
      </c>
      <c r="D4" s="57">
        <v>69</v>
      </c>
    </row>
    <row r="5" spans="1:4" x14ac:dyDescent="0.25">
      <c r="C5" s="59">
        <v>39356</v>
      </c>
      <c r="D5" s="57">
        <v>74</v>
      </c>
    </row>
    <row r="6" spans="1:4" x14ac:dyDescent="0.25">
      <c r="B6" s="58" t="s">
        <v>53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51</v>
      </c>
      <c r="C2" s="5" t="s">
        <v>148</v>
      </c>
    </row>
    <row r="3" spans="1:3" x14ac:dyDescent="0.25">
      <c r="B3" s="5" t="s">
        <v>44</v>
      </c>
      <c r="C3" s="5" t="s">
        <v>236</v>
      </c>
    </row>
    <row r="4" spans="1:3" x14ac:dyDescent="0.25">
      <c r="B4" s="5" t="s">
        <v>66</v>
      </c>
      <c r="C4" s="5" t="s">
        <v>235</v>
      </c>
    </row>
    <row r="5" spans="1:3" x14ac:dyDescent="0.25">
      <c r="B5" s="5" t="s">
        <v>53</v>
      </c>
    </row>
    <row r="6" spans="1:3" ht="13" x14ac:dyDescent="0.3">
      <c r="C6" s="16" t="s">
        <v>234</v>
      </c>
    </row>
    <row r="8" spans="1:3" ht="13" x14ac:dyDescent="0.3">
      <c r="C8" s="16" t="s">
        <v>689</v>
      </c>
    </row>
    <row r="9" spans="1:3" x14ac:dyDescent="0.25">
      <c r="C9" s="3" t="s">
        <v>690</v>
      </c>
    </row>
    <row r="11" spans="1:3" ht="13" x14ac:dyDescent="0.3">
      <c r="C11" s="16" t="s">
        <v>232</v>
      </c>
    </row>
    <row r="12" spans="1:3" x14ac:dyDescent="0.25">
      <c r="C12" s="5" t="s">
        <v>233</v>
      </c>
    </row>
  </sheetData>
  <phoneticPr fontId="17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5"/>
  <sheetViews>
    <sheetView workbookViewId="0"/>
  </sheetViews>
  <sheetFormatPr defaultColWidth="9.1796875" defaultRowHeight="12.5" x14ac:dyDescent="0.25"/>
  <cols>
    <col min="1" max="1" width="5" style="76" bestFit="1" customWidth="1"/>
    <col min="2" max="2" width="14" style="76" bestFit="1" customWidth="1"/>
    <col min="3" max="16384" width="9.1796875" style="76"/>
  </cols>
  <sheetData>
    <row r="1" spans="1:3" x14ac:dyDescent="0.25">
      <c r="A1" s="78" t="s">
        <v>55</v>
      </c>
    </row>
    <row r="2" spans="1:3" x14ac:dyDescent="0.25">
      <c r="B2" s="76" t="s">
        <v>49</v>
      </c>
      <c r="C2" s="76" t="s">
        <v>498</v>
      </c>
    </row>
    <row r="3" spans="1:3" x14ac:dyDescent="0.25">
      <c r="B3" s="76" t="s">
        <v>51</v>
      </c>
      <c r="C3" s="76" t="s">
        <v>497</v>
      </c>
    </row>
    <row r="4" spans="1:3" x14ac:dyDescent="0.25">
      <c r="B4" s="76" t="s">
        <v>44</v>
      </c>
      <c r="C4" s="76" t="s">
        <v>352</v>
      </c>
    </row>
    <row r="5" spans="1:3" x14ac:dyDescent="0.25">
      <c r="B5" s="76" t="s">
        <v>66</v>
      </c>
      <c r="C5" s="76" t="s">
        <v>496</v>
      </c>
    </row>
    <row r="6" spans="1:3" x14ac:dyDescent="0.25">
      <c r="B6" s="76" t="s">
        <v>65</v>
      </c>
      <c r="C6" s="76" t="s">
        <v>495</v>
      </c>
    </row>
    <row r="7" spans="1:3" x14ac:dyDescent="0.25">
      <c r="C7" s="76" t="s">
        <v>494</v>
      </c>
    </row>
    <row r="8" spans="1:3" x14ac:dyDescent="0.25">
      <c r="C8" s="76" t="s">
        <v>493</v>
      </c>
    </row>
    <row r="9" spans="1:3" x14ac:dyDescent="0.25">
      <c r="C9" s="76" t="s">
        <v>492</v>
      </c>
    </row>
    <row r="10" spans="1:3" x14ac:dyDescent="0.25">
      <c r="B10" s="76" t="s">
        <v>491</v>
      </c>
    </row>
    <row r="11" spans="1:3" ht="13" x14ac:dyDescent="0.3">
      <c r="C11" s="77" t="s">
        <v>490</v>
      </c>
    </row>
    <row r="12" spans="1:3" ht="13" x14ac:dyDescent="0.3">
      <c r="C12" s="77"/>
    </row>
    <row r="13" spans="1:3" ht="13" x14ac:dyDescent="0.3">
      <c r="C13" s="77" t="s">
        <v>499</v>
      </c>
    </row>
    <row r="14" spans="1:3" ht="13" x14ac:dyDescent="0.3">
      <c r="C14" s="77"/>
    </row>
    <row r="15" spans="1:3" ht="13" x14ac:dyDescent="0.3">
      <c r="C15" s="77" t="s">
        <v>489</v>
      </c>
    </row>
    <row r="17" spans="3:3" ht="13" x14ac:dyDescent="0.3">
      <c r="C17" s="77" t="s">
        <v>488</v>
      </c>
    </row>
    <row r="18" spans="3:3" x14ac:dyDescent="0.25">
      <c r="C18" s="76" t="s">
        <v>594</v>
      </c>
    </row>
    <row r="20" spans="3:3" ht="13" x14ac:dyDescent="0.3">
      <c r="C20" s="77" t="s">
        <v>487</v>
      </c>
    </row>
    <row r="21" spans="3:3" x14ac:dyDescent="0.25">
      <c r="C21" s="76" t="s">
        <v>594</v>
      </c>
    </row>
    <row r="23" spans="3:3" ht="13" x14ac:dyDescent="0.3">
      <c r="C23" s="77" t="s">
        <v>486</v>
      </c>
    </row>
    <row r="25" spans="3:3" ht="13" x14ac:dyDescent="0.3">
      <c r="C25" s="77" t="s">
        <v>514</v>
      </c>
    </row>
  </sheetData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2" t="s">
        <v>49</v>
      </c>
    </row>
    <row r="3" spans="1:3" x14ac:dyDescent="0.25">
      <c r="B3" s="2" t="s">
        <v>51</v>
      </c>
      <c r="C3" s="2" t="s">
        <v>316</v>
      </c>
    </row>
  </sheetData>
  <hyperlinks>
    <hyperlink ref="A1" location="Main!A1" display="Main" xr:uid="{00000000-0004-0000-16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50</v>
      </c>
    </row>
    <row r="3" spans="1:3" x14ac:dyDescent="0.25">
      <c r="B3" s="5" t="s">
        <v>51</v>
      </c>
      <c r="C3" s="5" t="s">
        <v>52</v>
      </c>
    </row>
    <row r="4" spans="1:3" x14ac:dyDescent="0.25">
      <c r="B4" s="5" t="s">
        <v>104</v>
      </c>
      <c r="C4" s="5" t="s">
        <v>105</v>
      </c>
    </row>
    <row r="5" spans="1:3" x14ac:dyDescent="0.25">
      <c r="B5" s="5" t="s">
        <v>74</v>
      </c>
      <c r="C5" s="5" t="s">
        <v>175</v>
      </c>
    </row>
    <row r="6" spans="1:3" x14ac:dyDescent="0.25">
      <c r="B6" s="5" t="s">
        <v>53</v>
      </c>
    </row>
    <row r="7" spans="1:3" x14ac:dyDescent="0.25">
      <c r="C7" s="5" t="s">
        <v>54</v>
      </c>
    </row>
    <row r="9" spans="1:3" ht="13" x14ac:dyDescent="0.3">
      <c r="C9" s="16" t="s">
        <v>89</v>
      </c>
    </row>
    <row r="10" spans="1:3" x14ac:dyDescent="0.25">
      <c r="C10" s="5" t="s">
        <v>88</v>
      </c>
    </row>
    <row r="11" spans="1:3" x14ac:dyDescent="0.25">
      <c r="C11" s="5" t="s">
        <v>90</v>
      </c>
    </row>
    <row r="12" spans="1:3" x14ac:dyDescent="0.25">
      <c r="C12" s="5" t="s">
        <v>91</v>
      </c>
    </row>
  </sheetData>
  <phoneticPr fontId="17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  <col min="3" max="3" width="7.26953125" bestFit="1" customWidth="1"/>
  </cols>
  <sheetData>
    <row r="1" spans="1:4" x14ac:dyDescent="0.25">
      <c r="A1" s="39" t="s">
        <v>55</v>
      </c>
    </row>
    <row r="2" spans="1:4" x14ac:dyDescent="0.25">
      <c r="B2" s="2" t="s">
        <v>49</v>
      </c>
      <c r="C2" s="2" t="s">
        <v>25</v>
      </c>
    </row>
    <row r="3" spans="1:4" x14ac:dyDescent="0.25">
      <c r="B3" s="3" t="s">
        <v>397</v>
      </c>
      <c r="C3" s="5"/>
      <c r="D3" s="5"/>
    </row>
    <row r="4" spans="1:4" x14ac:dyDescent="0.25">
      <c r="B4" s="5"/>
      <c r="C4" s="55">
        <v>39387</v>
      </c>
      <c r="D4" s="5">
        <v>37</v>
      </c>
    </row>
    <row r="5" spans="1:4" x14ac:dyDescent="0.25">
      <c r="B5" s="5"/>
      <c r="C5" s="55">
        <v>39356</v>
      </c>
      <c r="D5" s="5">
        <v>38</v>
      </c>
    </row>
  </sheetData>
  <hyperlinks>
    <hyperlink ref="A1" location="Main!A1" display="Main" xr:uid="{00000000-0004-0000-0D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>
      <selection activeCell="E16" sqref="E16"/>
    </sheetView>
  </sheetViews>
  <sheetFormatPr defaultColWidth="8.81640625" defaultRowHeight="12.5" x14ac:dyDescent="0.25"/>
  <cols>
    <col min="1" max="1" width="5" bestFit="1" customWidth="1"/>
  </cols>
  <sheetData>
    <row r="1" spans="1:6" x14ac:dyDescent="0.25">
      <c r="A1" s="39" t="s">
        <v>55</v>
      </c>
    </row>
    <row r="3" spans="1:6" x14ac:dyDescent="0.25">
      <c r="B3" s="2" t="s">
        <v>122</v>
      </c>
      <c r="C3" s="2" t="s">
        <v>123</v>
      </c>
    </row>
    <row r="4" spans="1:6" x14ac:dyDescent="0.25">
      <c r="B4" s="2" t="s">
        <v>199</v>
      </c>
      <c r="C4" s="2" t="s">
        <v>67</v>
      </c>
      <c r="D4" s="2" t="s">
        <v>114</v>
      </c>
    </row>
    <row r="5" spans="1:6" x14ac:dyDescent="0.25">
      <c r="B5" s="8" t="s">
        <v>127</v>
      </c>
      <c r="C5" s="11" t="s">
        <v>84</v>
      </c>
      <c r="D5" s="11" t="s">
        <v>110</v>
      </c>
      <c r="E5" s="14" t="s">
        <v>128</v>
      </c>
      <c r="F5" s="11" t="s">
        <v>129</v>
      </c>
    </row>
    <row r="6" spans="1:6" x14ac:dyDescent="0.25">
      <c r="B6" s="8" t="s">
        <v>289</v>
      </c>
      <c r="C6" s="11" t="s">
        <v>290</v>
      </c>
      <c r="D6" s="11" t="s">
        <v>110</v>
      </c>
      <c r="E6" s="14">
        <v>1</v>
      </c>
      <c r="F6" s="11" t="s">
        <v>291</v>
      </c>
    </row>
    <row r="7" spans="1:6" x14ac:dyDescent="0.25">
      <c r="B7" s="8" t="s">
        <v>273</v>
      </c>
      <c r="C7" s="11" t="s">
        <v>274</v>
      </c>
      <c r="D7" s="11" t="s">
        <v>110</v>
      </c>
      <c r="E7" s="14">
        <v>1</v>
      </c>
    </row>
    <row r="8" spans="1:6" x14ac:dyDescent="0.25">
      <c r="B8" s="8" t="s">
        <v>279</v>
      </c>
      <c r="C8" s="11" t="s">
        <v>115</v>
      </c>
      <c r="D8" s="11" t="s">
        <v>110</v>
      </c>
      <c r="E8" s="14">
        <v>1</v>
      </c>
    </row>
    <row r="9" spans="1:6" x14ac:dyDescent="0.25">
      <c r="B9" s="8" t="s">
        <v>277</v>
      </c>
      <c r="C9" s="11" t="s">
        <v>115</v>
      </c>
      <c r="D9" s="11" t="s">
        <v>110</v>
      </c>
      <c r="E9" s="14">
        <v>1</v>
      </c>
    </row>
    <row r="10" spans="1:6" x14ac:dyDescent="0.25">
      <c r="B10" s="53" t="s">
        <v>362</v>
      </c>
      <c r="C10" s="10" t="s">
        <v>359</v>
      </c>
      <c r="D10" s="10" t="s">
        <v>110</v>
      </c>
      <c r="E10" s="41">
        <v>1</v>
      </c>
      <c r="F10" s="10" t="s">
        <v>363</v>
      </c>
    </row>
    <row r="11" spans="1:6" x14ac:dyDescent="0.25">
      <c r="B11" s="8" t="s">
        <v>282</v>
      </c>
      <c r="C11" s="11" t="s">
        <v>283</v>
      </c>
      <c r="D11" s="11" t="s">
        <v>110</v>
      </c>
      <c r="E11" s="14">
        <v>1</v>
      </c>
    </row>
    <row r="12" spans="1:6" x14ac:dyDescent="0.25">
      <c r="B12" s="8" t="s">
        <v>116</v>
      </c>
      <c r="C12" s="11" t="s">
        <v>84</v>
      </c>
      <c r="D12" s="11" t="s">
        <v>80</v>
      </c>
      <c r="E12" s="14">
        <v>1</v>
      </c>
      <c r="F12" s="11" t="s">
        <v>117</v>
      </c>
    </row>
    <row r="13" spans="1:6" x14ac:dyDescent="0.25">
      <c r="B13" s="8" t="s">
        <v>118</v>
      </c>
      <c r="C13" s="11" t="s">
        <v>119</v>
      </c>
      <c r="D13" s="11" t="s">
        <v>80</v>
      </c>
      <c r="E13" s="14">
        <v>1</v>
      </c>
    </row>
    <row r="14" spans="1:6" x14ac:dyDescent="0.25">
      <c r="B14" s="8" t="s">
        <v>69</v>
      </c>
      <c r="C14" s="11" t="s">
        <v>67</v>
      </c>
      <c r="D14" s="11" t="s">
        <v>80</v>
      </c>
      <c r="E14" s="14">
        <v>1</v>
      </c>
    </row>
    <row r="15" spans="1:6" x14ac:dyDescent="0.25">
      <c r="B15" s="53" t="s">
        <v>125</v>
      </c>
      <c r="C15" s="10" t="s">
        <v>124</v>
      </c>
      <c r="D15" s="10" t="s">
        <v>80</v>
      </c>
      <c r="E15" s="2" t="s">
        <v>126</v>
      </c>
      <c r="F15" s="2" t="s">
        <v>599</v>
      </c>
    </row>
    <row r="16" spans="1:6" x14ac:dyDescent="0.25">
      <c r="B16" s="53" t="s">
        <v>380</v>
      </c>
      <c r="C16" s="10" t="s">
        <v>290</v>
      </c>
      <c r="D16" s="10" t="s">
        <v>80</v>
      </c>
      <c r="E16" s="2" t="s">
        <v>573</v>
      </c>
      <c r="F16" s="2" t="s">
        <v>600</v>
      </c>
    </row>
    <row r="17" spans="2:4" x14ac:dyDescent="0.25">
      <c r="B17" s="53" t="s">
        <v>608</v>
      </c>
      <c r="C17" s="10" t="s">
        <v>290</v>
      </c>
      <c r="D17" s="10" t="s">
        <v>80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60" t="s">
        <v>55</v>
      </c>
    </row>
    <row r="2" spans="1:3" x14ac:dyDescent="0.25">
      <c r="B2" s="5" t="s">
        <v>49</v>
      </c>
      <c r="C2" s="3" t="s">
        <v>528</v>
      </c>
    </row>
    <row r="3" spans="1:3" x14ac:dyDescent="0.25">
      <c r="B3" s="5" t="s">
        <v>51</v>
      </c>
      <c r="C3" s="5" t="s">
        <v>527</v>
      </c>
    </row>
    <row r="4" spans="1:3" x14ac:dyDescent="0.25">
      <c r="B4" s="5" t="s">
        <v>44</v>
      </c>
      <c r="C4" s="5" t="s">
        <v>70</v>
      </c>
    </row>
    <row r="5" spans="1:3" x14ac:dyDescent="0.25">
      <c r="B5" s="5" t="s">
        <v>65</v>
      </c>
      <c r="C5" s="5" t="s">
        <v>77</v>
      </c>
    </row>
    <row r="6" spans="1:3" x14ac:dyDescent="0.25">
      <c r="B6" s="5" t="s">
        <v>66</v>
      </c>
      <c r="C6" s="5" t="s">
        <v>98</v>
      </c>
    </row>
    <row r="7" spans="1:3" x14ac:dyDescent="0.25">
      <c r="C7" s="5" t="s">
        <v>99</v>
      </c>
    </row>
    <row r="8" spans="1:3" x14ac:dyDescent="0.25">
      <c r="C8" s="5" t="s">
        <v>100</v>
      </c>
    </row>
    <row r="9" spans="1:3" x14ac:dyDescent="0.25">
      <c r="C9" s="5" t="s">
        <v>101</v>
      </c>
    </row>
    <row r="10" spans="1:3" x14ac:dyDescent="0.25">
      <c r="C10" s="5" t="s">
        <v>102</v>
      </c>
    </row>
    <row r="11" spans="1:3" x14ac:dyDescent="0.25">
      <c r="B11" s="5" t="s">
        <v>75</v>
      </c>
      <c r="C11" s="5" t="s">
        <v>76</v>
      </c>
    </row>
    <row r="12" spans="1:3" x14ac:dyDescent="0.25">
      <c r="B12" s="5" t="s">
        <v>96</v>
      </c>
      <c r="C12" s="5" t="s">
        <v>97</v>
      </c>
    </row>
    <row r="13" spans="1:3" x14ac:dyDescent="0.25">
      <c r="B13" s="3" t="s">
        <v>53</v>
      </c>
    </row>
    <row r="14" spans="1:3" ht="13" x14ac:dyDescent="0.3">
      <c r="C14" s="16" t="s">
        <v>521</v>
      </c>
    </row>
    <row r="15" spans="1:3" x14ac:dyDescent="0.25">
      <c r="C15" s="3" t="s">
        <v>522</v>
      </c>
    </row>
  </sheetData>
  <phoneticPr fontId="17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1" t="s">
        <v>49</v>
      </c>
      <c r="C2" s="1" t="s">
        <v>293</v>
      </c>
    </row>
    <row r="3" spans="1:3" x14ac:dyDescent="0.25">
      <c r="B3" s="1" t="s">
        <v>51</v>
      </c>
      <c r="C3" s="1" t="s">
        <v>294</v>
      </c>
    </row>
    <row r="4" spans="1:3" x14ac:dyDescent="0.25">
      <c r="B4" s="1" t="s">
        <v>44</v>
      </c>
      <c r="C4" s="1" t="s">
        <v>295</v>
      </c>
    </row>
    <row r="5" spans="1:3" x14ac:dyDescent="0.25">
      <c r="B5" s="1" t="s">
        <v>66</v>
      </c>
      <c r="C5" s="1" t="s">
        <v>130</v>
      </c>
    </row>
    <row r="6" spans="1:3" x14ac:dyDescent="0.25">
      <c r="B6" s="1" t="s">
        <v>53</v>
      </c>
    </row>
    <row r="7" spans="1:3" ht="13" x14ac:dyDescent="0.3">
      <c r="C7" s="40" t="s">
        <v>296</v>
      </c>
    </row>
  </sheetData>
  <hyperlinks>
    <hyperlink ref="A1" location="Main!A1" display="Main" xr:uid="{00000000-0004-0000-13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78</v>
      </c>
    </row>
    <row r="3" spans="1:3" x14ac:dyDescent="0.25">
      <c r="B3" s="4" t="s">
        <v>66</v>
      </c>
      <c r="C3" s="4" t="s">
        <v>252</v>
      </c>
    </row>
    <row r="4" spans="1:3" x14ac:dyDescent="0.25">
      <c r="B4" s="4" t="s">
        <v>44</v>
      </c>
      <c r="C4" s="4" t="s">
        <v>246</v>
      </c>
    </row>
    <row r="5" spans="1:3" x14ac:dyDescent="0.25">
      <c r="B5" s="4" t="s">
        <v>75</v>
      </c>
      <c r="C5" s="4" t="s">
        <v>121</v>
      </c>
    </row>
    <row r="6" spans="1:3" x14ac:dyDescent="0.25">
      <c r="B6" s="4" t="s">
        <v>53</v>
      </c>
    </row>
    <row r="7" spans="1:3" ht="13" x14ac:dyDescent="0.3">
      <c r="C7" s="16" t="s">
        <v>257</v>
      </c>
    </row>
    <row r="10" spans="1:3" ht="13" x14ac:dyDescent="0.3">
      <c r="C10" s="16" t="s">
        <v>256</v>
      </c>
    </row>
    <row r="11" spans="1:3" x14ac:dyDescent="0.25">
      <c r="C11" s="4" t="s">
        <v>255</v>
      </c>
    </row>
    <row r="13" spans="1:3" x14ac:dyDescent="0.25">
      <c r="C13" s="4" t="s">
        <v>285</v>
      </c>
    </row>
  </sheetData>
  <phoneticPr fontId="17" type="noConversion"/>
  <hyperlinks>
    <hyperlink ref="A1" location="Main!A1" display="Main" xr:uid="{00000000-0004-0000-0E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5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.81640625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222</v>
      </c>
    </row>
    <row r="3" spans="1:3" x14ac:dyDescent="0.25">
      <c r="B3" s="4" t="s">
        <v>51</v>
      </c>
      <c r="C3" s="4" t="s">
        <v>199</v>
      </c>
    </row>
    <row r="4" spans="1:3" x14ac:dyDescent="0.25">
      <c r="B4" s="4" t="s">
        <v>66</v>
      </c>
      <c r="C4" s="4" t="s">
        <v>203</v>
      </c>
    </row>
    <row r="5" spans="1:3" x14ac:dyDescent="0.25">
      <c r="B5" s="4" t="s">
        <v>65</v>
      </c>
      <c r="C5" s="4" t="s">
        <v>200</v>
      </c>
    </row>
    <row r="6" spans="1:3" x14ac:dyDescent="0.25">
      <c r="B6" s="4" t="s">
        <v>9</v>
      </c>
      <c r="C6" s="4" t="s">
        <v>202</v>
      </c>
    </row>
    <row r="7" spans="1:3" x14ac:dyDescent="0.25">
      <c r="B7" s="4" t="s">
        <v>81</v>
      </c>
      <c r="C7" s="4" t="s">
        <v>201</v>
      </c>
    </row>
    <row r="8" spans="1:3" x14ac:dyDescent="0.25">
      <c r="B8" s="4" t="s">
        <v>53</v>
      </c>
    </row>
    <row r="9" spans="1:3" ht="13" x14ac:dyDescent="0.3">
      <c r="C9" s="16" t="s">
        <v>507</v>
      </c>
    </row>
    <row r="10" spans="1:3" x14ac:dyDescent="0.25">
      <c r="C10" s="3" t="s">
        <v>508</v>
      </c>
    </row>
    <row r="11" spans="1:3" x14ac:dyDescent="0.25">
      <c r="C11" s="3" t="s">
        <v>509</v>
      </c>
    </row>
    <row r="13" spans="1:3" ht="13" x14ac:dyDescent="0.3">
      <c r="C13" s="16" t="s">
        <v>204</v>
      </c>
    </row>
    <row r="14" spans="1:3" x14ac:dyDescent="0.25">
      <c r="C14" s="4" t="s">
        <v>221</v>
      </c>
    </row>
    <row r="15" spans="1:3" x14ac:dyDescent="0.25">
      <c r="C15" s="15" t="s">
        <v>205</v>
      </c>
    </row>
  </sheetData>
  <phoneticPr fontId="17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11DF48-8F96-42CC-AFEE-EFAF0475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23984D-947A-4544-B729-0E53BCCB05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A384C-A6DF-4ACC-92F2-A1C6845C3F37}">
  <ds:schemaRefs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Management and Structure</vt:lpstr>
      <vt:lpstr>Debt</vt:lpstr>
      <vt:lpstr>Master</vt:lpstr>
      <vt:lpstr>Main</vt:lpstr>
      <vt:lpstr>Model</vt:lpstr>
      <vt:lpstr>Vabysmo</vt:lpstr>
      <vt:lpstr>Tecentriq</vt:lpstr>
      <vt:lpstr>Phesgo</vt:lpstr>
      <vt:lpstr>Diagnostics</vt:lpstr>
      <vt:lpstr>Elevidys</vt:lpstr>
      <vt:lpstr>Evrysdi</vt:lpstr>
      <vt:lpstr>MabThera</vt:lpstr>
      <vt:lpstr>Hemlibra</vt:lpstr>
      <vt:lpstr>Avastin</vt:lpstr>
      <vt:lpstr>Avastin Model</vt:lpstr>
      <vt:lpstr>Polivy</vt:lpstr>
      <vt:lpstr>Herceptin</vt:lpstr>
      <vt:lpstr>Pegasys</vt:lpstr>
      <vt:lpstr>Xeloda</vt:lpstr>
      <vt:lpstr>tiragolumab</vt:lpstr>
      <vt:lpstr>Actemra</vt:lpstr>
      <vt:lpstr>Lucentis</vt:lpstr>
      <vt:lpstr>Perjeta</vt:lpstr>
      <vt:lpstr>Ocrevus</vt:lpstr>
      <vt:lpstr>Kadcyla</vt:lpstr>
      <vt:lpstr>Mircera</vt:lpstr>
      <vt:lpstr>Tarceva</vt:lpstr>
      <vt:lpstr>Failures</vt:lpstr>
      <vt:lpstr>dalcetrapib</vt:lpstr>
      <vt:lpstr>aleglitazar</vt:lpstr>
      <vt:lpstr>R1626</vt:lpstr>
      <vt:lpstr>taspoglutide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2010-02-09T23:02:31Z</cp:lastPrinted>
  <dcterms:created xsi:type="dcterms:W3CDTF">2005-10-20T01:39:14Z</dcterms:created>
  <dcterms:modified xsi:type="dcterms:W3CDTF">2025-08-19T13:26:17Z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