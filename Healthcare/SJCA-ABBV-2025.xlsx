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48D84578-0538-4CC5-BC8A-92B71B1FBFFA}" xr6:coauthVersionLast="47" xr6:coauthVersionMax="47" xr10:uidLastSave="{00000000-0000-0000-0000-000000000000}"/>
  <bookViews>
    <workbookView xWindow="6800" yWindow="2560" windowWidth="28030" windowHeight="18090" firstSheet="1" activeTab="2" xr2:uid="{00000000-000D-0000-FFFF-FFFF00000000}"/>
  </bookViews>
  <sheets>
    <sheet name="Master" sheetId="4" r:id="rId1"/>
    <sheet name="Main" sheetId="2" r:id="rId2"/>
    <sheet name="Model" sheetId="1" r:id="rId3"/>
    <sheet name="Skyrizi" sheetId="6" r:id="rId4"/>
    <sheet name="Imbruvica" sheetId="7" r:id="rId5"/>
    <sheet name="Emrelis" sheetId="16" r:id="rId6"/>
    <sheet name="ABBV-400" sheetId="19" r:id="rId7"/>
    <sheet name="Humira" sheetId="3" r:id="rId8"/>
    <sheet name="Rinvoq" sheetId="5" r:id="rId9"/>
    <sheet name="Botox" sheetId="8" r:id="rId10"/>
    <sheet name="Elahere" sheetId="9" r:id="rId11"/>
    <sheet name="Qulipta" sheetId="18" r:id="rId12"/>
    <sheet name="emraclidine" sheetId="17" r:id="rId13"/>
    <sheet name="Epkinly" sheetId="10" r:id="rId14"/>
    <sheet name="Vyalev" sheetId="14" r:id="rId15"/>
    <sheet name="Venclexta" sheetId="15" r:id="rId16"/>
    <sheet name="tavapadon" sheetId="1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T34" i="1" l="1"/>
  <c r="CS34" i="1"/>
  <c r="CR34" i="1"/>
  <c r="CQ34" i="1"/>
  <c r="CT32" i="1"/>
  <c r="CS32" i="1"/>
  <c r="CR32" i="1"/>
  <c r="CQ32" i="1"/>
  <c r="CR31" i="1"/>
  <c r="CS31" i="1" s="1"/>
  <c r="CT31" i="1" s="1"/>
  <c r="CQ31" i="1"/>
  <c r="CR30" i="1"/>
  <c r="CS30" i="1" s="1"/>
  <c r="CT30" i="1" s="1"/>
  <c r="CQ30" i="1"/>
  <c r="CR28" i="1"/>
  <c r="CS28" i="1" s="1"/>
  <c r="CT28" i="1" s="1"/>
  <c r="CQ28" i="1"/>
  <c r="CR27" i="1"/>
  <c r="CS27" i="1" s="1"/>
  <c r="CT27" i="1" s="1"/>
  <c r="CQ27" i="1"/>
  <c r="CT26" i="1"/>
  <c r="CS26" i="1"/>
  <c r="CR26" i="1"/>
  <c r="CQ26" i="1"/>
  <c r="CT25" i="1"/>
  <c r="CS25" i="1"/>
  <c r="CR25" i="1"/>
  <c r="CQ25" i="1"/>
  <c r="CR24" i="1"/>
  <c r="CS24" i="1" s="1"/>
  <c r="CT24" i="1" s="1"/>
  <c r="CQ24" i="1"/>
  <c r="CT23" i="1"/>
  <c r="CS23" i="1"/>
  <c r="CR23" i="1"/>
  <c r="CQ23" i="1"/>
  <c r="CR22" i="1"/>
  <c r="CS22" i="1" s="1"/>
  <c r="CT22" i="1" s="1"/>
  <c r="CQ22" i="1"/>
  <c r="CR21" i="1"/>
  <c r="CS21" i="1" s="1"/>
  <c r="CQ21" i="1"/>
  <c r="CT19" i="1"/>
  <c r="CS19" i="1"/>
  <c r="CR19" i="1"/>
  <c r="CQ19" i="1"/>
  <c r="CT18" i="1"/>
  <c r="CS18" i="1"/>
  <c r="CR18" i="1"/>
  <c r="CQ18" i="1"/>
  <c r="CT17" i="1"/>
  <c r="CS17" i="1"/>
  <c r="CR17" i="1"/>
  <c r="CQ17" i="1"/>
  <c r="CT16" i="1"/>
  <c r="CS16" i="1"/>
  <c r="CR16" i="1"/>
  <c r="CQ16" i="1"/>
  <c r="CT15" i="1"/>
  <c r="CS15" i="1"/>
  <c r="CR15" i="1"/>
  <c r="CQ15" i="1"/>
  <c r="CT14" i="1"/>
  <c r="CS14" i="1"/>
  <c r="CR14" i="1"/>
  <c r="CQ14" i="1"/>
  <c r="CT13" i="1"/>
  <c r="CT3" i="1" s="1"/>
  <c r="CS13" i="1"/>
  <c r="CS3" i="1" s="1"/>
  <c r="CR13" i="1"/>
  <c r="CR3" i="1" s="1"/>
  <c r="CQ13" i="1"/>
  <c r="CT12" i="1"/>
  <c r="CS12" i="1"/>
  <c r="CR12" i="1"/>
  <c r="CQ12" i="1"/>
  <c r="CT10" i="1"/>
  <c r="CS10" i="1"/>
  <c r="CR10" i="1"/>
  <c r="CQ10" i="1"/>
  <c r="CT9" i="1"/>
  <c r="CS9" i="1"/>
  <c r="CR9" i="1"/>
  <c r="CQ9" i="1"/>
  <c r="CT8" i="1"/>
  <c r="CS8" i="1"/>
  <c r="CR8" i="1"/>
  <c r="CQ8" i="1"/>
  <c r="CT7" i="1"/>
  <c r="CS7" i="1"/>
  <c r="CR7" i="1"/>
  <c r="CQ7" i="1"/>
  <c r="CT5" i="1"/>
  <c r="CS5" i="1"/>
  <c r="CR5" i="1"/>
  <c r="CQ5" i="1"/>
  <c r="CQ3" i="1"/>
  <c r="CQ58" i="1"/>
  <c r="DC15" i="1"/>
  <c r="DB15" i="1"/>
  <c r="DA15" i="1"/>
  <c r="CZ15" i="1"/>
  <c r="CY15" i="1"/>
  <c r="CX15" i="1"/>
  <c r="DC14" i="1"/>
  <c r="DB14" i="1"/>
  <c r="DA14" i="1"/>
  <c r="CZ14" i="1"/>
  <c r="CY14" i="1"/>
  <c r="CX14" i="1"/>
  <c r="DC13" i="1"/>
  <c r="DB13" i="1"/>
  <c r="DA13" i="1"/>
  <c r="CZ13" i="1"/>
  <c r="CY13" i="1"/>
  <c r="CX13" i="1"/>
  <c r="DC6" i="1"/>
  <c r="DB6" i="1"/>
  <c r="DA6" i="1"/>
  <c r="CZ6" i="1"/>
  <c r="CY6" i="1"/>
  <c r="CX6" i="1"/>
  <c r="DC10" i="1"/>
  <c r="DB10" i="1"/>
  <c r="DA10" i="1"/>
  <c r="CZ10" i="1"/>
  <c r="CY10" i="1"/>
  <c r="CX10" i="1"/>
  <c r="DC9" i="1"/>
  <c r="DB9" i="1"/>
  <c r="DA9" i="1"/>
  <c r="CZ9" i="1"/>
  <c r="CY9" i="1"/>
  <c r="CX9" i="1"/>
  <c r="DC8" i="1"/>
  <c r="DB8" i="1"/>
  <c r="DA8" i="1"/>
  <c r="CZ8" i="1"/>
  <c r="CY8" i="1"/>
  <c r="CX8" i="1"/>
  <c r="CN65" i="1"/>
  <c r="DK29" i="1"/>
  <c r="DK33" i="1"/>
  <c r="DK34" i="1"/>
  <c r="BD3" i="1"/>
  <c r="BC3" i="1"/>
  <c r="BB3" i="1"/>
  <c r="BA3" i="1"/>
  <c r="AZ3" i="1"/>
  <c r="AY3" i="1"/>
  <c r="AX3" i="1"/>
  <c r="AW3" i="1"/>
  <c r="CM121" i="1"/>
  <c r="CM127" i="1" s="1"/>
  <c r="CM116" i="1"/>
  <c r="CM119" i="1"/>
  <c r="CM113" i="1"/>
  <c r="CM112" i="1"/>
  <c r="CM109" i="1"/>
  <c r="CM114" i="1" s="1"/>
  <c r="CN97" i="1"/>
  <c r="CN102" i="1" s="1"/>
  <c r="CN93" i="1"/>
  <c r="CN88" i="1"/>
  <c r="CN95" i="1" s="1"/>
  <c r="CM88" i="1"/>
  <c r="CM97" i="1"/>
  <c r="CM102" i="1" s="1"/>
  <c r="CM87" i="1"/>
  <c r="CM93" i="1"/>
  <c r="CM95" i="1" s="1"/>
  <c r="CM65" i="1"/>
  <c r="CL65" i="1"/>
  <c r="CL101" i="1"/>
  <c r="CL97" i="1"/>
  <c r="CL102" i="1" s="1"/>
  <c r="CL88" i="1"/>
  <c r="CL93" i="1"/>
  <c r="CR58" i="1" l="1"/>
  <c r="CT21" i="1"/>
  <c r="CT58" i="1" s="1"/>
  <c r="CS58" i="1"/>
  <c r="CN87" i="1"/>
  <c r="CX3" i="1"/>
  <c r="CY3" i="1"/>
  <c r="CZ3" i="1"/>
  <c r="DA3" i="1"/>
  <c r="DB3" i="1"/>
  <c r="DC3" i="1"/>
  <c r="CM129" i="1"/>
  <c r="CL95" i="1" l="1"/>
  <c r="CL87" i="1"/>
  <c r="CC19" i="1"/>
  <c r="CD32" i="1"/>
  <c r="DH32" i="1" s="1"/>
  <c r="DJ5" i="1"/>
  <c r="CK65" i="1"/>
  <c r="CL63" i="1"/>
  <c r="CO10" i="1"/>
  <c r="DN33" i="1"/>
  <c r="DO33" i="1" s="1"/>
  <c r="DP33" i="1" s="1"/>
  <c r="DQ33" i="1" s="1"/>
  <c r="DR33" i="1" s="1"/>
  <c r="DS33" i="1" s="1"/>
  <c r="DT33" i="1" s="1"/>
  <c r="DU33" i="1" s="1"/>
  <c r="DT34" i="1"/>
  <c r="DU34" i="1" s="1"/>
  <c r="CD19" i="1" l="1"/>
  <c r="DH19" i="1" s="1"/>
  <c r="CO62" i="1" l="1"/>
  <c r="CO61" i="1"/>
  <c r="CN63" i="1"/>
  <c r="CM22" i="1"/>
  <c r="CO81" i="1"/>
  <c r="CN81" i="1"/>
  <c r="CM81" i="1"/>
  <c r="CP81" i="1"/>
  <c r="BX81" i="1"/>
  <c r="CD81" i="1"/>
  <c r="CC81" i="1"/>
  <c r="CB81" i="1"/>
  <c r="CA81" i="1"/>
  <c r="BZ81" i="1"/>
  <c r="BY81" i="1"/>
  <c r="CL81" i="1"/>
  <c r="CJ81" i="1"/>
  <c r="CI81" i="1"/>
  <c r="CH81" i="1"/>
  <c r="CG81" i="1"/>
  <c r="CF81" i="1"/>
  <c r="CE81" i="1"/>
  <c r="CK81" i="1"/>
  <c r="CO80" i="1"/>
  <c r="CN80" i="1"/>
  <c r="CM80" i="1"/>
  <c r="CO76" i="1"/>
  <c r="CN76" i="1"/>
  <c r="CM76" i="1"/>
  <c r="CP76" i="1"/>
  <c r="CO79" i="1"/>
  <c r="CN79" i="1"/>
  <c r="CM79" i="1"/>
  <c r="CO9" i="1"/>
  <c r="CO78" i="1" s="1"/>
  <c r="CN78" i="1"/>
  <c r="CM78" i="1"/>
  <c r="CO7" i="1"/>
  <c r="CN75" i="1"/>
  <c r="CM7" i="1"/>
  <c r="CM75" i="1" s="1"/>
  <c r="CO74" i="1"/>
  <c r="CN74" i="1"/>
  <c r="CM74" i="1"/>
  <c r="CJ128" i="1"/>
  <c r="CJ126" i="1"/>
  <c r="CK126" i="1" s="1"/>
  <c r="CL126" i="1" s="1"/>
  <c r="CJ124" i="1"/>
  <c r="CK124" i="1" s="1"/>
  <c r="CL124" i="1" s="1"/>
  <c r="CJ123" i="1"/>
  <c r="CK123" i="1" s="1"/>
  <c r="CL123" i="1" s="1"/>
  <c r="CJ122" i="1"/>
  <c r="CK122" i="1" s="1"/>
  <c r="CL122" i="1" s="1"/>
  <c r="CJ118" i="1"/>
  <c r="CK118" i="1" s="1"/>
  <c r="CL118" i="1" s="1"/>
  <c r="CJ117" i="1"/>
  <c r="CK117" i="1" s="1"/>
  <c r="CL117" i="1" s="1"/>
  <c r="CJ112" i="1"/>
  <c r="CK112" i="1" s="1"/>
  <c r="CL112" i="1" s="1"/>
  <c r="CJ111" i="1"/>
  <c r="CK111" i="1" s="1"/>
  <c r="CL111" i="1" s="1"/>
  <c r="CJ110" i="1"/>
  <c r="CK110" i="1" s="1"/>
  <c r="CL110" i="1" s="1"/>
  <c r="CJ108" i="1"/>
  <c r="CK108" i="1" s="1"/>
  <c r="CL108" i="1" s="1"/>
  <c r="CJ107" i="1"/>
  <c r="CK107" i="1" s="1"/>
  <c r="CL107" i="1" s="1"/>
  <c r="CJ106" i="1"/>
  <c r="CK106" i="1" s="1"/>
  <c r="CL106" i="1" s="1"/>
  <c r="CJ105" i="1"/>
  <c r="CK105" i="1" s="1"/>
  <c r="CL105" i="1" s="1"/>
  <c r="CI121" i="1"/>
  <c r="CJ121" i="1" s="1"/>
  <c r="CI116" i="1"/>
  <c r="CI119" i="1" s="1"/>
  <c r="CI113" i="1"/>
  <c r="CJ113" i="1" s="1"/>
  <c r="CK113" i="1" s="1"/>
  <c r="CL113" i="1" s="1"/>
  <c r="CI109" i="1"/>
  <c r="CJ109" i="1" s="1"/>
  <c r="CK109" i="1" s="1"/>
  <c r="CL109" i="1" s="1"/>
  <c r="CK58" i="1"/>
  <c r="CO75" i="1" l="1"/>
  <c r="CO58" i="1"/>
  <c r="CL114" i="1"/>
  <c r="CO63" i="1"/>
  <c r="DK16" i="1"/>
  <c r="CM63" i="1"/>
  <c r="DK13" i="1"/>
  <c r="DL13" i="1" s="1"/>
  <c r="DM13" i="1" s="1"/>
  <c r="DK15" i="1"/>
  <c r="CM3" i="1"/>
  <c r="DK8" i="1"/>
  <c r="DK14" i="1"/>
  <c r="DK31" i="1"/>
  <c r="CK114" i="1"/>
  <c r="CJ127" i="1"/>
  <c r="CK121" i="1"/>
  <c r="CJ114" i="1"/>
  <c r="CJ116" i="1"/>
  <c r="CI127" i="1"/>
  <c r="CK128" i="1"/>
  <c r="CL128" i="1" s="1"/>
  <c r="CP80" i="1"/>
  <c r="CN3" i="1"/>
  <c r="CO3" i="1"/>
  <c r="CI114" i="1"/>
  <c r="CK97" i="1"/>
  <c r="CK102" i="1" s="1"/>
  <c r="CK93" i="1"/>
  <c r="CK88" i="1"/>
  <c r="CK87" i="1" s="1"/>
  <c r="H5" i="1"/>
  <c r="H56" i="1" s="1"/>
  <c r="H58" i="1" s="1"/>
  <c r="F56" i="1"/>
  <c r="F58" i="1" s="1"/>
  <c r="E56" i="1"/>
  <c r="E58" i="1" s="1"/>
  <c r="D56" i="1"/>
  <c r="D58" i="1" s="1"/>
  <c r="C56" i="1"/>
  <c r="C58" i="1" s="1"/>
  <c r="J56" i="1"/>
  <c r="J58" i="1" s="1"/>
  <c r="G56" i="1"/>
  <c r="G58" i="1" s="1"/>
  <c r="I56" i="1"/>
  <c r="I58" i="1" s="1"/>
  <c r="M40" i="1"/>
  <c r="M39" i="1"/>
  <c r="M38" i="1"/>
  <c r="M37" i="1"/>
  <c r="M47" i="1"/>
  <c r="M41" i="1"/>
  <c r="M44" i="1"/>
  <c r="M53" i="1"/>
  <c r="M49" i="1"/>
  <c r="M48" i="1"/>
  <c r="M50" i="1"/>
  <c r="M46" i="1"/>
  <c r="M5" i="1"/>
  <c r="N56" i="1"/>
  <c r="N58" i="1" s="1"/>
  <c r="K56" i="1"/>
  <c r="K58" i="1" s="1"/>
  <c r="L56" i="1"/>
  <c r="L58" i="1" s="1"/>
  <c r="Q53" i="1"/>
  <c r="Q50" i="1"/>
  <c r="Q49" i="1"/>
  <c r="Q48" i="1"/>
  <c r="Q47" i="1"/>
  <c r="Q44" i="1"/>
  <c r="Q41" i="1"/>
  <c r="Q40" i="1"/>
  <c r="Q39" i="1"/>
  <c r="Q38" i="1"/>
  <c r="Q37" i="1"/>
  <c r="P5" i="1"/>
  <c r="P56" i="1" s="1"/>
  <c r="P58" i="1" s="1"/>
  <c r="R56" i="1"/>
  <c r="R58" i="1" s="1"/>
  <c r="O56" i="1"/>
  <c r="O58" i="1" s="1"/>
  <c r="V56" i="1"/>
  <c r="V58" i="1" s="1"/>
  <c r="U56" i="1"/>
  <c r="U58" i="1" s="1"/>
  <c r="T56" i="1"/>
  <c r="T58" i="1" s="1"/>
  <c r="S56" i="1"/>
  <c r="S58" i="1" s="1"/>
  <c r="W40" i="1"/>
  <c r="W56" i="1" s="1"/>
  <c r="W58" i="1" s="1"/>
  <c r="Z56" i="1"/>
  <c r="Z58" i="1" s="1"/>
  <c r="Y56" i="1"/>
  <c r="Y58" i="1" s="1"/>
  <c r="X56" i="1"/>
  <c r="X58" i="1" s="1"/>
  <c r="AA53" i="1"/>
  <c r="AA51" i="1"/>
  <c r="AA50" i="1"/>
  <c r="AA49" i="1"/>
  <c r="AA41" i="1"/>
  <c r="AA40" i="1"/>
  <c r="AA5" i="1"/>
  <c r="AD56" i="1"/>
  <c r="AD58" i="1" s="1"/>
  <c r="AC56" i="1"/>
  <c r="AC58" i="1" s="1"/>
  <c r="AB56" i="1"/>
  <c r="AB58" i="1" s="1"/>
  <c r="AH56" i="1"/>
  <c r="AH58" i="1" s="1"/>
  <c r="AF56" i="1"/>
  <c r="AF58" i="1" s="1"/>
  <c r="AE56" i="1"/>
  <c r="AE58" i="1" s="1"/>
  <c r="AG56" i="1"/>
  <c r="AG58" i="1" s="1"/>
  <c r="AK53" i="1"/>
  <c r="AK51" i="1"/>
  <c r="AK49" i="1"/>
  <c r="AK41" i="1"/>
  <c r="AK40" i="1"/>
  <c r="AK5" i="1"/>
  <c r="AL56" i="1"/>
  <c r="AL58" i="1" s="1"/>
  <c r="AJ56" i="1"/>
  <c r="AJ58" i="1" s="1"/>
  <c r="AI56" i="1"/>
  <c r="AI58" i="1" s="1"/>
  <c r="AN56" i="1"/>
  <c r="AN58" i="1" s="1"/>
  <c r="AM56" i="1"/>
  <c r="AM58" i="1" s="1"/>
  <c r="AP56" i="1"/>
  <c r="AP58" i="1" s="1"/>
  <c r="BF56" i="1"/>
  <c r="BF58" i="1" s="1"/>
  <c r="BE56" i="1"/>
  <c r="BE58" i="1" s="1"/>
  <c r="BD56" i="1"/>
  <c r="BD58" i="1" s="1"/>
  <c r="BC56" i="1"/>
  <c r="BC58" i="1" s="1"/>
  <c r="BG72" i="1" s="1"/>
  <c r="BB65" i="1"/>
  <c r="BB63" i="1"/>
  <c r="BB56" i="1"/>
  <c r="BB58" i="1" s="1"/>
  <c r="BB60" i="1" s="1"/>
  <c r="BA65" i="1"/>
  <c r="BA63" i="1"/>
  <c r="BA56" i="1"/>
  <c r="BA58" i="1" s="1"/>
  <c r="BA60" i="1" s="1"/>
  <c r="AZ65" i="1"/>
  <c r="AZ63" i="1"/>
  <c r="AZ56" i="1"/>
  <c r="AZ58" i="1" s="1"/>
  <c r="AZ60" i="1" s="1"/>
  <c r="AY65" i="1"/>
  <c r="AY63" i="1"/>
  <c r="AY56" i="1"/>
  <c r="AY58" i="1" s="1"/>
  <c r="AY60" i="1" s="1"/>
  <c r="AX65" i="1"/>
  <c r="AX63" i="1"/>
  <c r="AX56" i="1"/>
  <c r="AX58" i="1" s="1"/>
  <c r="AX60" i="1" s="1"/>
  <c r="AW65" i="1"/>
  <c r="AW63" i="1"/>
  <c r="AW56" i="1"/>
  <c r="AW58" i="1" s="1"/>
  <c r="AW60" i="1" s="1"/>
  <c r="AU65" i="1"/>
  <c r="AU63" i="1"/>
  <c r="AU56" i="1"/>
  <c r="AU58" i="1" s="1"/>
  <c r="AU60" i="1" s="1"/>
  <c r="AT65" i="1"/>
  <c r="AT63" i="1"/>
  <c r="AT56" i="1"/>
  <c r="AT58" i="1" s="1"/>
  <c r="AT60" i="1" s="1"/>
  <c r="AR65" i="1"/>
  <c r="AR63" i="1"/>
  <c r="AQ54" i="1"/>
  <c r="AR56" i="1"/>
  <c r="AR58" i="1" s="1"/>
  <c r="AR60" i="1" s="1"/>
  <c r="BN75" i="1"/>
  <c r="BM75" i="1"/>
  <c r="BL75" i="1"/>
  <c r="BK75" i="1"/>
  <c r="BN74" i="1"/>
  <c r="BM74" i="1"/>
  <c r="BL74" i="1"/>
  <c r="BK74" i="1"/>
  <c r="CK127" i="1" l="1"/>
  <c r="CL121" i="1"/>
  <c r="CL127" i="1" s="1"/>
  <c r="DL31" i="1"/>
  <c r="DM31" i="1" s="1"/>
  <c r="DN31" i="1" s="1"/>
  <c r="DO31" i="1" s="1"/>
  <c r="DP31" i="1" s="1"/>
  <c r="DQ31" i="1" s="1"/>
  <c r="DR31" i="1" s="1"/>
  <c r="DS31" i="1" s="1"/>
  <c r="DT31" i="1" s="1"/>
  <c r="DU31" i="1" s="1"/>
  <c r="CI129" i="1"/>
  <c r="CJ119" i="1"/>
  <c r="CJ129" i="1" s="1"/>
  <c r="CK116" i="1"/>
  <c r="CK95" i="1"/>
  <c r="AW64" i="1"/>
  <c r="AW66" i="1" s="1"/>
  <c r="AW68" i="1" s="1"/>
  <c r="AW69" i="1" s="1"/>
  <c r="M56" i="1"/>
  <c r="M58" i="1" s="1"/>
  <c r="AZ64" i="1"/>
  <c r="AZ66" i="1" s="1"/>
  <c r="AZ68" i="1" s="1"/>
  <c r="AZ69" i="1" s="1"/>
  <c r="AA56" i="1"/>
  <c r="AA58" i="1" s="1"/>
  <c r="AY64" i="1"/>
  <c r="AY66" i="1" s="1"/>
  <c r="AY68" i="1" s="1"/>
  <c r="AY69" i="1" s="1"/>
  <c r="Q56" i="1"/>
  <c r="Q58" i="1" s="1"/>
  <c r="BA64" i="1"/>
  <c r="BA66" i="1" s="1"/>
  <c r="BA68" i="1" s="1"/>
  <c r="BA69" i="1" s="1"/>
  <c r="AX64" i="1"/>
  <c r="AX66" i="1" s="1"/>
  <c r="AX68" i="1" s="1"/>
  <c r="AX69" i="1" s="1"/>
  <c r="AR64" i="1"/>
  <c r="AR66" i="1" s="1"/>
  <c r="AR68" i="1" s="1"/>
  <c r="AR69" i="1" s="1"/>
  <c r="AT64" i="1"/>
  <c r="AT66" i="1" s="1"/>
  <c r="AT68" i="1" s="1"/>
  <c r="AT69" i="1" s="1"/>
  <c r="AU64" i="1"/>
  <c r="AU66" i="1" s="1"/>
  <c r="AU68" i="1" s="1"/>
  <c r="AU69" i="1" s="1"/>
  <c r="AK56" i="1"/>
  <c r="AK58" i="1" s="1"/>
  <c r="BB64" i="1"/>
  <c r="BB66" i="1" s="1"/>
  <c r="BB68" i="1" s="1"/>
  <c r="BB69" i="1" s="1"/>
  <c r="BC63" i="1"/>
  <c r="BC60" i="1"/>
  <c r="BG57" i="1"/>
  <c r="BD65" i="1"/>
  <c r="BH72" i="1"/>
  <c r="BH57" i="1"/>
  <c r="BE3" i="1"/>
  <c r="BF3" i="1"/>
  <c r="BD63" i="1"/>
  <c r="BD60" i="1"/>
  <c r="BI72" i="1"/>
  <c r="BE65" i="1"/>
  <c r="BE63" i="1"/>
  <c r="BE60" i="1"/>
  <c r="BI65" i="1"/>
  <c r="BI57" i="1"/>
  <c r="BF65" i="1"/>
  <c r="BF63" i="1"/>
  <c r="BF60" i="1"/>
  <c r="BJ65" i="1"/>
  <c r="BJ3" i="1"/>
  <c r="BI3" i="1"/>
  <c r="BH3" i="1"/>
  <c r="BG3" i="1"/>
  <c r="BJ57" i="1"/>
  <c r="BJ58" i="1" s="1"/>
  <c r="BJ60" i="1" s="1"/>
  <c r="CJ97" i="1"/>
  <c r="CJ102" i="1" s="1"/>
  <c r="CJ93" i="1"/>
  <c r="CJ88" i="1"/>
  <c r="CJ87" i="1" s="1"/>
  <c r="CJ65" i="1"/>
  <c r="CO65" i="1" s="1"/>
  <c r="CJ57" i="1"/>
  <c r="DI32" i="1"/>
  <c r="DI31" i="1"/>
  <c r="DI5" i="1"/>
  <c r="DI7" i="1"/>
  <c r="DI8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59" i="1"/>
  <c r="DI61" i="1"/>
  <c r="DI62" i="1"/>
  <c r="DI70" i="1"/>
  <c r="CI65" i="1"/>
  <c r="CJ63" i="1"/>
  <c r="CJ80" i="1"/>
  <c r="CJ79" i="1"/>
  <c r="CJ78" i="1"/>
  <c r="CJ76" i="1"/>
  <c r="CJ75" i="1"/>
  <c r="CJ74" i="1"/>
  <c r="CK74" i="1"/>
  <c r="DK27" i="1"/>
  <c r="DJ27" i="1"/>
  <c r="DK25" i="1"/>
  <c r="DK24" i="1"/>
  <c r="DK22" i="1"/>
  <c r="DK21" i="1"/>
  <c r="DK19" i="1"/>
  <c r="DK17" i="1"/>
  <c r="DJ15" i="1"/>
  <c r="CK80" i="1"/>
  <c r="DK12" i="1"/>
  <c r="CK78" i="1"/>
  <c r="CL76" i="1"/>
  <c r="CK75" i="1"/>
  <c r="CH97" i="1"/>
  <c r="CH102" i="1" s="1"/>
  <c r="CH93" i="1"/>
  <c r="CH88" i="1"/>
  <c r="CH57" i="1"/>
  <c r="DK57" i="1" s="1"/>
  <c r="CH10" i="1"/>
  <c r="CH9" i="1"/>
  <c r="DI9" i="1" s="1"/>
  <c r="CH67" i="1"/>
  <c r="CH65" i="1"/>
  <c r="CG65" i="1"/>
  <c r="CG97" i="1"/>
  <c r="CG102" i="1" s="1"/>
  <c r="CG93" i="1"/>
  <c r="CG88" i="1"/>
  <c r="CF128" i="1"/>
  <c r="CG128" i="1" s="1"/>
  <c r="CH128" i="1" s="1"/>
  <c r="CF126" i="1"/>
  <c r="CG126" i="1" s="1"/>
  <c r="CH126" i="1" s="1"/>
  <c r="CF125" i="1"/>
  <c r="CG125" i="1" s="1"/>
  <c r="CH125" i="1" s="1"/>
  <c r="CF124" i="1"/>
  <c r="CG124" i="1" s="1"/>
  <c r="CH124" i="1" s="1"/>
  <c r="CF123" i="1"/>
  <c r="CG123" i="1" s="1"/>
  <c r="CH123" i="1" s="1"/>
  <c r="CF122" i="1"/>
  <c r="CG122" i="1" s="1"/>
  <c r="CH122" i="1" s="1"/>
  <c r="CF121" i="1"/>
  <c r="CG121" i="1" s="1"/>
  <c r="CH121" i="1" s="1"/>
  <c r="CF118" i="1"/>
  <c r="CF112" i="1"/>
  <c r="CG112" i="1" s="1"/>
  <c r="CH112" i="1" s="1"/>
  <c r="CF110" i="1"/>
  <c r="CG110" i="1" s="1"/>
  <c r="CH110" i="1" s="1"/>
  <c r="CF109" i="1"/>
  <c r="CG109" i="1" s="1"/>
  <c r="CH109" i="1" s="1"/>
  <c r="CF108" i="1"/>
  <c r="CG108" i="1" s="1"/>
  <c r="CH108" i="1" s="1"/>
  <c r="CF107" i="1"/>
  <c r="CG107" i="1" s="1"/>
  <c r="CH107" i="1" s="1"/>
  <c r="CF106" i="1"/>
  <c r="CG106" i="1" s="1"/>
  <c r="CH106" i="1" s="1"/>
  <c r="CF105" i="1"/>
  <c r="CG105" i="1" s="1"/>
  <c r="CF97" i="1"/>
  <c r="CF102" i="1" s="1"/>
  <c r="CF88" i="1"/>
  <c r="CF93" i="1"/>
  <c r="CF67" i="1"/>
  <c r="CF65" i="1"/>
  <c r="CE127" i="1"/>
  <c r="CE116" i="1"/>
  <c r="CE119" i="1" s="1"/>
  <c r="CE111" i="1"/>
  <c r="CF111" i="1" s="1"/>
  <c r="CG111" i="1" s="1"/>
  <c r="CH111" i="1" s="1"/>
  <c r="CE113" i="1"/>
  <c r="CF113" i="1" s="1"/>
  <c r="CG113" i="1" s="1"/>
  <c r="CH113" i="1" s="1"/>
  <c r="CE97" i="1"/>
  <c r="CE102" i="1" s="1"/>
  <c r="CE93" i="1"/>
  <c r="CE88" i="1"/>
  <c r="CI63" i="1"/>
  <c r="CI80" i="1"/>
  <c r="CI79" i="1"/>
  <c r="CI78" i="1"/>
  <c r="CI76" i="1"/>
  <c r="CI75" i="1"/>
  <c r="CI74" i="1"/>
  <c r="CI58" i="1"/>
  <c r="CI3" i="1"/>
  <c r="CM77" i="1" s="1"/>
  <c r="CI97" i="1"/>
  <c r="CI102" i="1" s="1"/>
  <c r="CI88" i="1"/>
  <c r="CI87" i="1" s="1"/>
  <c r="CI93" i="1"/>
  <c r="CE3" i="1"/>
  <c r="CE67" i="1"/>
  <c r="CD87" i="1"/>
  <c r="DD70" i="1"/>
  <c r="DD67" i="1"/>
  <c r="DD62" i="1"/>
  <c r="DD61" i="1"/>
  <c r="DD63" i="1" s="1"/>
  <c r="DD59" i="1"/>
  <c r="DD56" i="1"/>
  <c r="DD55" i="1"/>
  <c r="DD54" i="1"/>
  <c r="DD53" i="1"/>
  <c r="DD52" i="1"/>
  <c r="DD51" i="1"/>
  <c r="DD49" i="1"/>
  <c r="DD45" i="1"/>
  <c r="DD43" i="1"/>
  <c r="DD42" i="1"/>
  <c r="DD41" i="1"/>
  <c r="DD40" i="1"/>
  <c r="DD36" i="1"/>
  <c r="DD35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0" i="1"/>
  <c r="DD9" i="1"/>
  <c r="DD8" i="1"/>
  <c r="DD7" i="1"/>
  <c r="DD6" i="1"/>
  <c r="DD5" i="1"/>
  <c r="BO75" i="1"/>
  <c r="BO74" i="1"/>
  <c r="BG65" i="1"/>
  <c r="BG63" i="1"/>
  <c r="BG60" i="1"/>
  <c r="BK57" i="1"/>
  <c r="BK3" i="1"/>
  <c r="BK72" i="1"/>
  <c r="BP3" i="1"/>
  <c r="BO3" i="1"/>
  <c r="BN3" i="1"/>
  <c r="BM3" i="1"/>
  <c r="BL3" i="1"/>
  <c r="BV3" i="1"/>
  <c r="BU3" i="1"/>
  <c r="BT3" i="1"/>
  <c r="BS3" i="1"/>
  <c r="BR3" i="1"/>
  <c r="BQ3" i="1"/>
  <c r="CC3" i="1"/>
  <c r="CB3" i="1"/>
  <c r="CA3" i="1"/>
  <c r="BZ3" i="1"/>
  <c r="BY3" i="1"/>
  <c r="BX3" i="1"/>
  <c r="BW3" i="1"/>
  <c r="CD3" i="1"/>
  <c r="BP75" i="1"/>
  <c r="BQ75" i="1"/>
  <c r="BR75" i="1"/>
  <c r="BP74" i="1"/>
  <c r="BQ74" i="1"/>
  <c r="BR74" i="1"/>
  <c r="BH63" i="1"/>
  <c r="BH60" i="1"/>
  <c r="BL58" i="1"/>
  <c r="BL72" i="1" s="1"/>
  <c r="BI63" i="1"/>
  <c r="BI60" i="1"/>
  <c r="BM58" i="1"/>
  <c r="BM72" i="1" s="1"/>
  <c r="BK65" i="1"/>
  <c r="BN65" i="1"/>
  <c r="BJ63" i="1"/>
  <c r="BN57" i="1"/>
  <c r="DE70" i="1"/>
  <c r="DF70" i="1"/>
  <c r="DF67" i="1"/>
  <c r="DE67" i="1"/>
  <c r="DF62" i="1"/>
  <c r="DE62" i="1"/>
  <c r="DF61" i="1"/>
  <c r="DE61" i="1"/>
  <c r="DF59" i="1"/>
  <c r="DE59" i="1"/>
  <c r="DE56" i="1"/>
  <c r="DE55" i="1"/>
  <c r="DE54" i="1"/>
  <c r="DE53" i="1"/>
  <c r="DE52" i="1"/>
  <c r="DE51" i="1"/>
  <c r="DE49" i="1"/>
  <c r="DE45" i="1"/>
  <c r="DE43" i="1"/>
  <c r="DE42" i="1"/>
  <c r="DE41" i="1"/>
  <c r="DE40" i="1"/>
  <c r="DE36" i="1"/>
  <c r="DE35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0" i="1"/>
  <c r="DE9" i="1"/>
  <c r="DE8" i="1"/>
  <c r="DE7" i="1"/>
  <c r="DE6" i="1"/>
  <c r="DE5" i="1"/>
  <c r="BO65" i="1"/>
  <c r="BS75" i="1"/>
  <c r="BS74" i="1"/>
  <c r="BK63" i="1"/>
  <c r="BK60" i="1"/>
  <c r="BK84" i="1" s="1"/>
  <c r="BO57" i="1"/>
  <c r="BL65" i="1"/>
  <c r="BT76" i="1"/>
  <c r="BT75" i="1"/>
  <c r="BT74" i="1"/>
  <c r="BL63" i="1"/>
  <c r="BP58" i="1"/>
  <c r="CD74" i="1"/>
  <c r="CA121" i="1"/>
  <c r="CA127" i="1" s="1"/>
  <c r="CA116" i="1"/>
  <c r="CA119" i="1" s="1"/>
  <c r="CA113" i="1"/>
  <c r="CA114" i="1" s="1"/>
  <c r="CC80" i="1"/>
  <c r="CC79" i="1"/>
  <c r="CC78" i="1"/>
  <c r="CC76" i="1"/>
  <c r="CC75" i="1"/>
  <c r="CC74" i="1"/>
  <c r="CC97" i="1"/>
  <c r="CC102" i="1" s="1"/>
  <c r="CC93" i="1"/>
  <c r="CC88" i="1"/>
  <c r="DK32" i="1" l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CK119" i="1"/>
  <c r="CK129" i="1" s="1"/>
  <c r="CL116" i="1"/>
  <c r="CL119" i="1" s="1"/>
  <c r="CL129" i="1"/>
  <c r="CP65" i="1"/>
  <c r="DK65" i="1" s="1"/>
  <c r="DJ61" i="1"/>
  <c r="CP61" i="1"/>
  <c r="DK61" i="1" s="1"/>
  <c r="DJ18" i="1"/>
  <c r="DK18" i="1"/>
  <c r="DJ62" i="1"/>
  <c r="CP62" i="1"/>
  <c r="DK62" i="1" s="1"/>
  <c r="DJ28" i="1"/>
  <c r="DJ23" i="1"/>
  <c r="DF63" i="1"/>
  <c r="DJ26" i="1"/>
  <c r="CL74" i="1"/>
  <c r="DK5" i="1"/>
  <c r="CL79" i="1"/>
  <c r="CL75" i="1"/>
  <c r="CI60" i="1"/>
  <c r="CI84" i="1" s="1"/>
  <c r="CH95" i="1"/>
  <c r="CH87" i="1"/>
  <c r="CL80" i="1"/>
  <c r="DJ13" i="1"/>
  <c r="DJ80" i="1" s="1"/>
  <c r="DJ65" i="1"/>
  <c r="CG87" i="1"/>
  <c r="DJ17" i="1"/>
  <c r="DJ25" i="1"/>
  <c r="DJ24" i="1"/>
  <c r="DI63" i="1"/>
  <c r="DI57" i="1"/>
  <c r="DJ19" i="1"/>
  <c r="DI65" i="1"/>
  <c r="DJ21" i="1"/>
  <c r="CF95" i="1"/>
  <c r="DJ32" i="1"/>
  <c r="CF87" i="1"/>
  <c r="DJ16" i="1"/>
  <c r="BS77" i="1"/>
  <c r="CF116" i="1"/>
  <c r="CG116" i="1" s="1"/>
  <c r="CH116" i="1" s="1"/>
  <c r="DJ22" i="1"/>
  <c r="CK63" i="1"/>
  <c r="DJ14" i="1"/>
  <c r="CI77" i="1"/>
  <c r="DJ12" i="1"/>
  <c r="BO77" i="1"/>
  <c r="DJ8" i="1"/>
  <c r="CG95" i="1"/>
  <c r="CE114" i="1"/>
  <c r="CE129" i="1" s="1"/>
  <c r="DI67" i="1"/>
  <c r="DJ10" i="1"/>
  <c r="DI10" i="1"/>
  <c r="CG118" i="1"/>
  <c r="CH118" i="1" s="1"/>
  <c r="BP72" i="1"/>
  <c r="BJ72" i="1"/>
  <c r="CH105" i="1"/>
  <c r="CH114" i="1" s="1"/>
  <c r="CG114" i="1"/>
  <c r="CK76" i="1"/>
  <c r="DJ57" i="1"/>
  <c r="CF127" i="1"/>
  <c r="CK79" i="1"/>
  <c r="DJ7" i="1"/>
  <c r="CL3" i="1"/>
  <c r="CJ95" i="1"/>
  <c r="CE95" i="1"/>
  <c r="CJ58" i="1"/>
  <c r="CJ60" i="1" s="1"/>
  <c r="CF114" i="1"/>
  <c r="CK3" i="1"/>
  <c r="CO77" i="1" s="1"/>
  <c r="BC64" i="1"/>
  <c r="BC66" i="1" s="1"/>
  <c r="BC68" i="1" s="1"/>
  <c r="BC69" i="1" s="1"/>
  <c r="BH64" i="1"/>
  <c r="BH66" i="1" s="1"/>
  <c r="BH68" i="1" s="1"/>
  <c r="BH69" i="1" s="1"/>
  <c r="BD64" i="1"/>
  <c r="BD66" i="1" s="1"/>
  <c r="BD68" i="1" s="1"/>
  <c r="BD69" i="1" s="1"/>
  <c r="BE64" i="1"/>
  <c r="BE66" i="1" s="1"/>
  <c r="BE68" i="1" s="1"/>
  <c r="BE69" i="1" s="1"/>
  <c r="BF64" i="1"/>
  <c r="BF66" i="1" s="1"/>
  <c r="BF68" i="1" s="1"/>
  <c r="BF69" i="1" s="1"/>
  <c r="DJ31" i="1"/>
  <c r="CK60" i="1"/>
  <c r="CJ3" i="1"/>
  <c r="CN77" i="1" s="1"/>
  <c r="CH127" i="1"/>
  <c r="CG127" i="1"/>
  <c r="CE87" i="1"/>
  <c r="CC95" i="1"/>
  <c r="CI95" i="1"/>
  <c r="BJ64" i="1"/>
  <c r="BJ66" i="1" s="1"/>
  <c r="CD77" i="1"/>
  <c r="CA77" i="1"/>
  <c r="DD57" i="1"/>
  <c r="DD58" i="1" s="1"/>
  <c r="DD60" i="1" s="1"/>
  <c r="DD84" i="1" s="1"/>
  <c r="DE3" i="1"/>
  <c r="BV77" i="1"/>
  <c r="BU77" i="1"/>
  <c r="DE63" i="1"/>
  <c r="CB77" i="1"/>
  <c r="BY77" i="1"/>
  <c r="CC77" i="1"/>
  <c r="BX77" i="1"/>
  <c r="BT77" i="1"/>
  <c r="CE77" i="1"/>
  <c r="DE75" i="1"/>
  <c r="BZ77" i="1"/>
  <c r="BW77" i="1"/>
  <c r="BN58" i="1"/>
  <c r="BN72" i="1" s="1"/>
  <c r="BI64" i="1"/>
  <c r="BI66" i="1" s="1"/>
  <c r="BI68" i="1" s="1"/>
  <c r="BI69" i="1" s="1"/>
  <c r="DE74" i="1"/>
  <c r="BQ77" i="1"/>
  <c r="BR77" i="1"/>
  <c r="DD3" i="1"/>
  <c r="BG64" i="1"/>
  <c r="BG66" i="1" s="1"/>
  <c r="BG68" i="1" s="1"/>
  <c r="BG69" i="1" s="1"/>
  <c r="BP77" i="1"/>
  <c r="BI84" i="1"/>
  <c r="BJ84" i="1"/>
  <c r="CA129" i="1"/>
  <c r="CC87" i="1"/>
  <c r="BO58" i="1"/>
  <c r="BO72" i="1" s="1"/>
  <c r="BL60" i="1"/>
  <c r="BL84" i="1" s="1"/>
  <c r="BK64" i="1"/>
  <c r="BK66" i="1" s="1"/>
  <c r="CE63" i="1"/>
  <c r="CF63" i="1"/>
  <c r="CG63" i="1"/>
  <c r="CH80" i="1"/>
  <c r="CG80" i="1"/>
  <c r="CF80" i="1"/>
  <c r="CH79" i="1"/>
  <c r="CG79" i="1"/>
  <c r="CF79" i="1"/>
  <c r="CH78" i="1"/>
  <c r="CG78" i="1"/>
  <c r="CF78" i="1"/>
  <c r="CH76" i="1"/>
  <c r="CG76" i="1"/>
  <c r="CF76" i="1"/>
  <c r="CH75" i="1"/>
  <c r="CG75" i="1"/>
  <c r="CF75" i="1"/>
  <c r="CE75" i="1"/>
  <c r="CC65" i="1"/>
  <c r="CE80" i="1"/>
  <c r="CE79" i="1"/>
  <c r="CE78" i="1"/>
  <c r="CE76" i="1"/>
  <c r="CC58" i="1"/>
  <c r="CC60" i="1" s="1"/>
  <c r="CC84" i="1" s="1"/>
  <c r="CB65" i="1"/>
  <c r="BU80" i="1"/>
  <c r="BV80" i="1"/>
  <c r="BW80" i="1"/>
  <c r="BX80" i="1"/>
  <c r="BY80" i="1"/>
  <c r="BZ80" i="1"/>
  <c r="CA80" i="1"/>
  <c r="CB80" i="1"/>
  <c r="DF9" i="1"/>
  <c r="DF56" i="1"/>
  <c r="DF55" i="1"/>
  <c r="DF54" i="1"/>
  <c r="DF53" i="1"/>
  <c r="DF52" i="1"/>
  <c r="DF51" i="1"/>
  <c r="DF49" i="1"/>
  <c r="DF45" i="1"/>
  <c r="DF43" i="1"/>
  <c r="DF42" i="1"/>
  <c r="DF41" i="1"/>
  <c r="DF40" i="1"/>
  <c r="DF36" i="1"/>
  <c r="DF35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0" i="1"/>
  <c r="DF8" i="1"/>
  <c r="DF76" i="1" s="1"/>
  <c r="DF7" i="1"/>
  <c r="DF75" i="1" s="1"/>
  <c r="DF5" i="1"/>
  <c r="DF74" i="1" s="1"/>
  <c r="BM65" i="1"/>
  <c r="DD65" i="1" s="1"/>
  <c r="BQ65" i="1"/>
  <c r="BU76" i="1"/>
  <c r="BU75" i="1"/>
  <c r="BU74" i="1"/>
  <c r="BM63" i="1"/>
  <c r="BM60" i="1"/>
  <c r="BM84" i="1" s="1"/>
  <c r="BQ57" i="1"/>
  <c r="BQ58" i="1" s="1"/>
  <c r="BQ63" i="1"/>
  <c r="BR65" i="1"/>
  <c r="BN63" i="1"/>
  <c r="BV76" i="1"/>
  <c r="BV75" i="1"/>
  <c r="BV74" i="1"/>
  <c r="BR63" i="1"/>
  <c r="BR57" i="1"/>
  <c r="BR58" i="1" s="1"/>
  <c r="BR60" i="1" s="1"/>
  <c r="BR84" i="1" s="1"/>
  <c r="BO63" i="1"/>
  <c r="BS65" i="1"/>
  <c r="BW76" i="1"/>
  <c r="BW75" i="1"/>
  <c r="BW74" i="1"/>
  <c r="BS63" i="1"/>
  <c r="BS57" i="1"/>
  <c r="BP65" i="1"/>
  <c r="BP63" i="1"/>
  <c r="BP60" i="1"/>
  <c r="BP84" i="1" s="1"/>
  <c r="BT65" i="1"/>
  <c r="BX79" i="1"/>
  <c r="BX78" i="1"/>
  <c r="BX76" i="1"/>
  <c r="BX75" i="1"/>
  <c r="BX74" i="1"/>
  <c r="BT63" i="1"/>
  <c r="BT57" i="1"/>
  <c r="BT58" i="1" s="1"/>
  <c r="BT60" i="1" s="1"/>
  <c r="BT84" i="1" s="1"/>
  <c r="CB97" i="1"/>
  <c r="CB102" i="1" s="1"/>
  <c r="CB93" i="1"/>
  <c r="CB88" i="1"/>
  <c r="DG70" i="1"/>
  <c r="DG65" i="1"/>
  <c r="DG62" i="1"/>
  <c r="DG61" i="1"/>
  <c r="DG59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0" i="1"/>
  <c r="DG9" i="1"/>
  <c r="DG8" i="1"/>
  <c r="DG7" i="1"/>
  <c r="DG5" i="1"/>
  <c r="DH27" i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H23" i="1"/>
  <c r="DH21" i="1"/>
  <c r="DH20" i="1"/>
  <c r="DH18" i="1"/>
  <c r="DH14" i="1"/>
  <c r="DH81" i="1" s="1"/>
  <c r="CD80" i="1"/>
  <c r="CD62" i="1"/>
  <c r="DH62" i="1" s="1"/>
  <c r="CD61" i="1"/>
  <c r="CH63" i="1" s="1"/>
  <c r="CD70" i="1"/>
  <c r="CA79" i="1"/>
  <c r="BZ79" i="1"/>
  <c r="BY79" i="1"/>
  <c r="CA78" i="1"/>
  <c r="BZ78" i="1"/>
  <c r="BY78" i="1"/>
  <c r="CB79" i="1"/>
  <c r="CB78" i="1"/>
  <c r="CD79" i="1"/>
  <c r="CD78" i="1"/>
  <c r="CD76" i="1"/>
  <c r="CD75" i="1"/>
  <c r="CB76" i="1"/>
  <c r="CB75" i="1"/>
  <c r="CB74" i="1"/>
  <c r="CB63" i="1"/>
  <c r="CB57" i="1"/>
  <c r="CB58" i="1" s="1"/>
  <c r="CB60" i="1" s="1"/>
  <c r="CB84" i="1" s="1"/>
  <c r="BY76" i="1"/>
  <c r="BY75" i="1"/>
  <c r="BY74" i="1"/>
  <c r="BU63" i="1"/>
  <c r="BU57" i="1"/>
  <c r="BU58" i="1" s="1"/>
  <c r="BZ76" i="1"/>
  <c r="BZ75" i="1"/>
  <c r="CA75" i="1"/>
  <c r="CA76" i="1"/>
  <c r="BZ74" i="1"/>
  <c r="BV63" i="1"/>
  <c r="BV57" i="1"/>
  <c r="BV58" i="1" s="1"/>
  <c r="BV60" i="1" s="1"/>
  <c r="BW57" i="1"/>
  <c r="CA74" i="1"/>
  <c r="BX67" i="1"/>
  <c r="BX63" i="1"/>
  <c r="BX57" i="1"/>
  <c r="BX58" i="1" s="1"/>
  <c r="DI81" i="1" l="1"/>
  <c r="DG81" i="1"/>
  <c r="DJ81" i="1"/>
  <c r="DK81" i="1"/>
  <c r="CP63" i="1"/>
  <c r="CI64" i="1"/>
  <c r="CI66" i="1" s="1"/>
  <c r="CI68" i="1" s="1"/>
  <c r="CI104" i="1" s="1"/>
  <c r="DJ20" i="1"/>
  <c r="DK28" i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CP75" i="1"/>
  <c r="DK7" i="1"/>
  <c r="DK23" i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L18" i="1"/>
  <c r="DM18" i="1" s="1"/>
  <c r="DN18" i="1" s="1"/>
  <c r="DO18" i="1" s="1"/>
  <c r="DP18" i="1" s="1"/>
  <c r="DQ18" i="1" s="1"/>
  <c r="DR18" i="1" s="1"/>
  <c r="DS18" i="1" s="1"/>
  <c r="DT18" i="1" s="1"/>
  <c r="DU18" i="1" s="1"/>
  <c r="CP79" i="1"/>
  <c r="DK10" i="1"/>
  <c r="CL78" i="1"/>
  <c r="CP74" i="1"/>
  <c r="CP3" i="1"/>
  <c r="CP77" i="1" s="1"/>
  <c r="CH119" i="1"/>
  <c r="CH129" i="1" s="1"/>
  <c r="DJ70" i="1"/>
  <c r="DL19" i="1"/>
  <c r="DM19" i="1" s="1"/>
  <c r="DN19" i="1" s="1"/>
  <c r="DO19" i="1" s="1"/>
  <c r="DP19" i="1" s="1"/>
  <c r="DQ19" i="1" s="1"/>
  <c r="DR19" i="1" s="1"/>
  <c r="DS19" i="1" s="1"/>
  <c r="DT19" i="1" s="1"/>
  <c r="DU19" i="1" s="1"/>
  <c r="DG79" i="1"/>
  <c r="DG80" i="1"/>
  <c r="DJ79" i="1"/>
  <c r="DG78" i="1"/>
  <c r="DL21" i="1"/>
  <c r="DM21" i="1" s="1"/>
  <c r="DN21" i="1" s="1"/>
  <c r="DO21" i="1" s="1"/>
  <c r="DP21" i="1" s="1"/>
  <c r="DQ21" i="1" s="1"/>
  <c r="DR21" i="1" s="1"/>
  <c r="DS21" i="1" s="1"/>
  <c r="DT21" i="1" s="1"/>
  <c r="DU21" i="1" s="1"/>
  <c r="DL14" i="1"/>
  <c r="CI85" i="1"/>
  <c r="CG119" i="1"/>
  <c r="CG129" i="1" s="1"/>
  <c r="CF119" i="1"/>
  <c r="CF129" i="1" s="1"/>
  <c r="CL58" i="1"/>
  <c r="CL60" i="1" s="1"/>
  <c r="DJ9" i="1"/>
  <c r="DJ78" i="1" s="1"/>
  <c r="BJ85" i="1"/>
  <c r="BJ68" i="1"/>
  <c r="BJ69" i="1" s="1"/>
  <c r="DG75" i="1"/>
  <c r="DG76" i="1"/>
  <c r="BI85" i="1"/>
  <c r="DE77" i="1"/>
  <c r="DG74" i="1"/>
  <c r="DE65" i="1"/>
  <c r="CF3" i="1"/>
  <c r="CF77" i="1" s="1"/>
  <c r="CG3" i="1"/>
  <c r="CG77" i="1" s="1"/>
  <c r="CD65" i="1"/>
  <c r="CH74" i="1"/>
  <c r="CH3" i="1"/>
  <c r="CH77" i="1" s="1"/>
  <c r="CF74" i="1"/>
  <c r="BO60" i="1"/>
  <c r="BO84" i="1" s="1"/>
  <c r="DD64" i="1"/>
  <c r="DD66" i="1" s="1"/>
  <c r="CG74" i="1"/>
  <c r="BN60" i="1"/>
  <c r="BN84" i="1" s="1"/>
  <c r="BL64" i="1"/>
  <c r="BL66" i="1" s="1"/>
  <c r="BL85" i="1" s="1"/>
  <c r="BS58" i="1"/>
  <c r="BS60" i="1" s="1"/>
  <c r="BS84" i="1" s="1"/>
  <c r="DF57" i="1"/>
  <c r="DF58" i="1" s="1"/>
  <c r="CF58" i="1"/>
  <c r="CJ72" i="1" s="1"/>
  <c r="DG3" i="1"/>
  <c r="DF3" i="1"/>
  <c r="DF77" i="1" s="1"/>
  <c r="DE57" i="1"/>
  <c r="DE58" i="1" s="1"/>
  <c r="DF65" i="1"/>
  <c r="BK68" i="1"/>
  <c r="BK69" i="1" s="1"/>
  <c r="BK85" i="1"/>
  <c r="CG58" i="1"/>
  <c r="CH58" i="1"/>
  <c r="CH60" i="1" s="1"/>
  <c r="CE74" i="1"/>
  <c r="BP64" i="1"/>
  <c r="BP66" i="1" s="1"/>
  <c r="BV72" i="1"/>
  <c r="BT72" i="1"/>
  <c r="BR72" i="1"/>
  <c r="BQ60" i="1"/>
  <c r="BQ84" i="1" s="1"/>
  <c r="BQ72" i="1"/>
  <c r="BU72" i="1"/>
  <c r="DH61" i="1"/>
  <c r="DH63" i="1" s="1"/>
  <c r="DH22" i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BM64" i="1"/>
  <c r="BM66" i="1" s="1"/>
  <c r="BR64" i="1"/>
  <c r="BR66" i="1" s="1"/>
  <c r="BX60" i="1"/>
  <c r="BX84" i="1" s="1"/>
  <c r="BX72" i="1"/>
  <c r="CB87" i="1"/>
  <c r="DH12" i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H25" i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BT64" i="1"/>
  <c r="BT66" i="1" s="1"/>
  <c r="DH13" i="1"/>
  <c r="DH15" i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G63" i="1"/>
  <c r="CD63" i="1"/>
  <c r="DH16" i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H17" i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H70" i="1"/>
  <c r="DH7" i="1"/>
  <c r="CC63" i="1"/>
  <c r="BV64" i="1"/>
  <c r="BV66" i="1" s="1"/>
  <c r="BV84" i="1"/>
  <c r="DH8" i="1"/>
  <c r="DH10" i="1"/>
  <c r="DH79" i="1" s="1"/>
  <c r="DH9" i="1"/>
  <c r="DH24" i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H26" i="1"/>
  <c r="CB95" i="1"/>
  <c r="DH5" i="1"/>
  <c r="DH74" i="1" s="1"/>
  <c r="CB72" i="1"/>
  <c r="CB64" i="1"/>
  <c r="CB66" i="1" s="1"/>
  <c r="BU60" i="1"/>
  <c r="BY67" i="1"/>
  <c r="BY63" i="1"/>
  <c r="BY57" i="1"/>
  <c r="BZ67" i="1"/>
  <c r="BZ63" i="1"/>
  <c r="BW63" i="1"/>
  <c r="BZ57" i="1"/>
  <c r="BZ58" i="1" s="1"/>
  <c r="CA97" i="1"/>
  <c r="CA102" i="1" s="1"/>
  <c r="CA93" i="1"/>
  <c r="CA88" i="1"/>
  <c r="BW58" i="1"/>
  <c r="CA65" i="1"/>
  <c r="CA63" i="1"/>
  <c r="CA57" i="1"/>
  <c r="AV61" i="1"/>
  <c r="AV59" i="1"/>
  <c r="AV62" i="1"/>
  <c r="AV65" i="1"/>
  <c r="AV56" i="1"/>
  <c r="AV57" i="1" s="1"/>
  <c r="CZ2" i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CI69" i="1" l="1"/>
  <c r="DM14" i="1"/>
  <c r="DL81" i="1"/>
  <c r="DK26" i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BN64" i="1"/>
  <c r="BN66" i="1" s="1"/>
  <c r="CP78" i="1"/>
  <c r="DK9" i="1"/>
  <c r="CM58" i="1"/>
  <c r="CM60" i="1" s="1"/>
  <c r="DI79" i="1"/>
  <c r="DH80" i="1"/>
  <c r="DI80" i="1"/>
  <c r="DH78" i="1"/>
  <c r="DI78" i="1"/>
  <c r="DH65" i="1"/>
  <c r="DL65" i="1" s="1"/>
  <c r="DM65" i="1" s="1"/>
  <c r="DN65" i="1" s="1"/>
  <c r="DO65" i="1" s="1"/>
  <c r="DP65" i="1" s="1"/>
  <c r="BX64" i="1"/>
  <c r="BX66" i="1" s="1"/>
  <c r="BX68" i="1" s="1"/>
  <c r="BX69" i="1" s="1"/>
  <c r="BO64" i="1"/>
  <c r="BO66" i="1" s="1"/>
  <c r="BO68" i="1" s="1"/>
  <c r="BO69" i="1" s="1"/>
  <c r="CG72" i="1"/>
  <c r="CG60" i="1"/>
  <c r="CG64" i="1" s="1"/>
  <c r="CG66" i="1" s="1"/>
  <c r="CL72" i="1"/>
  <c r="CK72" i="1"/>
  <c r="CL77" i="1"/>
  <c r="CJ77" i="1"/>
  <c r="CK77" i="1"/>
  <c r="CK84" i="1"/>
  <c r="CK64" i="1"/>
  <c r="CK66" i="1" s="1"/>
  <c r="CJ84" i="1"/>
  <c r="CJ64" i="1"/>
  <c r="CJ66" i="1" s="1"/>
  <c r="CF72" i="1"/>
  <c r="CF60" i="1"/>
  <c r="CF64" i="1" s="1"/>
  <c r="CF66" i="1" s="1"/>
  <c r="CF85" i="1" s="1"/>
  <c r="DE60" i="1"/>
  <c r="DE64" i="1" s="1"/>
  <c r="DE66" i="1" s="1"/>
  <c r="DE72" i="1"/>
  <c r="BL68" i="1"/>
  <c r="BL69" i="1" s="1"/>
  <c r="BS72" i="1"/>
  <c r="DD68" i="1"/>
  <c r="DD69" i="1" s="1"/>
  <c r="DD85" i="1"/>
  <c r="DG77" i="1"/>
  <c r="DH76" i="1"/>
  <c r="DH75" i="1"/>
  <c r="BP68" i="1"/>
  <c r="BP69" i="1" s="1"/>
  <c r="BP85" i="1"/>
  <c r="BN68" i="1"/>
  <c r="BN69" i="1" s="1"/>
  <c r="BN85" i="1"/>
  <c r="BQ64" i="1"/>
  <c r="BQ66" i="1" s="1"/>
  <c r="DF60" i="1"/>
  <c r="DF72" i="1"/>
  <c r="CA58" i="1"/>
  <c r="CA72" i="1" s="1"/>
  <c r="CE58" i="1"/>
  <c r="CI72" i="1" s="1"/>
  <c r="BM68" i="1"/>
  <c r="BM69" i="1" s="1"/>
  <c r="BM85" i="1"/>
  <c r="CH64" i="1"/>
  <c r="CH66" i="1" s="1"/>
  <c r="DI74" i="1"/>
  <c r="DH3" i="1"/>
  <c r="DH77" i="1" s="1"/>
  <c r="BS64" i="1"/>
  <c r="BS66" i="1" s="1"/>
  <c r="BS68" i="1" s="1"/>
  <c r="BS69" i="1" s="1"/>
  <c r="DK79" i="1"/>
  <c r="BW60" i="1"/>
  <c r="BW84" i="1" s="1"/>
  <c r="BW72" i="1"/>
  <c r="BR68" i="1"/>
  <c r="BR69" i="1" s="1"/>
  <c r="BR85" i="1"/>
  <c r="BT68" i="1"/>
  <c r="BT69" i="1" s="1"/>
  <c r="BT85" i="1"/>
  <c r="BY58" i="1"/>
  <c r="CB68" i="1"/>
  <c r="CB69" i="1" s="1"/>
  <c r="CB85" i="1"/>
  <c r="DG67" i="1"/>
  <c r="DG57" i="1"/>
  <c r="DG58" i="1" s="1"/>
  <c r="BV68" i="1"/>
  <c r="BV69" i="1" s="1"/>
  <c r="BV85" i="1"/>
  <c r="DH57" i="1"/>
  <c r="CD58" i="1"/>
  <c r="BU64" i="1"/>
  <c r="BU66" i="1" s="1"/>
  <c r="BU84" i="1"/>
  <c r="CA95" i="1"/>
  <c r="BZ60" i="1"/>
  <c r="BZ84" i="1" s="1"/>
  <c r="BZ72" i="1"/>
  <c r="CA87" i="1"/>
  <c r="AV63" i="1"/>
  <c r="AV58" i="1"/>
  <c r="AV60" i="1" s="1"/>
  <c r="DN14" i="1" l="1"/>
  <c r="DM81" i="1"/>
  <c r="CL64" i="1"/>
  <c r="CL66" i="1" s="1"/>
  <c r="BX85" i="1"/>
  <c r="CN58" i="1"/>
  <c r="CM72" i="1"/>
  <c r="CL84" i="1"/>
  <c r="DJ59" i="1"/>
  <c r="DK80" i="1"/>
  <c r="CO70" i="1"/>
  <c r="DL9" i="1"/>
  <c r="DK78" i="1"/>
  <c r="DL80" i="1"/>
  <c r="BO85" i="1"/>
  <c r="BS85" i="1"/>
  <c r="CJ85" i="1"/>
  <c r="CK85" i="1"/>
  <c r="DE84" i="1"/>
  <c r="BW64" i="1"/>
  <c r="BW66" i="1" s="1"/>
  <c r="BW85" i="1" s="1"/>
  <c r="CE72" i="1"/>
  <c r="CE60" i="1"/>
  <c r="CF68" i="1"/>
  <c r="DI75" i="1"/>
  <c r="DI76" i="1"/>
  <c r="CA60" i="1"/>
  <c r="CA84" i="1" s="1"/>
  <c r="DG60" i="1"/>
  <c r="DG64" i="1" s="1"/>
  <c r="DG66" i="1" s="1"/>
  <c r="DG72" i="1"/>
  <c r="DE68" i="1"/>
  <c r="DE69" i="1" s="1"/>
  <c r="DE85" i="1"/>
  <c r="BY60" i="1"/>
  <c r="BY84" i="1" s="1"/>
  <c r="CC72" i="1"/>
  <c r="DF84" i="1"/>
  <c r="DF64" i="1"/>
  <c r="DF66" i="1" s="1"/>
  <c r="BQ68" i="1"/>
  <c r="BQ69" i="1" s="1"/>
  <c r="BQ85" i="1"/>
  <c r="CF84" i="1"/>
  <c r="CG84" i="1"/>
  <c r="CG85" i="1"/>
  <c r="CH85" i="1"/>
  <c r="CH84" i="1"/>
  <c r="CD60" i="1"/>
  <c r="CD59" i="1" s="1"/>
  <c r="DH59" i="1" s="1"/>
  <c r="CH72" i="1"/>
  <c r="DJ74" i="1"/>
  <c r="DI3" i="1"/>
  <c r="DI77" i="1" s="1"/>
  <c r="DH58" i="1"/>
  <c r="DH72" i="1" s="1"/>
  <c r="DL10" i="1"/>
  <c r="DL79" i="1" s="1"/>
  <c r="BY72" i="1"/>
  <c r="BZ64" i="1"/>
  <c r="BZ66" i="1" s="1"/>
  <c r="CD72" i="1"/>
  <c r="BU68" i="1"/>
  <c r="BU69" i="1" s="1"/>
  <c r="BU85" i="1"/>
  <c r="CC64" i="1"/>
  <c r="CC66" i="1" s="1"/>
  <c r="CC85" i="1" s="1"/>
  <c r="AV64" i="1"/>
  <c r="AV66" i="1" s="1"/>
  <c r="AV68" i="1" s="1"/>
  <c r="AV69" i="1" s="1"/>
  <c r="AS65" i="1"/>
  <c r="AS63" i="1"/>
  <c r="AO56" i="1"/>
  <c r="AO58" i="1" s="1"/>
  <c r="AS56" i="1"/>
  <c r="AS58" i="1" s="1"/>
  <c r="AS60" i="1" s="1"/>
  <c r="DO14" i="1" l="1"/>
  <c r="DN81" i="1"/>
  <c r="CN72" i="1"/>
  <c r="CN60" i="1"/>
  <c r="BW68" i="1"/>
  <c r="BW69" i="1" s="1"/>
  <c r="CM64" i="1"/>
  <c r="CM66" i="1" s="1"/>
  <c r="CM84" i="1"/>
  <c r="CP58" i="1"/>
  <c r="DK20" i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CP70" i="1"/>
  <c r="DK70" i="1" s="1"/>
  <c r="DL70" i="1" s="1"/>
  <c r="DM70" i="1" s="1"/>
  <c r="DN70" i="1" s="1"/>
  <c r="DO70" i="1" s="1"/>
  <c r="DM9" i="1"/>
  <c r="DL78" i="1"/>
  <c r="CL85" i="1"/>
  <c r="DJ67" i="1"/>
  <c r="DN13" i="1"/>
  <c r="DM80" i="1"/>
  <c r="CA64" i="1"/>
  <c r="CA66" i="1" s="1"/>
  <c r="CA68" i="1" s="1"/>
  <c r="CK68" i="1"/>
  <c r="CJ68" i="1"/>
  <c r="CL68" i="1"/>
  <c r="CF69" i="1"/>
  <c r="CF104" i="1"/>
  <c r="DG68" i="1"/>
  <c r="DG69" i="1" s="1"/>
  <c r="DG85" i="1"/>
  <c r="DJ75" i="1"/>
  <c r="BY64" i="1"/>
  <c r="BY66" i="1" s="1"/>
  <c r="DJ76" i="1"/>
  <c r="DG84" i="1"/>
  <c r="CE64" i="1"/>
  <c r="CE66" i="1" s="1"/>
  <c r="CE85" i="1" s="1"/>
  <c r="CE84" i="1"/>
  <c r="DF68" i="1"/>
  <c r="DF69" i="1" s="1"/>
  <c r="DF85" i="1"/>
  <c r="CG68" i="1"/>
  <c r="CH68" i="1"/>
  <c r="CD64" i="1"/>
  <c r="CD66" i="1" s="1"/>
  <c r="CD67" i="1" s="1"/>
  <c r="CD85" i="1" s="1"/>
  <c r="CD84" i="1"/>
  <c r="DK74" i="1"/>
  <c r="DJ3" i="1"/>
  <c r="DJ77" i="1" s="1"/>
  <c r="DH60" i="1"/>
  <c r="DH64" i="1" s="1"/>
  <c r="DH66" i="1" s="1"/>
  <c r="DI58" i="1"/>
  <c r="DI60" i="1" s="1"/>
  <c r="DM10" i="1"/>
  <c r="DM79" i="1" s="1"/>
  <c r="BZ68" i="1"/>
  <c r="BZ69" i="1" s="1"/>
  <c r="BZ85" i="1"/>
  <c r="AS64" i="1"/>
  <c r="AS66" i="1" s="1"/>
  <c r="AS68" i="1" s="1"/>
  <c r="AS69" i="1" s="1"/>
  <c r="K4" i="2"/>
  <c r="K7" i="2" s="1"/>
  <c r="DP14" i="1" l="1"/>
  <c r="DO81" i="1"/>
  <c r="CL69" i="1"/>
  <c r="CL104" i="1"/>
  <c r="CP72" i="1"/>
  <c r="CP60" i="1"/>
  <c r="CP59" i="1" s="1"/>
  <c r="CO60" i="1"/>
  <c r="CO59" i="1" s="1"/>
  <c r="CO72" i="1"/>
  <c r="CN64" i="1"/>
  <c r="CN66" i="1" s="1"/>
  <c r="CN84" i="1"/>
  <c r="CM85" i="1"/>
  <c r="CJ69" i="1"/>
  <c r="CJ104" i="1"/>
  <c r="DN9" i="1"/>
  <c r="DM78" i="1"/>
  <c r="DO13" i="1"/>
  <c r="DP13" i="1" s="1"/>
  <c r="DN80" i="1"/>
  <c r="CK69" i="1"/>
  <c r="CK104" i="1"/>
  <c r="CA85" i="1"/>
  <c r="CH69" i="1"/>
  <c r="CH104" i="1"/>
  <c r="CG69" i="1"/>
  <c r="CG104" i="1"/>
  <c r="DL7" i="1"/>
  <c r="DK75" i="1"/>
  <c r="BY68" i="1"/>
  <c r="BY69" i="1" s="1"/>
  <c r="BY85" i="1"/>
  <c r="DL8" i="1"/>
  <c r="DK76" i="1"/>
  <c r="CE68" i="1"/>
  <c r="CA69" i="1"/>
  <c r="CA104" i="1"/>
  <c r="DL5" i="1"/>
  <c r="DL74" i="1" s="1"/>
  <c r="DK3" i="1"/>
  <c r="DK77" i="1" s="1"/>
  <c r="DH84" i="1"/>
  <c r="DJ58" i="1"/>
  <c r="DJ60" i="1" s="1"/>
  <c r="DI84" i="1"/>
  <c r="DI72" i="1"/>
  <c r="DP70" i="1"/>
  <c r="DN10" i="1"/>
  <c r="DN79" i="1" s="1"/>
  <c r="DH67" i="1"/>
  <c r="CD68" i="1"/>
  <c r="CD69" i="1" s="1"/>
  <c r="CC68" i="1"/>
  <c r="CC69" i="1" s="1"/>
  <c r="AQ65" i="1"/>
  <c r="AQ63" i="1"/>
  <c r="AQ60" i="1"/>
  <c r="AQ56" i="1"/>
  <c r="AQ57" i="1" s="1"/>
  <c r="DK59" i="1" l="1"/>
  <c r="DQ14" i="1"/>
  <c r="DR14" i="1" s="1"/>
  <c r="DS14" i="1" s="1"/>
  <c r="DT14" i="1" s="1"/>
  <c r="DU14" i="1" s="1"/>
  <c r="DP81" i="1"/>
  <c r="CM68" i="1"/>
  <c r="CP64" i="1"/>
  <c r="CP66" i="1" s="1"/>
  <c r="CP84" i="1"/>
  <c r="CO64" i="1"/>
  <c r="CO66" i="1" s="1"/>
  <c r="CO84" i="1"/>
  <c r="DO9" i="1"/>
  <c r="DN78" i="1"/>
  <c r="DO80" i="1"/>
  <c r="CE69" i="1"/>
  <c r="CE104" i="1"/>
  <c r="DM8" i="1"/>
  <c r="DL76" i="1"/>
  <c r="DM7" i="1"/>
  <c r="DL75" i="1"/>
  <c r="DH68" i="1"/>
  <c r="DH69" i="1" s="1"/>
  <c r="DH85" i="1"/>
  <c r="DM5" i="1"/>
  <c r="DM74" i="1" s="1"/>
  <c r="DL3" i="1"/>
  <c r="DL77" i="1" s="1"/>
  <c r="DL57" i="1"/>
  <c r="DK58" i="1"/>
  <c r="DI64" i="1"/>
  <c r="DI66" i="1" s="1"/>
  <c r="DJ63" i="1"/>
  <c r="DJ72" i="1"/>
  <c r="DJ84" i="1"/>
  <c r="DO10" i="1"/>
  <c r="DO79" i="1" s="1"/>
  <c r="AQ64" i="1"/>
  <c r="AQ66" i="1" s="1"/>
  <c r="AQ68" i="1" s="1"/>
  <c r="AQ69" i="1" s="1"/>
  <c r="DK60" i="1" l="1"/>
  <c r="CN85" i="1"/>
  <c r="CM69" i="1"/>
  <c r="CM104" i="1"/>
  <c r="CN68" i="1"/>
  <c r="CN69" i="1" s="1"/>
  <c r="CN104" i="1"/>
  <c r="DP80" i="1"/>
  <c r="DQ13" i="1"/>
  <c r="DR13" i="1" s="1"/>
  <c r="DS13" i="1" s="1"/>
  <c r="DT13" i="1" s="1"/>
  <c r="DU13" i="1" s="1"/>
  <c r="CO67" i="1"/>
  <c r="CO85" i="1" s="1"/>
  <c r="CP67" i="1"/>
  <c r="CP85" i="1" s="1"/>
  <c r="DP9" i="1"/>
  <c r="DO78" i="1"/>
  <c r="DN7" i="1"/>
  <c r="DM75" i="1"/>
  <c r="DN8" i="1"/>
  <c r="DM76" i="1"/>
  <c r="DI68" i="1"/>
  <c r="DI69" i="1" s="1"/>
  <c r="DI85" i="1"/>
  <c r="DN5" i="1"/>
  <c r="DN74" i="1" s="1"/>
  <c r="DM3" i="1"/>
  <c r="DM77" i="1" s="1"/>
  <c r="DJ64" i="1"/>
  <c r="DJ66" i="1" s="1"/>
  <c r="DK72" i="1"/>
  <c r="DK63" i="1"/>
  <c r="DK84" i="1"/>
  <c r="DM57" i="1"/>
  <c r="DL58" i="1"/>
  <c r="DP10" i="1"/>
  <c r="DK67" i="1" l="1"/>
  <c r="CO68" i="1"/>
  <c r="CO69" i="1" s="1"/>
  <c r="DP78" i="1"/>
  <c r="DQ9" i="1"/>
  <c r="DR9" i="1" s="1"/>
  <c r="DS9" i="1" s="1"/>
  <c r="DT9" i="1" s="1"/>
  <c r="DU9" i="1" s="1"/>
  <c r="DP79" i="1"/>
  <c r="DQ10" i="1"/>
  <c r="DR10" i="1" s="1"/>
  <c r="DS10" i="1" s="1"/>
  <c r="DT10" i="1" s="1"/>
  <c r="DU10" i="1" s="1"/>
  <c r="CP68" i="1"/>
  <c r="CP69" i="1" s="1"/>
  <c r="DO8" i="1"/>
  <c r="DN76" i="1"/>
  <c r="DO7" i="1"/>
  <c r="DN75" i="1"/>
  <c r="DJ68" i="1"/>
  <c r="DJ69" i="1" s="1"/>
  <c r="DJ85" i="1"/>
  <c r="DO5" i="1"/>
  <c r="DO74" i="1" s="1"/>
  <c r="DN3" i="1"/>
  <c r="DN77" i="1" s="1"/>
  <c r="DL72" i="1"/>
  <c r="DL60" i="1"/>
  <c r="DL84" i="1" s="1"/>
  <c r="DL61" i="1"/>
  <c r="DL63" i="1" s="1"/>
  <c r="DN57" i="1"/>
  <c r="DM58" i="1"/>
  <c r="DK64" i="1"/>
  <c r="DK66" i="1" s="1"/>
  <c r="DP7" i="1" l="1"/>
  <c r="DO75" i="1"/>
  <c r="DP8" i="1"/>
  <c r="DO76" i="1"/>
  <c r="DK68" i="1"/>
  <c r="DK69" i="1" s="1"/>
  <c r="DK85" i="1"/>
  <c r="DP5" i="1"/>
  <c r="DQ5" i="1" s="1"/>
  <c r="DO3" i="1"/>
  <c r="DO77" i="1" s="1"/>
  <c r="DM61" i="1"/>
  <c r="DM63" i="1" s="1"/>
  <c r="DM60" i="1"/>
  <c r="DM84" i="1" s="1"/>
  <c r="DM72" i="1"/>
  <c r="DO57" i="1"/>
  <c r="DN58" i="1"/>
  <c r="DL59" i="1"/>
  <c r="DL64" i="1"/>
  <c r="DL66" i="1" s="1"/>
  <c r="DL67" i="1" s="1"/>
  <c r="DR5" i="1" l="1"/>
  <c r="DP76" i="1"/>
  <c r="DQ8" i="1"/>
  <c r="DR8" i="1" s="1"/>
  <c r="DS8" i="1" s="1"/>
  <c r="DT8" i="1" s="1"/>
  <c r="DU8" i="1" s="1"/>
  <c r="DP75" i="1"/>
  <c r="DQ7" i="1"/>
  <c r="DR7" i="1" s="1"/>
  <c r="DS7" i="1" s="1"/>
  <c r="DT7" i="1" s="1"/>
  <c r="DU7" i="1" s="1"/>
  <c r="DP3" i="1"/>
  <c r="DP77" i="1" s="1"/>
  <c r="DP74" i="1"/>
  <c r="DL68" i="1"/>
  <c r="DL69" i="1" s="1"/>
  <c r="DL85" i="1"/>
  <c r="DP57" i="1"/>
  <c r="DO58" i="1"/>
  <c r="DN72" i="1"/>
  <c r="DN61" i="1"/>
  <c r="DN63" i="1" s="1"/>
  <c r="DN60" i="1"/>
  <c r="DN84" i="1" s="1"/>
  <c r="DM59" i="1"/>
  <c r="DM64" i="1"/>
  <c r="DM66" i="1" s="1"/>
  <c r="DM67" i="1" s="1"/>
  <c r="DP58" i="1" l="1"/>
  <c r="DP61" i="1" s="1"/>
  <c r="DP63" i="1" s="1"/>
  <c r="DQ57" i="1"/>
  <c r="DR57" i="1" s="1"/>
  <c r="DS57" i="1" s="1"/>
  <c r="DT57" i="1" s="1"/>
  <c r="DU57" i="1" s="1"/>
  <c r="DQ58" i="1"/>
  <c r="DS5" i="1"/>
  <c r="DM68" i="1"/>
  <c r="DM69" i="1" s="1"/>
  <c r="DM85" i="1"/>
  <c r="DN59" i="1"/>
  <c r="DN64" i="1"/>
  <c r="DO61" i="1"/>
  <c r="DO63" i="1" s="1"/>
  <c r="DO60" i="1"/>
  <c r="DO84" i="1" s="1"/>
  <c r="DO72" i="1"/>
  <c r="DR58" i="1" l="1"/>
  <c r="DR72" i="1" s="1"/>
  <c r="DP60" i="1"/>
  <c r="DP84" i="1" s="1"/>
  <c r="DP72" i="1"/>
  <c r="DT5" i="1"/>
  <c r="DS58" i="1"/>
  <c r="DQ72" i="1"/>
  <c r="DN66" i="1"/>
  <c r="DN67" i="1" s="1"/>
  <c r="DO59" i="1"/>
  <c r="DO64" i="1"/>
  <c r="DO66" i="1" s="1"/>
  <c r="DO67" i="1" s="1"/>
  <c r="DS72" i="1" l="1"/>
  <c r="DP64" i="1"/>
  <c r="DP66" i="1" s="1"/>
  <c r="DP67" i="1" s="1"/>
  <c r="DP85" i="1" s="1"/>
  <c r="DP59" i="1"/>
  <c r="DU5" i="1"/>
  <c r="DU58" i="1" s="1"/>
  <c r="DT58" i="1"/>
  <c r="DT72" i="1" s="1"/>
  <c r="DN68" i="1"/>
  <c r="DN69" i="1" s="1"/>
  <c r="DN85" i="1"/>
  <c r="DO68" i="1"/>
  <c r="DO69" i="1" s="1"/>
  <c r="DO85" i="1"/>
  <c r="DP68" i="1" l="1"/>
  <c r="DP69" i="1" s="1"/>
  <c r="DU72" i="1"/>
  <c r="DQ68" i="1" l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FD68" i="1" s="1"/>
  <c r="FE68" i="1" s="1"/>
  <c r="FF68" i="1" s="1"/>
  <c r="FG68" i="1" s="1"/>
  <c r="FH68" i="1" s="1"/>
  <c r="FI68" i="1" s="1"/>
  <c r="FJ68" i="1" s="1"/>
  <c r="FK68" i="1" s="1"/>
  <c r="FL68" i="1" s="1"/>
  <c r="FM68" i="1" s="1"/>
  <c r="FN68" i="1" s="1"/>
  <c r="FO68" i="1" s="1"/>
  <c r="FP68" i="1" s="1"/>
  <c r="FQ68" i="1" s="1"/>
  <c r="FR68" i="1" s="1"/>
  <c r="FS68" i="1" s="1"/>
  <c r="FT68" i="1" s="1"/>
  <c r="FU68" i="1" s="1"/>
  <c r="FV68" i="1" s="1"/>
  <c r="FW68" i="1" s="1"/>
  <c r="FX68" i="1" s="1"/>
  <c r="FY68" i="1" s="1"/>
  <c r="FZ68" i="1" s="1"/>
  <c r="GA68" i="1" s="1"/>
  <c r="GB68" i="1" s="1"/>
  <c r="GC68" i="1" s="1"/>
  <c r="GD68" i="1" s="1"/>
  <c r="GE68" i="1" s="1"/>
  <c r="GF68" i="1" s="1"/>
  <c r="GG68" i="1" s="1"/>
  <c r="GH68" i="1" s="1"/>
  <c r="GI68" i="1" s="1"/>
  <c r="GJ68" i="1" s="1"/>
  <c r="GK68" i="1" s="1"/>
  <c r="GL68" i="1" s="1"/>
  <c r="GM68" i="1" s="1"/>
  <c r="GN68" i="1" s="1"/>
  <c r="GO68" i="1" s="1"/>
  <c r="GP68" i="1" s="1"/>
  <c r="GQ68" i="1" s="1"/>
  <c r="GR68" i="1" s="1"/>
  <c r="GS68" i="1" s="1"/>
  <c r="GT68" i="1" s="1"/>
  <c r="GU68" i="1" s="1"/>
  <c r="GV68" i="1" s="1"/>
  <c r="GW68" i="1" s="1"/>
  <c r="GX68" i="1" s="1"/>
  <c r="GY68" i="1" s="1"/>
  <c r="GZ68" i="1" s="1"/>
  <c r="HA68" i="1" s="1"/>
  <c r="HB68" i="1" s="1"/>
  <c r="HC68" i="1" s="1"/>
  <c r="HD68" i="1" s="1"/>
  <c r="HE68" i="1" s="1"/>
  <c r="HF68" i="1" s="1"/>
  <c r="HG68" i="1" s="1"/>
  <c r="HH68" i="1" s="1"/>
  <c r="HI68" i="1" s="1"/>
  <c r="HJ68" i="1" s="1"/>
  <c r="HK68" i="1" s="1"/>
  <c r="HL68" i="1" s="1"/>
  <c r="HM68" i="1" s="1"/>
  <c r="HN68" i="1" s="1"/>
  <c r="HO68" i="1" s="1"/>
  <c r="HP68" i="1" s="1"/>
  <c r="HQ68" i="1" s="1"/>
  <c r="HR68" i="1" s="1"/>
  <c r="HS68" i="1" s="1"/>
  <c r="HT68" i="1" s="1"/>
  <c r="HU68" i="1" s="1"/>
  <c r="HV68" i="1" s="1"/>
  <c r="HW68" i="1" s="1"/>
  <c r="HX68" i="1" s="1"/>
  <c r="HY68" i="1" s="1"/>
  <c r="HZ68" i="1" s="1"/>
  <c r="IA68" i="1" s="1"/>
  <c r="IB68" i="1" s="1"/>
  <c r="IC68" i="1" s="1"/>
  <c r="ID68" i="1" s="1"/>
  <c r="IE68" i="1" s="1"/>
  <c r="IF68" i="1" s="1"/>
  <c r="IG68" i="1" s="1"/>
  <c r="IH68" i="1" s="1"/>
  <c r="II68" i="1" s="1"/>
  <c r="IJ68" i="1" s="1"/>
  <c r="IK68" i="1" s="1"/>
  <c r="IL68" i="1" s="1"/>
  <c r="IM68" i="1" s="1"/>
  <c r="DX78" i="1" l="1"/>
  <c r="DX7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2BFEF-7E33-4DD5-9C5E-63DF3DF23EFD}" keepAlive="1" name="Query - ABBV" description="Connection to the 'ABBV' query in the workbook." type="5" refreshedVersion="0" background="1">
    <dbPr connection="Provider=Microsoft.Mashup.OleDb.1;Data Source=$Workbook$;Location=ABBV;Extended Properties=&quot;&quot;" command="SELECT * FROM [ABBV]"/>
  </connection>
  <connection id="2" xr16:uid="{5E1F02CF-F0C0-4057-A444-57F73157A357}" keepAlive="1" name="Query - ABBV (2)" description="Connection to the 'ABBV (2)' query in the workbook." type="5" refreshedVersion="8" background="1" saveData="1">
    <dbPr connection="Provider=Microsoft.Mashup.OleDb.1;Data Source=$Workbook$;Location=&quot;ABBV (2)&quot;;Extended Properties=&quot;&quot;" command="SELECT * FROM [ABBV (2)]"/>
  </connection>
  <connection id="3" xr16:uid="{69742412-717E-46DC-9A00-B78D88CF6BD0}" keepAlive="1" name="Query - Value" description="Connection to the 'Value' query in the workbook." type="5" refreshedVersion="0" background="1">
    <dbPr connection="Provider=Microsoft.Mashup.OleDb.1;Data Source=$Workbook$;Location=Value;Extended Properties=&quot;&quot;" command="SELECT * FROM [Value]"/>
  </connection>
</connections>
</file>

<file path=xl/sharedStrings.xml><?xml version="1.0" encoding="utf-8"?>
<sst xmlns="http://schemas.openxmlformats.org/spreadsheetml/2006/main" count="1007" uniqueCount="704">
  <si>
    <t>Humira</t>
  </si>
  <si>
    <t>Q113</t>
  </si>
  <si>
    <t>Synagis</t>
  </si>
  <si>
    <t>AndroGel</t>
  </si>
  <si>
    <t>Duodopa</t>
  </si>
  <si>
    <t>Zemplar</t>
  </si>
  <si>
    <t>Creon</t>
  </si>
  <si>
    <t>Synthroid</t>
  </si>
  <si>
    <t>TriCor</t>
  </si>
  <si>
    <t>Lupron</t>
  </si>
  <si>
    <t>Niaspan</t>
  </si>
  <si>
    <t>Kaletra</t>
  </si>
  <si>
    <t>Other</t>
  </si>
  <si>
    <t>Main Products</t>
  </si>
  <si>
    <t>Shares</t>
  </si>
  <si>
    <t>EPS</t>
  </si>
  <si>
    <t>Net Income</t>
  </si>
  <si>
    <t>Taxes</t>
  </si>
  <si>
    <t>Pretax Income</t>
  </si>
  <si>
    <t>Interest Income</t>
  </si>
  <si>
    <t>Operating Expenses</t>
  </si>
  <si>
    <t>Operating Income</t>
  </si>
  <si>
    <t>R&amp;D</t>
  </si>
  <si>
    <t>SG&amp;A</t>
  </si>
  <si>
    <t>Gross Profit</t>
  </si>
  <si>
    <t>COGS</t>
  </si>
  <si>
    <t>Name</t>
  </si>
  <si>
    <t>Indication</t>
  </si>
  <si>
    <t>atrasentan</t>
  </si>
  <si>
    <t>ABT-126</t>
  </si>
  <si>
    <t>AKI</t>
  </si>
  <si>
    <t>BCL-2</t>
  </si>
  <si>
    <t>TNF</t>
  </si>
  <si>
    <t>MOA</t>
  </si>
  <si>
    <t>Uterine Fibroids</t>
  </si>
  <si>
    <t>NBIX</t>
  </si>
  <si>
    <t>Economics</t>
  </si>
  <si>
    <t>AZN</t>
  </si>
  <si>
    <t>ABT-267</t>
  </si>
  <si>
    <t>HCV</t>
  </si>
  <si>
    <t>ABT-414</t>
  </si>
  <si>
    <t>GBM</t>
  </si>
  <si>
    <t>ABT-888 (veliparib)</t>
  </si>
  <si>
    <t>PARP</t>
  </si>
  <si>
    <t>ABT-700</t>
  </si>
  <si>
    <t>Cancer</t>
  </si>
  <si>
    <t>Alzheimer's</t>
  </si>
  <si>
    <t>ABT-767</t>
  </si>
  <si>
    <t>Price</t>
  </si>
  <si>
    <t>MC</t>
  </si>
  <si>
    <t>Cash</t>
  </si>
  <si>
    <t>Debt</t>
  </si>
  <si>
    <t>EV</t>
  </si>
  <si>
    <t>IP</t>
  </si>
  <si>
    <t>Survanta</t>
  </si>
  <si>
    <t>Approved</t>
  </si>
  <si>
    <t>Phase</t>
  </si>
  <si>
    <t>Q313</t>
  </si>
  <si>
    <t>Q213</t>
  </si>
  <si>
    <t>Q112</t>
  </si>
  <si>
    <t>Q212</t>
  </si>
  <si>
    <t>Q312</t>
  </si>
  <si>
    <t>Q412</t>
  </si>
  <si>
    <t>Sevoflurane</t>
  </si>
  <si>
    <t>II</t>
  </si>
  <si>
    <t>Ovarian Cancer</t>
  </si>
  <si>
    <t>alpha7</t>
  </si>
  <si>
    <t>ABT-122</t>
  </si>
  <si>
    <t>Rheumatoid Arthritis</t>
  </si>
  <si>
    <t>ABT-165</t>
  </si>
  <si>
    <t>Discontinued</t>
  </si>
  <si>
    <t>Q214</t>
  </si>
  <si>
    <t>Biologic</t>
  </si>
  <si>
    <t>Humira (adalimumab)</t>
  </si>
  <si>
    <t>Main</t>
  </si>
  <si>
    <t>Brand Name</t>
  </si>
  <si>
    <t>Generic Name</t>
  </si>
  <si>
    <t>adalimumab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</si>
  <si>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</si>
  <si>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</si>
  <si>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</si>
  <si>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</si>
  <si>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</si>
  <si>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</si>
  <si>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</si>
  <si>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</si>
  <si>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</si>
  <si>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</si>
  <si>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</si>
  <si>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</si>
  <si>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</si>
  <si>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</si>
  <si>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</si>
  <si>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</si>
  <si>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</si>
  <si>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</si>
  <si>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</si>
  <si>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</si>
  <si>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</si>
  <si>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</si>
  <si>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</si>
  <si>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</si>
  <si>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</si>
  <si>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</si>
  <si>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</si>
  <si>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</si>
  <si>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</si>
  <si>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</si>
  <si>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</si>
  <si>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</si>
  <si>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</si>
  <si>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</si>
  <si>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</si>
  <si>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</si>
  <si>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Skyrizi</t>
  </si>
  <si>
    <t>Rinvoq</t>
  </si>
  <si>
    <t>Imbruvica</t>
  </si>
  <si>
    <t>Venclexta</t>
  </si>
  <si>
    <t>Botox Cosmetic</t>
  </si>
  <si>
    <t>Juvederm</t>
  </si>
  <si>
    <t>Other Aesthetics</t>
  </si>
  <si>
    <t>Botox Therapeutic</t>
  </si>
  <si>
    <t>1,255</t>
  </si>
  <si>
    <t>Botox Total</t>
  </si>
  <si>
    <t>Vraylar</t>
  </si>
  <si>
    <t>Ubrelvy</t>
  </si>
  <si>
    <t>Qulipta</t>
  </si>
  <si>
    <t>Other CNS</t>
  </si>
  <si>
    <t>Lumigan/Ganfort</t>
  </si>
  <si>
    <t>Alphagan/Combigan</t>
  </si>
  <si>
    <t>Restasis</t>
  </si>
  <si>
    <t>Other Eye Care</t>
  </si>
  <si>
    <t>Mavyret</t>
  </si>
  <si>
    <t>Linzess</t>
  </si>
  <si>
    <t>Assets</t>
  </si>
  <si>
    <t>AR</t>
  </si>
  <si>
    <t>Inventories</t>
  </si>
  <si>
    <t>Prepaids</t>
  </si>
  <si>
    <t>PP&amp;E</t>
  </si>
  <si>
    <t>Goodwill</t>
  </si>
  <si>
    <t>AP</t>
  </si>
  <si>
    <t>DT</t>
  </si>
  <si>
    <t>OLTL</t>
  </si>
  <si>
    <t>S/E</t>
  </si>
  <si>
    <t>L+S/E</t>
  </si>
  <si>
    <t>Net Cash</t>
  </si>
  <si>
    <t>Brand</t>
  </si>
  <si>
    <t>Androgel</t>
  </si>
  <si>
    <t>Tricor</t>
  </si>
  <si>
    <t>KDNY</t>
  </si>
  <si>
    <t>1,297</t>
  </si>
  <si>
    <t>1,190</t>
  </si>
  <si>
    <t>1,187</t>
  </si>
  <si>
    <t>1,009</t>
  </si>
  <si>
    <t>Skyrizi y/y</t>
  </si>
  <si>
    <t>Humira y/y</t>
  </si>
  <si>
    <t>Revenue y/y</t>
  </si>
  <si>
    <t>Imbruvica y/y</t>
  </si>
  <si>
    <t>1,060</t>
  </si>
  <si>
    <t>Imbruvica (ibrutinib)</t>
  </si>
  <si>
    <t>BTK</t>
  </si>
  <si>
    <t>JNJ</t>
  </si>
  <si>
    <t>Skyrizi (risankizumab)</t>
  </si>
  <si>
    <t>Venclexta (venetoclax)</t>
  </si>
  <si>
    <t>CLL, AML</t>
  </si>
  <si>
    <t>Roche</t>
  </si>
  <si>
    <t>Venetoclax, ABT-199</t>
  </si>
  <si>
    <t>ABBV-157</t>
  </si>
  <si>
    <t>RORgammaT</t>
  </si>
  <si>
    <t>Psoriasis</t>
  </si>
  <si>
    <t>ABT-179</t>
  </si>
  <si>
    <t>DN</t>
  </si>
  <si>
    <t>modimelanotide</t>
  </si>
  <si>
    <t>MCR/alpha-MSH</t>
  </si>
  <si>
    <t>ABBV-105</t>
  </si>
  <si>
    <t>SLE</t>
  </si>
  <si>
    <t>BTK+JAK</t>
  </si>
  <si>
    <t>JAK</t>
  </si>
  <si>
    <t>Rinvoq (upadacitinib)</t>
  </si>
  <si>
    <t>Schizophrenia, Bipolar</t>
  </si>
  <si>
    <t>ABBV-668</t>
  </si>
  <si>
    <t>RIPK1</t>
  </si>
  <si>
    <t>I</t>
  </si>
  <si>
    <t>Autoimmune</t>
  </si>
  <si>
    <t>Viekira (paritaprevir, ombitasvir)</t>
  </si>
  <si>
    <t>Administration</t>
  </si>
  <si>
    <t>Subcutaneous</t>
  </si>
  <si>
    <t>Oral</t>
  </si>
  <si>
    <t>ombitasvir</t>
  </si>
  <si>
    <t>Generic</t>
  </si>
  <si>
    <t>ABT-450</t>
  </si>
  <si>
    <t>paritaprevir</t>
  </si>
  <si>
    <t>ALPN-101</t>
  </si>
  <si>
    <t>ALPN</t>
  </si>
  <si>
    <t>CD28/ICOS</t>
  </si>
  <si>
    <t>Oncology</t>
  </si>
  <si>
    <t>VEGF/DLL4</t>
  </si>
  <si>
    <t>IL-1a/1b</t>
  </si>
  <si>
    <t>Rinvoq, fka ABT-494</t>
  </si>
  <si>
    <t>upadacitinib</t>
  </si>
  <si>
    <t>916</t>
  </si>
  <si>
    <t>1,373</t>
  </si>
  <si>
    <t>-</t>
  </si>
  <si>
    <t>Gross Margin</t>
  </si>
  <si>
    <t>Tax Rate</t>
  </si>
  <si>
    <t>Parkinson's Disease</t>
  </si>
  <si>
    <t>Qulipta (atogepant)</t>
  </si>
  <si>
    <t>Migraine</t>
  </si>
  <si>
    <t>Botox (onabotulinumtoxinA)</t>
  </si>
  <si>
    <t>Vraylar (cariprazine)</t>
  </si>
  <si>
    <t>Vuity (pilocarpine)</t>
  </si>
  <si>
    <t>Presbyopia</t>
  </si>
  <si>
    <t>Durysta (bimatoprost)</t>
  </si>
  <si>
    <t>Glaucoma</t>
  </si>
  <si>
    <t>Crohn's Phase III</t>
  </si>
  <si>
    <t>Rheumatoid Arthritis approved (US, EU)</t>
  </si>
  <si>
    <t>Ulcerative Colitis approved (US, EU)</t>
  </si>
  <si>
    <t>PsA approved (US, EU)</t>
  </si>
  <si>
    <t>risankizumab</t>
  </si>
  <si>
    <t>TNF/IL-17A</t>
  </si>
  <si>
    <t>RA</t>
  </si>
  <si>
    <t>Skyrizi, fka ABBV-006</t>
  </si>
  <si>
    <t>IL-23</t>
  </si>
  <si>
    <t>ABBV-0805</t>
  </si>
  <si>
    <t>alpha-synuclein</t>
  </si>
  <si>
    <t>Indications</t>
  </si>
  <si>
    <t>Rheumatoid Arthritis, Psoriasis, Crohn's, Ulcerative Colitis, Hidradenitis Suppurativa, Ankylosing Spondylitis, Non-Infection Uveitis, JIA</t>
  </si>
  <si>
    <t>Clinical Trials</t>
  </si>
  <si>
    <t>RA, PSO, CD, UC, PsA, HS, Uveitis, AS</t>
  </si>
  <si>
    <t>523</t>
  </si>
  <si>
    <t>Lo Loestrin</t>
  </si>
  <si>
    <t>Orilissa</t>
  </si>
  <si>
    <t>Other Women's</t>
  </si>
  <si>
    <t>Viekira</t>
  </si>
  <si>
    <t>Q123</t>
  </si>
  <si>
    <t>Q223</t>
  </si>
  <si>
    <t>Q323</t>
  </si>
  <si>
    <t>Q423</t>
  </si>
  <si>
    <t>2,499</t>
  </si>
  <si>
    <t>4,683</t>
  </si>
  <si>
    <t>5,488</t>
  </si>
  <si>
    <t>Revenue</t>
  </si>
  <si>
    <t>Discount</t>
  </si>
  <si>
    <t>Terminal</t>
  </si>
  <si>
    <t>NPV</t>
  </si>
  <si>
    <t>ROIC</t>
  </si>
  <si>
    <t>Share</t>
  </si>
  <si>
    <t>1,336</t>
  </si>
  <si>
    <t>Rinvoq y/y</t>
  </si>
  <si>
    <t>Combined Immunology</t>
  </si>
  <si>
    <t>Revenue c/c</t>
  </si>
  <si>
    <t>10/28/22: Q322 results</t>
  </si>
  <si>
    <t>2030+</t>
  </si>
  <si>
    <t>JAK1 selective</t>
  </si>
  <si>
    <t>SELECT-COMPARE</t>
  </si>
  <si>
    <t>SELECT-CHOICE</t>
  </si>
  <si>
    <t>SELET-AXIS 2</t>
  </si>
  <si>
    <t>Phase III "U-EXCEL" UC</t>
  </si>
  <si>
    <t>Phase III "U-ACHIEVE" UC</t>
  </si>
  <si>
    <t>ibrutinib</t>
  </si>
  <si>
    <t>6/28/27 expiry</t>
  </si>
  <si>
    <t>CLL, GvHD, WM</t>
  </si>
  <si>
    <t>BTK C481</t>
  </si>
  <si>
    <t>Orilissa (elagolix)</t>
  </si>
  <si>
    <t>Aesthetics, Cervical Dystonia</t>
  </si>
  <si>
    <t>Botulinim</t>
  </si>
  <si>
    <t>Unclear</t>
  </si>
  <si>
    <t>2030-2033</t>
  </si>
  <si>
    <t>Lupron Depot (leuprolide)</t>
  </si>
  <si>
    <t>CRPC</t>
  </si>
  <si>
    <t>100%? Takeda?</t>
  </si>
  <si>
    <t>IM</t>
  </si>
  <si>
    <t>Synthroid (levothyroxine)</t>
  </si>
  <si>
    <t>Pancreatic Insufficiency</t>
  </si>
  <si>
    <t>Hypothyroidism</t>
  </si>
  <si>
    <t>Duodopa (carbidopa/levodopa)</t>
  </si>
  <si>
    <t>Restasis (cyclosporine)</t>
  </si>
  <si>
    <t>Dry Eye</t>
  </si>
  <si>
    <t>CGRP</t>
  </si>
  <si>
    <t>Eyedrop</t>
  </si>
  <si>
    <t>DJS-002</t>
  </si>
  <si>
    <t>IPF</t>
  </si>
  <si>
    <t>LPAR1 mab</t>
  </si>
  <si>
    <t>Dermal HA Filler</t>
  </si>
  <si>
    <t>OnabotulinumtoxinA</t>
  </si>
  <si>
    <t>Approval</t>
  </si>
  <si>
    <t>Core botulinum neurotoxin is 150kDa</t>
  </si>
  <si>
    <t>Competition</t>
  </si>
  <si>
    <t>Dysport, Xeomin, biosimilars, RVNC, Evolus, Hugel</t>
  </si>
  <si>
    <t>Model NI</t>
  </si>
  <si>
    <t>Reported NI</t>
  </si>
  <si>
    <t>Depreciation</t>
  </si>
  <si>
    <t>Amortization</t>
  </si>
  <si>
    <t>CoCo</t>
  </si>
  <si>
    <t>SBC</t>
  </si>
  <si>
    <t>CFFO</t>
  </si>
  <si>
    <t>WC</t>
  </si>
  <si>
    <t>IPR&amp;D</t>
  </si>
  <si>
    <t>CFFI</t>
  </si>
  <si>
    <t>Investments</t>
  </si>
  <si>
    <t>CapEx</t>
  </si>
  <si>
    <t>Dividends</t>
  </si>
  <si>
    <t>CIC</t>
  </si>
  <si>
    <t>FX</t>
  </si>
  <si>
    <t>CFFF</t>
  </si>
  <si>
    <t>Buybacks</t>
  </si>
  <si>
    <t>ESOP</t>
  </si>
  <si>
    <t>GMAB</t>
  </si>
  <si>
    <t>CD3xCD20</t>
  </si>
  <si>
    <t>telisotuzumab vedotin</t>
  </si>
  <si>
    <t>NSCLC</t>
  </si>
  <si>
    <t>BoNTE (AGN-151586)</t>
  </si>
  <si>
    <t>Glabellar Lines</t>
  </si>
  <si>
    <t>CFO: Robert A. Michael</t>
  </si>
  <si>
    <t>Immunology y/y</t>
  </si>
  <si>
    <t>1,370</t>
  </si>
  <si>
    <t>1,378</t>
  </si>
  <si>
    <t>Ozurdex</t>
  </si>
  <si>
    <t>elsubrutinib ABBV-599 (-105+Rinvoq)</t>
  </si>
  <si>
    <t>Q124</t>
  </si>
  <si>
    <t>Q224</t>
  </si>
  <si>
    <t>Q424</t>
  </si>
  <si>
    <t>Q324</t>
  </si>
  <si>
    <t>Elahere</t>
  </si>
  <si>
    <t>Epkinly</t>
  </si>
  <si>
    <t>1,381</t>
  </si>
  <si>
    <t>1,368</t>
  </si>
  <si>
    <t>1,433</t>
  </si>
  <si>
    <t>Elahere (mirvetuximab soravtansine)</t>
  </si>
  <si>
    <t>Epkinly (epcoritamab)</t>
  </si>
  <si>
    <t>DLBCL</t>
  </si>
  <si>
    <t>US only</t>
  </si>
  <si>
    <t>1,494</t>
  </si>
  <si>
    <t>1,496</t>
  </si>
  <si>
    <t>5,673</t>
  </si>
  <si>
    <t>2/12/24: ImmunoGen closes.</t>
  </si>
  <si>
    <t>mirvetuximab soravtansine</t>
  </si>
  <si>
    <t>12/6/23: To acquire Cerevel, $8.7B.</t>
  </si>
  <si>
    <t>11/30/23: To acquire ImmunoGen, $10.1B.</t>
  </si>
  <si>
    <t>emraclidine</t>
  </si>
  <si>
    <t>Schizophrenia</t>
  </si>
  <si>
    <t>M4 PAM</t>
  </si>
  <si>
    <t>CRL, approved in EU</t>
  </si>
  <si>
    <t>Dopamine</t>
  </si>
  <si>
    <t>ABBV-154, ADC/ASC</t>
  </si>
  <si>
    <t>CLF065</t>
  </si>
  <si>
    <t>GLP2R agonist</t>
  </si>
  <si>
    <t>CUG-252</t>
  </si>
  <si>
    <t>OpSCF</t>
  </si>
  <si>
    <t>SCF248 mab</t>
  </si>
  <si>
    <t>Opsidio</t>
  </si>
  <si>
    <t>ABBV-552</t>
  </si>
  <si>
    <t>SV2A</t>
  </si>
  <si>
    <t>ABBV-916</t>
  </si>
  <si>
    <t>aBeta-pE3 mab</t>
  </si>
  <si>
    <t>ABBV-932</t>
  </si>
  <si>
    <t>D3</t>
  </si>
  <si>
    <t>Gedeon Richter</t>
  </si>
  <si>
    <t>ALS, VWM</t>
  </si>
  <si>
    <t>eIF2B</t>
  </si>
  <si>
    <t>Calico</t>
  </si>
  <si>
    <t>AL002</t>
  </si>
  <si>
    <t>TREM2</t>
  </si>
  <si>
    <t>Alector</t>
  </si>
  <si>
    <t>elezanumab</t>
  </si>
  <si>
    <t>Stroke, SCI</t>
  </si>
  <si>
    <t>RGMa</t>
  </si>
  <si>
    <t>ABBV-101</t>
  </si>
  <si>
    <t>ABBV-181 (budigalimab)</t>
  </si>
  <si>
    <t>PD-1</t>
  </si>
  <si>
    <t>ABBV-151 (livmoniplimab)</t>
  </si>
  <si>
    <t>GARP-TGF-B1</t>
  </si>
  <si>
    <t>ABBV-303</t>
  </si>
  <si>
    <t>c-Met</t>
  </si>
  <si>
    <t>Dragonfly</t>
  </si>
  <si>
    <t>ABBV-319</t>
  </si>
  <si>
    <t>CD19/ADC</t>
  </si>
  <si>
    <t>Multiple Myeloma</t>
  </si>
  <si>
    <t>BCMA/CD3</t>
  </si>
  <si>
    <t>III</t>
  </si>
  <si>
    <t>cMet ADC</t>
  </si>
  <si>
    <t>ABT-981 (lutikizumab)</t>
  </si>
  <si>
    <t>ABT-333, dasabuvir</t>
  </si>
  <si>
    <t>CEO: Robert Michael succeeded Richard Gonzalez.</t>
  </si>
  <si>
    <t>1,543</t>
  </si>
  <si>
    <t>Boehringer Ingelheim</t>
  </si>
  <si>
    <t>Phase III "SEQUENCE" vs Stelara Crohn's</t>
  </si>
  <si>
    <t>Phase III "INSPIRE" UC induction</t>
  </si>
  <si>
    <t>Phase III "COMMAND" UC maintenance</t>
  </si>
  <si>
    <t>ABBV-113 (NX-13)</t>
  </si>
  <si>
    <t>UC/Crohn's</t>
  </si>
  <si>
    <t>Acquired Landos</t>
  </si>
  <si>
    <t>FG-M701</t>
  </si>
  <si>
    <t>IBD</t>
  </si>
  <si>
    <t>TL1A mab</t>
  </si>
  <si>
    <t>FutureGen</t>
  </si>
  <si>
    <t>CEL383</t>
  </si>
  <si>
    <t>TREM1 mab</t>
  </si>
  <si>
    <t>Acquired Celsius</t>
  </si>
  <si>
    <t>Epkinly, Tepkinly</t>
  </si>
  <si>
    <t>epcoritamab</t>
  </si>
  <si>
    <t>r/r (3L+) FL</t>
  </si>
  <si>
    <t>52% ORR, 8.25m DOR</t>
  </si>
  <si>
    <t>ABBV-706</t>
  </si>
  <si>
    <t>SEZ6 ADC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</si>
  <si>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</si>
  <si>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</si>
  <si>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</si>
  <si>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</si>
  <si>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</si>
  <si>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</si>
  <si>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</si>
  <si>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</si>
  <si>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</si>
  <si>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</si>
  <si>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</si>
  <si>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</si>
  <si>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Depakote</t>
  </si>
  <si>
    <t>Biaxin</t>
  </si>
  <si>
    <t>Q108</t>
  </si>
  <si>
    <t>Q208</t>
  </si>
  <si>
    <t>Q308</t>
  </si>
  <si>
    <t>Q408</t>
  </si>
  <si>
    <t>Ultane</t>
  </si>
  <si>
    <t>Q107</t>
  </si>
  <si>
    <t>Q207</t>
  </si>
  <si>
    <t>Q307</t>
  </si>
  <si>
    <t>Q407</t>
  </si>
  <si>
    <t>Omnicef</t>
  </si>
  <si>
    <t>Q106</t>
  </si>
  <si>
    <t>Q206</t>
  </si>
  <si>
    <t>Q306</t>
  </si>
  <si>
    <t>Q406</t>
  </si>
  <si>
    <t>leuprolide</t>
  </si>
  <si>
    <t>lansoprazole</t>
  </si>
  <si>
    <t>Prevacid</t>
  </si>
  <si>
    <t>Q105</t>
  </si>
  <si>
    <t>Q205</t>
  </si>
  <si>
    <t>Q305</t>
  </si>
  <si>
    <t>Q405</t>
  </si>
  <si>
    <t>Mobic</t>
  </si>
  <si>
    <t>Q104</t>
  </si>
  <si>
    <t>Q204</t>
  </si>
  <si>
    <t>Q304</t>
  </si>
  <si>
    <t>Q404</t>
  </si>
  <si>
    <t>Q103</t>
  </si>
  <si>
    <t>Q203</t>
  </si>
  <si>
    <t>Q303</t>
  </si>
  <si>
    <t>Q403</t>
  </si>
  <si>
    <t>1,519</t>
  </si>
  <si>
    <t>Q125</t>
  </si>
  <si>
    <t>Q225</t>
  </si>
  <si>
    <t>Q325</t>
  </si>
  <si>
    <t>Q425</t>
  </si>
  <si>
    <t>10/30/24: Q324 results.</t>
  </si>
  <si>
    <t>J&amp;J international profit share</t>
  </si>
  <si>
    <t>FRalpha ADC</t>
  </si>
  <si>
    <t>IV</t>
  </si>
  <si>
    <t>tavapadon</t>
  </si>
  <si>
    <t>D1/D5 partial agonist</t>
  </si>
  <si>
    <t>Depression</t>
  </si>
  <si>
    <t>KOR</t>
  </si>
  <si>
    <t>Regulatory</t>
  </si>
  <si>
    <t>FRalpha-positive ovarian cancer</t>
  </si>
  <si>
    <t>early PD</t>
  </si>
  <si>
    <t>MDS-UPDRS Part II+III at week 26 vs. placebo</t>
  </si>
  <si>
    <t>Crohn's, Psoriasis, Psoriatic Arthritis, UC (FDA/EC approved)</t>
  </si>
  <si>
    <t>FDA approval 2024, CHMP positive opinion, EC approval 2024</t>
  </si>
  <si>
    <t>subcutaneous</t>
  </si>
  <si>
    <t>Mechanism</t>
  </si>
  <si>
    <t>bispecific</t>
  </si>
  <si>
    <t>discontinued</t>
  </si>
  <si>
    <t>ALIA-1758</t>
  </si>
  <si>
    <t>3pE-Abeta mab with BBB crossing</t>
  </si>
  <si>
    <t>acquired Aliada</t>
  </si>
  <si>
    <t>foscarbidopa, foslevodopa</t>
  </si>
  <si>
    <t>subcutaneous 24-hour</t>
  </si>
  <si>
    <t>Parkinson's</t>
  </si>
  <si>
    <t>Vyalev (foscarbidopa/foslevodopa)</t>
  </si>
  <si>
    <t>Vyalev, fka ABBV-951</t>
  </si>
  <si>
    <t>Discovered via phage display</t>
  </si>
  <si>
    <t>Humira, fka D2E7</t>
  </si>
  <si>
    <t>fully human anti-TNF mab</t>
  </si>
  <si>
    <t>Abbott acquired Knoll (BASF Pharma). Cambridge Antibody Technology had a royalty and was acquired by AstraZeneca.</t>
  </si>
  <si>
    <t>BLA 125057 approval 12/31/2002</t>
  </si>
  <si>
    <t>Masseter muscle prominence approved in China</t>
  </si>
  <si>
    <t>Botox, Botox Cosmetic</t>
  </si>
  <si>
    <t>GvHD, MCL, CLL, MZL, WM</t>
  </si>
  <si>
    <t>venetoclax</t>
  </si>
  <si>
    <t>Bcl-2 inhibitor</t>
  </si>
  <si>
    <t>oral</t>
  </si>
  <si>
    <t>NDA 205552 approved 11/13/13</t>
  </si>
  <si>
    <t>BLA 761105 approved 4/23/2019</t>
  </si>
  <si>
    <t>NDA 208573 approved 4/11/2016</t>
  </si>
  <si>
    <t>Chronic Lymphocytic Leukemia, Acute Myeloid Leukemia</t>
  </si>
  <si>
    <t>Phase II "PICCOLO" monotherapy FRalpha+ platinum-sensitive OC</t>
  </si>
  <si>
    <t>Phase II "LUMINOSITY"</t>
  </si>
  <si>
    <t>EGFR wild type NSCLC with c-Met overexpression</t>
  </si>
  <si>
    <t>ABBV-400 (telisotuzumab adizutecan)</t>
  </si>
  <si>
    <t>mCRC, NSCLC, GEA</t>
  </si>
  <si>
    <t>Acquisitions</t>
  </si>
  <si>
    <t>Vraylar y/y</t>
  </si>
  <si>
    <t>1/9/25: conference presentation</t>
  </si>
  <si>
    <t>1/7/25: CoolSculpting promotion</t>
  </si>
  <si>
    <t>1/3/25: Q424 results date.</t>
  </si>
  <si>
    <t>SVP Discovery: Jonathon Sedgwick</t>
  </si>
  <si>
    <t>12/13/24: Nimble Therapeutics acquisition, oral peptide IL23R inhibitor. $200m upfront.</t>
  </si>
  <si>
    <t>12/11/24: closes Aliada Therapeutics acquisition, ALIA-1758 for Alzheimer's.</t>
  </si>
  <si>
    <t>3 median prior therapies</t>
  </si>
  <si>
    <t>63% ORR, 39% CR</t>
  </si>
  <si>
    <t>epcoritamab+R-CHOP had 100% ORR, 87% CR, 83% remain in CR after 2 years</t>
  </si>
  <si>
    <t>GCT3013-01, single-arm, open-label, monotherapy</t>
  </si>
  <si>
    <t>Hematology: Mariana Cota Stirner</t>
  </si>
  <si>
    <t>updated data: 59% ORR, 41% CR with median CR duration 36 months</t>
  </si>
  <si>
    <t>Phase I/II "EPCORE NHL-1" n=157 r/r FL - NCT03625037</t>
  </si>
  <si>
    <t>Phase Ib/II "EPCORE NHL-2" n=44 1L DLBCL - NCT04663347</t>
  </si>
  <si>
    <t>met PE MDS-UPDRS Part II/III</t>
  </si>
  <si>
    <t>placebo -1.2, tavapadon -10.3, p&lt;0.0001</t>
  </si>
  <si>
    <t>D1/D5 agonist</t>
  </si>
  <si>
    <t>rotigotine, ropinirole, apomorphine, pramipexole</t>
  </si>
  <si>
    <t>TEMPO-4 - NCT04760769</t>
  </si>
  <si>
    <t>filing NDA in 2025</t>
  </si>
  <si>
    <t>Filing</t>
  </si>
  <si>
    <t>12/9/24: TEMPO-2 results for Alzheimer's</t>
  </si>
  <si>
    <t>12/8/24: CLL patient advocacy</t>
  </si>
  <si>
    <t>96% ORR, 87% CR</t>
  </si>
  <si>
    <t>Arm 2: n=111 lenalidomide+rituximab R/R FL</t>
  </si>
  <si>
    <t>PE: PFS</t>
  </si>
  <si>
    <t>Phase III "EPCORE FL-1" epcori+ritux+lena vs. ritux+lena - NCT05409066</t>
  </si>
  <si>
    <t>NCT05578976</t>
  </si>
  <si>
    <t>NCT05409066</t>
  </si>
  <si>
    <t>NCT06191744</t>
  </si>
  <si>
    <t>NCT06508658</t>
  </si>
  <si>
    <t>12/7/24: Epkinly FL data</t>
  </si>
  <si>
    <t>12/9/24: Epkinly DLBCL data</t>
  </si>
  <si>
    <t>11/25/24: investor conference</t>
  </si>
  <si>
    <t>SIM0500</t>
  </si>
  <si>
    <t>BCMA/GPRC5D/CD3</t>
  </si>
  <si>
    <t>Simcere</t>
  </si>
  <si>
    <t>1/13/25: Licenses Simcere's trispecific for multiple myeloma</t>
  </si>
  <si>
    <t>Ophthalmology: Michael Robinson</t>
  </si>
  <si>
    <t>ABBV-RGX-314</t>
  </si>
  <si>
    <t>RGNX</t>
  </si>
  <si>
    <t>AMD, DR</t>
  </si>
  <si>
    <t>1/13/25: ABBV-RGX-314 phase 3 trial for DR planned</t>
  </si>
  <si>
    <t>VEGF mab gene therapy</t>
  </si>
  <si>
    <t>intravitreal</t>
  </si>
  <si>
    <t>11/18/24: community outreach</t>
  </si>
  <si>
    <t>11/14/24: community awards</t>
  </si>
  <si>
    <t>11/18/24: Elahere approved for prOC by EC</t>
  </si>
  <si>
    <t>FDA approved 11/14/2022. CHMP positive opinion on MIRASOL</t>
  </si>
  <si>
    <t>acquired ImmunoGen</t>
  </si>
  <si>
    <t>FRalpha mab with DM4</t>
  </si>
  <si>
    <t>32% ORR, 6.9mo DOR; 4.8% CR</t>
  </si>
  <si>
    <t>Phase III "MIRASOL" mirv vs. IC - Fralpha+ prOC</t>
  </si>
  <si>
    <t>Phase II "SORAYA" n=106 2L+ Fralpha+ prOC</t>
  </si>
  <si>
    <t>11/11/24: emraclidine Phase II results</t>
  </si>
  <si>
    <t>Phase II "EMPOWER-1" schizophrenia</t>
  </si>
  <si>
    <t>placebo</t>
  </si>
  <si>
    <t>10mg</t>
  </si>
  <si>
    <t>30mg</t>
  </si>
  <si>
    <t>Phase II "EMPOWER-2" schizophrenia</t>
  </si>
  <si>
    <t>M4 pam</t>
  </si>
  <si>
    <t>acquired Cerevel for this asset</t>
  </si>
  <si>
    <t>11/7/24: Botox day</t>
  </si>
  <si>
    <t>CSO: Roopal Thakkar</t>
  </si>
  <si>
    <t>10/31/24: license to EvolveImmune's preclinical oncology platform, $65m upfront.</t>
  </si>
  <si>
    <t>Vyalev</t>
  </si>
  <si>
    <t>10/29/24: community support event</t>
  </si>
  <si>
    <t>10/28/24: to acquire Aliada</t>
  </si>
  <si>
    <t>ABBV-382</t>
  </si>
  <si>
    <t>alpha4beta7</t>
  </si>
  <si>
    <t>NLRX1 agonist</t>
  </si>
  <si>
    <t>ABBV-8736</t>
  </si>
  <si>
    <t>IBD/SBS</t>
  </si>
  <si>
    <t>Scripps</t>
  </si>
  <si>
    <t>Cugene</t>
  </si>
  <si>
    <t>IL-2</t>
  </si>
  <si>
    <t>HS,UC (was OA)</t>
  </si>
  <si>
    <t>Atopic Dermatitis</t>
  </si>
  <si>
    <t>ABBV-1088</t>
  </si>
  <si>
    <t>PINK1</t>
  </si>
  <si>
    <t>darigabat</t>
  </si>
  <si>
    <t>Panic Disorder, Focal Epilepsy</t>
  </si>
  <si>
    <t>GABA-A receptor</t>
  </si>
  <si>
    <t>CVL-354 (icalcaprant)</t>
  </si>
  <si>
    <t>razpipadon (CVL-871)</t>
  </si>
  <si>
    <t>Dementia Apathy</t>
  </si>
  <si>
    <t>ABBV-453</t>
  </si>
  <si>
    <t>Bcl-2</t>
  </si>
  <si>
    <t>R/R MM</t>
  </si>
  <si>
    <t>ABBV-514</t>
  </si>
  <si>
    <t>CCR8 mab</t>
  </si>
  <si>
    <t>ABBV-525</t>
  </si>
  <si>
    <t>MALT1 inhibitor</t>
  </si>
  <si>
    <t>ABBV-787</t>
  </si>
  <si>
    <t>AML</t>
  </si>
  <si>
    <t>ABBV-969</t>
  </si>
  <si>
    <t>mCRPC</t>
  </si>
  <si>
    <t>PSMA/STEAP1 ADC</t>
  </si>
  <si>
    <t>ABBV-CLS-484</t>
  </si>
  <si>
    <t>PTPN2</t>
  </si>
  <si>
    <t>ABBV-383 (etentamig)</t>
  </si>
  <si>
    <t>CD123 ADC</t>
  </si>
  <si>
    <t>cMet ADC (different ADC)</t>
  </si>
  <si>
    <t>TTX-030</t>
  </si>
  <si>
    <t>Pancreatic Cancer</t>
  </si>
  <si>
    <t>AGN-193408</t>
  </si>
  <si>
    <t>Ocular Hypertension, Glaucoma</t>
  </si>
  <si>
    <t>Prostaglandin</t>
  </si>
  <si>
    <t>10/24/24: Gedeon partnership for new neuropsych medicines.</t>
  </si>
  <si>
    <t>Bipolar, GAD</t>
  </si>
  <si>
    <t>10/18/24: Botox approved for platysma bands.</t>
  </si>
  <si>
    <t>Forehead lines, frown lines, crow's feet</t>
  </si>
  <si>
    <t>Platysma bands (jawline/neck) FDA approved 10/18/24</t>
  </si>
  <si>
    <t>10/17/24: Vyalev FDA approved.</t>
  </si>
  <si>
    <t>FDA approval 10/17/2024</t>
  </si>
  <si>
    <t>10/16/24: ASDS data preview.</t>
  </si>
  <si>
    <t>Aesthetics: Sara Sangha</t>
  </si>
  <si>
    <t>Juvederm, Volux XC, Voluma XC</t>
  </si>
  <si>
    <t>Jawline Aesthetics, Temple Hollowing</t>
  </si>
  <si>
    <t>10/4/24: STEM support</t>
  </si>
  <si>
    <t>10/2/24: Juvederm Voluma XC approved for temple hollowing.</t>
  </si>
  <si>
    <t>10/1/24: Q3 call date.</t>
  </si>
  <si>
    <t>9/27/24: Files teliso-V for NSCLC</t>
  </si>
  <si>
    <t>c-Met ADC</t>
  </si>
  <si>
    <t xml:space="preserve">  c-Met is overexpressed in 25% of EGFRwt nsNSCLC according to the company</t>
  </si>
  <si>
    <t>Phase III "TeliMET NSCLC-01"</t>
  </si>
  <si>
    <t>9/26/24: tavapadon TEMPO-3 results</t>
  </si>
  <si>
    <t>teliso-V</t>
  </si>
  <si>
    <t>Phase III "TEMPO-1" fixed-dose Parkinson's - NCT04201093</t>
  </si>
  <si>
    <t>Phase III "TEMPO-2" flexible-dose Parksinon's - NCT04223193</t>
  </si>
  <si>
    <t>placebo +1.8, tavapadon -9.7 and -10.2 at week 26</t>
  </si>
  <si>
    <t>Phase III TEMPO-3 adjunctive Parkinson's - NCT04542499</t>
  </si>
  <si>
    <t>9/25/24: Rinvoq AD data.</t>
  </si>
  <si>
    <t>Phase III "Measure Up 1" atopic dermatitis</t>
  </si>
  <si>
    <t>Phase III "Measure Up 2" atopic dermatitis</t>
  </si>
  <si>
    <t>EASI H&amp;N &lt;1 was 27% for placebo, 68% for 15mg, 76% for 30mg</t>
  </si>
  <si>
    <t>Immunology: Andrew Anisfeld</t>
  </si>
  <si>
    <t>Phase III "LEVEL UP" vs. dupilumab atopic dermatitis</t>
  </si>
  <si>
    <t>Phase III "AD-VISE" atopic dermatitis (real world study)</t>
  </si>
  <si>
    <t>Phase III "UP-TAINED" atopic dermatitis (real world study)</t>
  </si>
  <si>
    <t>8962629 expires 2031</t>
  </si>
  <si>
    <t>9/24/24: grants for women</t>
  </si>
  <si>
    <t>BonTE</t>
  </si>
  <si>
    <t>ABBV-142</t>
  </si>
  <si>
    <t>ABBV-CLS-616</t>
  </si>
  <si>
    <t>ABBV-722</t>
  </si>
  <si>
    <t>ABBV-291</t>
  </si>
  <si>
    <t>NHL</t>
  </si>
  <si>
    <t>ABBV-CLS-7262 (fosigotifator)</t>
  </si>
  <si>
    <t>ABBV-323 (ravagalimab)</t>
  </si>
  <si>
    <t>SC</t>
  </si>
  <si>
    <t>ABBV-141</t>
  </si>
  <si>
    <t>ABBV-903</t>
  </si>
  <si>
    <t>ABBV-950</t>
  </si>
  <si>
    <t>Psoriasis, PsA, Crohn's, UC</t>
  </si>
  <si>
    <t>RA, axSpA, AD, PsA, Crohn's, UC</t>
  </si>
  <si>
    <t>6,003</t>
  </si>
  <si>
    <t>1,422</t>
  </si>
  <si>
    <t>GUB014295</t>
  </si>
  <si>
    <t>T2D</t>
  </si>
  <si>
    <t>amylin analog</t>
  </si>
  <si>
    <t>GCA EMA filed</t>
  </si>
  <si>
    <t>Phase III "SELECT-GCA"</t>
  </si>
  <si>
    <t>Giant Cell Arteritis - 9th US indication</t>
  </si>
  <si>
    <t>Phase III "UP-AA"</t>
  </si>
  <si>
    <t>met PE</t>
  </si>
  <si>
    <t>Alpine</t>
  </si>
  <si>
    <t>Allergan</t>
  </si>
  <si>
    <t>Capstan</t>
  </si>
  <si>
    <t>CPTX-2309</t>
  </si>
  <si>
    <t>CD19 CART</t>
  </si>
  <si>
    <t>atogepant</t>
  </si>
  <si>
    <t>BI?</t>
  </si>
  <si>
    <t>United States</t>
  </si>
  <si>
    <t>ROW</t>
  </si>
  <si>
    <t>Phase III "VERONA" 1L high-risk MDS with azacitidine</t>
  </si>
  <si>
    <t>PE: OS failed</t>
  </si>
  <si>
    <t>ISB 2001</t>
  </si>
  <si>
    <t>CD3xBCMAxCD38</t>
  </si>
  <si>
    <t>Ichnos Glenmark - 750m upfront!</t>
  </si>
  <si>
    <t>Early Stage Collaborations</t>
  </si>
  <si>
    <t>ADARx Pharmaceuticals - siRNA</t>
  </si>
  <si>
    <t>Phase III "TEMPLE" vs. topiramate</t>
  </si>
  <si>
    <t>beat onsafety and efficacy</t>
  </si>
  <si>
    <t>AA for 2L NSCLC with high c-Met</t>
  </si>
  <si>
    <t>Emrelis (telisotuzumab vedotin)</t>
  </si>
  <si>
    <t>ABBV-400</t>
  </si>
  <si>
    <t>Emrelis</t>
  </si>
  <si>
    <t>telisotuzumab adizutecan</t>
  </si>
  <si>
    <t>Phase III "AMPLIFY" Venclexta + acalabrutinib 1L CLL</t>
  </si>
  <si>
    <t>PFS beat chemoimmunotherapy</t>
  </si>
  <si>
    <t>SCLC, NENs</t>
  </si>
  <si>
    <t>pivekimab sunirine</t>
  </si>
  <si>
    <t>AML, BPDCN</t>
  </si>
  <si>
    <t>Q126</t>
  </si>
  <si>
    <t>Q226</t>
  </si>
  <si>
    <t>Q326</t>
  </si>
  <si>
    <t>Q426</t>
  </si>
  <si>
    <t>1,584</t>
  </si>
  <si>
    <t>1,620</t>
  </si>
  <si>
    <t>Other Oncology</t>
  </si>
  <si>
    <t>1,707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</si>
</sst>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99">
    <xf numFmtId="0" fontId="0" fillId="0" borderId="0" xfId="0"/>
    <xf numFmtId="0" fontId="22" fillId="0" borderId="0" xfId="0" applyFont="1"/>
    <xf numFmtId="0" fontId="22" fillId="0" borderId="0" xfId="0" applyFont="1" applyAlignment="1">
      <alignment horizontal="right"/>
    </xf>
    <xf numFmtId="4" fontId="22" fillId="0" borderId="0" xfId="0" applyNumberFormat="1" applyFont="1" applyAlignment="1">
      <alignment horizontal="right"/>
    </xf>
    <xf numFmtId="4" fontId="22" fillId="0" borderId="0" xfId="0" applyNumberFormat="1" applyFont="1"/>
    <xf numFmtId="3" fontId="22" fillId="0" borderId="0" xfId="0" applyNumberFormat="1" applyFont="1"/>
    <xf numFmtId="3" fontId="22" fillId="0" borderId="0" xfId="0" applyNumberFormat="1" applyFont="1" applyAlignment="1">
      <alignment horizontal="right"/>
    </xf>
    <xf numFmtId="3" fontId="23" fillId="0" borderId="0" xfId="0" applyNumberFormat="1" applyFont="1"/>
    <xf numFmtId="3" fontId="23" fillId="0" borderId="0" xfId="0" applyNumberFormat="1" applyFont="1" applyAlignment="1">
      <alignment horizontal="right"/>
    </xf>
    <xf numFmtId="0" fontId="25" fillId="0" borderId="0" xfId="1" applyFont="1"/>
    <xf numFmtId="0" fontId="25" fillId="0" borderId="1" xfId="1" applyFont="1" applyBorder="1"/>
    <xf numFmtId="0" fontId="21" fillId="0" borderId="0" xfId="0" applyFont="1" applyAlignment="1">
      <alignment horizontal="right"/>
    </xf>
    <xf numFmtId="3" fontId="21" fillId="0" borderId="0" xfId="0" applyNumberFormat="1" applyFont="1"/>
    <xf numFmtId="3" fontId="21" fillId="0" borderId="0" xfId="0" quotePrefix="1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/>
    <xf numFmtId="3" fontId="19" fillId="0" borderId="0" xfId="0" quotePrefix="1" applyNumberFormat="1" applyFont="1" applyAlignment="1">
      <alignment horizontal="right"/>
    </xf>
    <xf numFmtId="9" fontId="22" fillId="0" borderId="0" xfId="0" applyNumberFormat="1" applyFont="1"/>
    <xf numFmtId="9" fontId="22" fillId="0" borderId="0" xfId="0" applyNumberFormat="1" applyFont="1" applyAlignment="1">
      <alignment horizontal="right"/>
    </xf>
    <xf numFmtId="9" fontId="19" fillId="0" borderId="0" xfId="0" applyNumberFormat="1" applyFont="1"/>
    <xf numFmtId="9" fontId="23" fillId="0" borderId="0" xfId="0" applyNumberFormat="1" applyFont="1"/>
    <xf numFmtId="9" fontId="23" fillId="0" borderId="0" xfId="0" applyNumberFormat="1" applyFont="1" applyAlignment="1">
      <alignment horizontal="right"/>
    </xf>
    <xf numFmtId="0" fontId="18" fillId="0" borderId="0" xfId="0" applyFont="1"/>
    <xf numFmtId="0" fontId="17" fillId="0" borderId="0" xfId="0" applyFont="1"/>
    <xf numFmtId="3" fontId="17" fillId="0" borderId="0" xfId="0" quotePrefix="1" applyNumberFormat="1" applyFont="1" applyAlignment="1">
      <alignment horizontal="right"/>
    </xf>
    <xf numFmtId="9" fontId="17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/>
    <xf numFmtId="3" fontId="16" fillId="0" borderId="0" xfId="0" quotePrefix="1" applyNumberFormat="1" applyFont="1" applyAlignment="1">
      <alignment horizontal="right"/>
    </xf>
    <xf numFmtId="3" fontId="16" fillId="0" borderId="0" xfId="0" applyNumberFormat="1" applyFont="1"/>
    <xf numFmtId="3" fontId="22" fillId="2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right"/>
    </xf>
    <xf numFmtId="9" fontId="16" fillId="0" borderId="0" xfId="0" applyNumberFormat="1" applyFont="1"/>
    <xf numFmtId="3" fontId="15" fillId="0" borderId="0" xfId="0" quotePrefix="1" applyNumberFormat="1" applyFont="1" applyAlignment="1">
      <alignment horizontal="right"/>
    </xf>
    <xf numFmtId="9" fontId="15" fillId="0" borderId="0" xfId="0" applyNumberFormat="1" applyFont="1"/>
    <xf numFmtId="9" fontId="15" fillId="0" borderId="0" xfId="0" applyNumberFormat="1" applyFont="1" applyAlignment="1">
      <alignment horizontal="right"/>
    </xf>
    <xf numFmtId="0" fontId="14" fillId="0" borderId="0" xfId="0" applyFont="1"/>
    <xf numFmtId="0" fontId="13" fillId="0" borderId="0" xfId="0" applyFont="1"/>
    <xf numFmtId="14" fontId="13" fillId="0" borderId="0" xfId="0" applyNumberFormat="1" applyFont="1"/>
    <xf numFmtId="3" fontId="13" fillId="0" borderId="0" xfId="0" applyNumberFormat="1" applyFont="1"/>
    <xf numFmtId="9" fontId="12" fillId="0" borderId="0" xfId="0" applyNumberFormat="1" applyFont="1" applyAlignment="1">
      <alignment horizontal="right"/>
    </xf>
    <xf numFmtId="9" fontId="12" fillId="0" borderId="0" xfId="0" applyNumberFormat="1" applyFont="1"/>
    <xf numFmtId="3" fontId="21" fillId="0" borderId="0" xfId="0" applyNumberFormat="1" applyFont="1" applyAlignment="1">
      <alignment horizontal="right"/>
    </xf>
    <xf numFmtId="3" fontId="12" fillId="0" borderId="0" xfId="0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3" fontId="11" fillId="0" borderId="0" xfId="0" applyNumberFormat="1" applyFont="1"/>
    <xf numFmtId="3" fontId="10" fillId="0" borderId="0" xfId="0" applyNumberFormat="1" applyFont="1"/>
    <xf numFmtId="0" fontId="9" fillId="0" borderId="0" xfId="0" applyFont="1" applyAlignment="1">
      <alignment horizontal="right"/>
    </xf>
    <xf numFmtId="3" fontId="9" fillId="0" borderId="0" xfId="0" applyNumberFormat="1" applyFont="1"/>
    <xf numFmtId="3" fontId="9" fillId="0" borderId="0" xfId="0" quotePrefix="1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8" fillId="0" borderId="0" xfId="0" quotePrefix="1" applyNumberFormat="1" applyFont="1" applyAlignment="1">
      <alignment horizontal="right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26" fillId="0" borderId="0" xfId="0" applyFont="1"/>
    <xf numFmtId="0" fontId="7" fillId="0" borderId="0" xfId="0" applyFont="1"/>
    <xf numFmtId="3" fontId="7" fillId="0" borderId="0" xfId="0" quotePrefix="1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22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6" fillId="3" borderId="0" xfId="0" applyNumberFormat="1" applyFont="1" applyFill="1" applyAlignment="1">
      <alignment horizontal="right"/>
    </xf>
    <xf numFmtId="3" fontId="5" fillId="0" borderId="0" xfId="0" quotePrefix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3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0" fontId="27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9" fontId="27" fillId="0" borderId="0" xfId="0" applyNumberFormat="1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1" xfId="1" applyFont="1" applyBorder="1"/>
    <xf numFmtId="3" fontId="2" fillId="0" borderId="0" xfId="0" applyNumberFormat="1" applyFont="1"/>
    <xf numFmtId="3" fontId="2" fillId="0" borderId="0" xfId="0" quotePrefix="1" applyNumberFormat="1" applyFont="1" applyAlignment="1">
      <alignment horizontal="right"/>
    </xf>
    <xf numFmtId="3" fontId="1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0" xfId="0" applyNumberFormat="1" applyFont="1"/>
    <xf numFmtId="1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0" xfId="0" applyNumberFormat="1" applyFont="1"/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61D0AD-7678-4A55-ADFA-2CCF9BAA9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22762</xdr:colOff>
      <xdr:row>0</xdr:row>
      <xdr:rowOff>0</xdr:rowOff>
    </xdr:from>
    <xdr:to>
      <xdr:col>94</xdr:col>
      <xdr:colOff>22762</xdr:colOff>
      <xdr:row>161</xdr:row>
      <xdr:rowOff>39414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0783979" y="0"/>
          <a:ext cx="0" cy="258480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29226</xdr:colOff>
      <xdr:row>0</xdr:row>
      <xdr:rowOff>0</xdr:rowOff>
    </xdr:from>
    <xdr:to>
      <xdr:col>114</xdr:col>
      <xdr:colOff>29226</xdr:colOff>
      <xdr:row>133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1629DD-368A-4F1D-B8E6-17D93DBFDD64}"/>
            </a:ext>
          </a:extLst>
        </xdr:cNvPr>
        <xdr:cNvCxnSpPr/>
      </xdr:nvCxnSpPr>
      <xdr:spPr>
        <a:xfrm>
          <a:off x="70917123" y="0"/>
          <a:ext cx="0" cy="20873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482204</xdr:colOff>
      <xdr:row>1</xdr:row>
      <xdr:rowOff>137144</xdr:rowOff>
    </xdr:from>
    <xdr:to>
      <xdr:col>10</xdr:col>
      <xdr:colOff>5907</xdr:colOff>
      <xdr:row>16</xdr:row>
      <xdr:rowOff>16568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38B67-9366-EAC9-8869-AF8BF36C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235" y="297878"/>
          <a:ext cx="3167015" cy="2290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124464</xdr:colOff>
      <xdr:row>3</xdr:row>
      <xdr:rowOff>80211</xdr:rowOff>
    </xdr:from>
    <xdr:to>
      <xdr:col>11</xdr:col>
      <xdr:colOff>340892</xdr:colOff>
      <xdr:row>16</xdr:row>
      <xdr:rowOff>99465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8908D-502B-3AC7-2757-356EB5D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0082" y="561474"/>
          <a:ext cx="2662849" cy="212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4E64-2316-40E7-ABD3-50EF24843FE0}">
  <dimension ref="A1:H2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ColWidth="9.1796875" defaultRowHeight="12.5" x14ac:dyDescent="0.25"/>
  <cols>
    <col min="1" max="1" width="5" style="16" bestFit="1" customWidth="1"/>
    <col min="2" max="2" width="18.81640625" style="16" bestFit="1" customWidth="1"/>
    <col min="3" max="16384" width="9.1796875" style="16"/>
  </cols>
  <sheetData>
    <row r="1" spans="1:8" x14ac:dyDescent="0.25">
      <c r="A1" s="9" t="s">
        <v>74</v>
      </c>
    </row>
    <row r="2" spans="1:8" x14ac:dyDescent="0.25">
      <c r="A2" s="9"/>
      <c r="B2" s="16" t="s">
        <v>146</v>
      </c>
      <c r="C2" s="24" t="s">
        <v>189</v>
      </c>
      <c r="D2" s="24" t="s">
        <v>36</v>
      </c>
      <c r="E2" s="24" t="s">
        <v>27</v>
      </c>
      <c r="F2" s="24" t="s">
        <v>33</v>
      </c>
    </row>
    <row r="3" spans="1:8" x14ac:dyDescent="0.25">
      <c r="A3" s="9"/>
      <c r="B3" s="16" t="s">
        <v>147</v>
      </c>
    </row>
    <row r="4" spans="1:8" x14ac:dyDescent="0.25">
      <c r="A4" s="9"/>
      <c r="B4" s="16" t="s">
        <v>11</v>
      </c>
    </row>
    <row r="5" spans="1:8" x14ac:dyDescent="0.25">
      <c r="A5" s="9"/>
      <c r="B5" s="16" t="s">
        <v>10</v>
      </c>
    </row>
    <row r="6" spans="1:8" x14ac:dyDescent="0.25">
      <c r="A6" s="9"/>
      <c r="B6" s="24" t="s">
        <v>198</v>
      </c>
      <c r="C6" s="24" t="s">
        <v>199</v>
      </c>
      <c r="D6" s="20">
        <v>1</v>
      </c>
      <c r="E6" s="24" t="s">
        <v>68</v>
      </c>
      <c r="F6" s="24" t="s">
        <v>177</v>
      </c>
    </row>
    <row r="7" spans="1:8" x14ac:dyDescent="0.25">
      <c r="A7" s="9"/>
      <c r="B7" s="16" t="s">
        <v>54</v>
      </c>
    </row>
    <row r="8" spans="1:8" x14ac:dyDescent="0.25">
      <c r="B8" s="16" t="s">
        <v>2</v>
      </c>
      <c r="D8" s="16" t="s">
        <v>37</v>
      </c>
    </row>
    <row r="9" spans="1:8" x14ac:dyDescent="0.25">
      <c r="B9" s="16" t="s">
        <v>148</v>
      </c>
    </row>
    <row r="10" spans="1:8" x14ac:dyDescent="0.25">
      <c r="B10" s="23" t="s">
        <v>166</v>
      </c>
    </row>
    <row r="11" spans="1:8" x14ac:dyDescent="0.25">
      <c r="B11" s="16" t="s">
        <v>5</v>
      </c>
    </row>
    <row r="12" spans="1:8" x14ac:dyDescent="0.25">
      <c r="B12" s="24" t="s">
        <v>38</v>
      </c>
      <c r="C12" s="24" t="s">
        <v>188</v>
      </c>
    </row>
    <row r="13" spans="1:8" x14ac:dyDescent="0.25">
      <c r="B13" s="24" t="s">
        <v>190</v>
      </c>
      <c r="C13" s="24" t="s">
        <v>191</v>
      </c>
    </row>
    <row r="14" spans="1:8" x14ac:dyDescent="0.25">
      <c r="B14" s="83" t="s">
        <v>276</v>
      </c>
      <c r="C14" s="84" t="s">
        <v>277</v>
      </c>
      <c r="D14" s="84"/>
      <c r="E14" s="84"/>
      <c r="F14" s="84"/>
      <c r="G14" s="84" t="s">
        <v>279</v>
      </c>
      <c r="H14" s="93"/>
    </row>
    <row r="15" spans="1:8" x14ac:dyDescent="0.25">
      <c r="B15" s="83" t="s">
        <v>263</v>
      </c>
      <c r="C15" s="84" t="s">
        <v>34</v>
      </c>
      <c r="D15" s="84"/>
      <c r="E15" s="84"/>
      <c r="F15" s="84" t="s">
        <v>35</v>
      </c>
      <c r="G15" s="84" t="s">
        <v>187</v>
      </c>
      <c r="H15" s="93"/>
    </row>
    <row r="16" spans="1:8" x14ac:dyDescent="0.25">
      <c r="B16" s="83" t="s">
        <v>184</v>
      </c>
      <c r="C16" s="84" t="s">
        <v>39</v>
      </c>
      <c r="D16" s="84"/>
      <c r="E16" s="84"/>
      <c r="F16" s="92">
        <v>1</v>
      </c>
      <c r="G16" s="84" t="s">
        <v>187</v>
      </c>
      <c r="H16" s="93"/>
    </row>
    <row r="17" spans="2:8" x14ac:dyDescent="0.25">
      <c r="B17" s="83" t="s">
        <v>212</v>
      </c>
      <c r="C17" s="84" t="s">
        <v>213</v>
      </c>
      <c r="D17" s="84"/>
      <c r="E17" s="84"/>
      <c r="F17" s="92"/>
      <c r="G17" s="84" t="s">
        <v>279</v>
      </c>
      <c r="H17" s="93"/>
    </row>
    <row r="18" spans="2:8" x14ac:dyDescent="0.25">
      <c r="B18" s="85"/>
      <c r="C18" s="84"/>
      <c r="D18" s="84"/>
      <c r="E18" s="84"/>
      <c r="F18" s="92"/>
      <c r="G18" s="84"/>
      <c r="H18" s="84"/>
    </row>
    <row r="19" spans="2:8" x14ac:dyDescent="0.25">
      <c r="B19" s="85"/>
      <c r="C19" s="84"/>
      <c r="D19" s="84"/>
      <c r="E19" s="84"/>
      <c r="F19" s="92"/>
      <c r="G19" s="84"/>
      <c r="H19" s="84"/>
    </row>
    <row r="20" spans="2:8" x14ac:dyDescent="0.25">
      <c r="B20" s="85"/>
      <c r="C20" s="84"/>
      <c r="D20" s="84"/>
      <c r="E20" s="84"/>
      <c r="F20" s="92"/>
      <c r="G20" s="84"/>
      <c r="H20" s="84"/>
    </row>
    <row r="21" spans="2:8" x14ac:dyDescent="0.25">
      <c r="C21" s="16" t="s">
        <v>28</v>
      </c>
      <c r="D21" s="16" t="s">
        <v>149</v>
      </c>
      <c r="E21" s="23" t="s">
        <v>171</v>
      </c>
    </row>
    <row r="22" spans="2:8" x14ac:dyDescent="0.25">
      <c r="B22" s="23" t="s">
        <v>170</v>
      </c>
      <c r="C22" s="23" t="s">
        <v>172</v>
      </c>
      <c r="E22" s="23" t="s">
        <v>30</v>
      </c>
      <c r="F22" s="23" t="s">
        <v>173</v>
      </c>
    </row>
    <row r="23" spans="2:8" x14ac:dyDescent="0.25">
      <c r="B23" s="23" t="s">
        <v>29</v>
      </c>
      <c r="E23" s="23" t="s">
        <v>46</v>
      </c>
      <c r="F23" s="23" t="s">
        <v>66</v>
      </c>
    </row>
    <row r="24" spans="2:8" x14ac:dyDescent="0.25">
      <c r="B24" s="24" t="s">
        <v>69</v>
      </c>
      <c r="E24" s="24" t="s">
        <v>195</v>
      </c>
      <c r="F24" s="24" t="s">
        <v>196</v>
      </c>
    </row>
    <row r="25" spans="2:8" x14ac:dyDescent="0.25">
      <c r="B25" s="24" t="s">
        <v>67</v>
      </c>
      <c r="E25" s="24" t="s">
        <v>220</v>
      </c>
      <c r="F25" s="24" t="s">
        <v>219</v>
      </c>
    </row>
    <row r="28" spans="2:8" x14ac:dyDescent="0.25">
      <c r="B28" s="53" t="s">
        <v>353</v>
      </c>
      <c r="C28" s="54" t="s">
        <v>46</v>
      </c>
      <c r="D28" s="68" t="s">
        <v>471</v>
      </c>
      <c r="E28" s="54" t="s">
        <v>354</v>
      </c>
    </row>
  </sheetData>
  <hyperlinks>
    <hyperlink ref="A1" location="Main!A1" display="Main" xr:uid="{5D1A5E3C-A702-4388-9F60-3E56090F47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5"/>
  <sheetViews>
    <sheetView zoomScale="115" zoomScaleNormal="115" workbookViewId="0"/>
  </sheetViews>
  <sheetFormatPr defaultColWidth="9.1796875" defaultRowHeight="12.5" x14ac:dyDescent="0.25"/>
  <cols>
    <col min="1" max="1" width="2.81640625" style="85" customWidth="1"/>
    <col min="2" max="2" width="23.81640625" style="85" customWidth="1"/>
    <col min="3" max="3" width="34.453125" style="85" customWidth="1"/>
    <col min="4" max="4" width="10.81640625" style="85" customWidth="1"/>
    <col min="5" max="5" width="14.81640625" style="85" customWidth="1"/>
    <col min="6" max="6" width="10.26953125" style="85" bestFit="1" customWidth="1"/>
    <col min="7" max="7" width="13.81640625" style="85" bestFit="1" customWidth="1"/>
    <col min="8" max="8" width="10.453125" style="85" bestFit="1" customWidth="1"/>
    <col min="9" max="16384" width="9.1796875" style="85"/>
  </cols>
  <sheetData>
    <row r="2" spans="2:12" x14ac:dyDescent="0.25">
      <c r="B2" s="87" t="s">
        <v>26</v>
      </c>
      <c r="C2" s="88" t="s">
        <v>27</v>
      </c>
      <c r="D2" s="88" t="s">
        <v>55</v>
      </c>
      <c r="E2" s="88" t="s">
        <v>33</v>
      </c>
      <c r="F2" s="88" t="s">
        <v>36</v>
      </c>
      <c r="G2" s="88" t="s">
        <v>185</v>
      </c>
      <c r="H2" s="89" t="s">
        <v>53</v>
      </c>
      <c r="J2" s="85" t="s">
        <v>48</v>
      </c>
      <c r="K2" s="90">
        <v>208</v>
      </c>
    </row>
    <row r="3" spans="2:12" x14ac:dyDescent="0.25">
      <c r="B3" s="10" t="s">
        <v>73</v>
      </c>
      <c r="C3" s="84" t="s">
        <v>228</v>
      </c>
      <c r="D3" s="91">
        <v>37621</v>
      </c>
      <c r="E3" s="84" t="s">
        <v>32</v>
      </c>
      <c r="F3" s="92">
        <v>1</v>
      </c>
      <c r="G3" s="84" t="s">
        <v>186</v>
      </c>
      <c r="H3" s="93">
        <v>2024</v>
      </c>
      <c r="J3" s="85" t="s">
        <v>14</v>
      </c>
      <c r="K3" s="94">
        <v>1771</v>
      </c>
      <c r="L3" s="82" t="s">
        <v>451</v>
      </c>
    </row>
    <row r="4" spans="2:12" x14ac:dyDescent="0.25">
      <c r="B4" s="10" t="s">
        <v>208</v>
      </c>
      <c r="C4" s="84" t="s">
        <v>264</v>
      </c>
      <c r="D4" s="91">
        <v>33581</v>
      </c>
      <c r="E4" s="84" t="s">
        <v>265</v>
      </c>
      <c r="F4" s="92">
        <v>1</v>
      </c>
      <c r="G4" s="84" t="s">
        <v>186</v>
      </c>
      <c r="H4" s="93" t="s">
        <v>266</v>
      </c>
      <c r="J4" s="85" t="s">
        <v>49</v>
      </c>
      <c r="K4" s="94">
        <f>+K3*K2</f>
        <v>368368</v>
      </c>
      <c r="L4" s="82"/>
    </row>
    <row r="5" spans="2:12" x14ac:dyDescent="0.25">
      <c r="B5" s="10" t="s">
        <v>159</v>
      </c>
      <c r="C5" s="84" t="s">
        <v>261</v>
      </c>
      <c r="D5" s="91">
        <v>41591</v>
      </c>
      <c r="E5" s="84" t="s">
        <v>262</v>
      </c>
      <c r="F5" s="84" t="s">
        <v>161</v>
      </c>
      <c r="G5" s="84" t="s">
        <v>187</v>
      </c>
      <c r="H5" s="95">
        <v>46566</v>
      </c>
      <c r="J5" s="85" t="s">
        <v>50</v>
      </c>
      <c r="K5" s="94">
        <v>6777</v>
      </c>
      <c r="L5" s="82" t="s">
        <v>451</v>
      </c>
    </row>
    <row r="6" spans="2:12" x14ac:dyDescent="0.25">
      <c r="B6" s="10" t="s">
        <v>162</v>
      </c>
      <c r="C6" s="84" t="s">
        <v>656</v>
      </c>
      <c r="D6" s="91">
        <v>43578</v>
      </c>
      <c r="E6" s="84" t="s">
        <v>222</v>
      </c>
      <c r="F6" s="92" t="s">
        <v>674</v>
      </c>
      <c r="G6" s="84" t="s">
        <v>186</v>
      </c>
      <c r="H6" s="93" t="s">
        <v>72</v>
      </c>
      <c r="J6" s="85" t="s">
        <v>51</v>
      </c>
      <c r="K6" s="94">
        <v>70481</v>
      </c>
      <c r="L6" s="82" t="s">
        <v>451</v>
      </c>
    </row>
    <row r="7" spans="2:12" x14ac:dyDescent="0.25">
      <c r="B7" s="10" t="s">
        <v>178</v>
      </c>
      <c r="C7" s="84" t="s">
        <v>657</v>
      </c>
      <c r="D7" s="91">
        <v>44636</v>
      </c>
      <c r="E7" s="84" t="s">
        <v>177</v>
      </c>
      <c r="F7" s="92">
        <v>1</v>
      </c>
      <c r="G7" s="84" t="s">
        <v>187</v>
      </c>
      <c r="H7" s="93" t="s">
        <v>252</v>
      </c>
      <c r="J7" s="85" t="s">
        <v>52</v>
      </c>
      <c r="K7" s="94">
        <f>+K4-K5+K6</f>
        <v>432072</v>
      </c>
    </row>
    <row r="8" spans="2:12" x14ac:dyDescent="0.25">
      <c r="B8" s="10" t="s">
        <v>163</v>
      </c>
      <c r="C8" s="84" t="s">
        <v>164</v>
      </c>
      <c r="D8" s="91">
        <v>42471</v>
      </c>
      <c r="E8" s="84" t="s">
        <v>31</v>
      </c>
      <c r="F8" s="84" t="s">
        <v>165</v>
      </c>
      <c r="G8" s="84" t="s">
        <v>187</v>
      </c>
      <c r="H8" s="93" t="s">
        <v>267</v>
      </c>
    </row>
    <row r="9" spans="2:12" x14ac:dyDescent="0.25">
      <c r="B9" s="83" t="s">
        <v>268</v>
      </c>
      <c r="C9" s="84" t="s">
        <v>269</v>
      </c>
      <c r="D9" s="91">
        <v>32534</v>
      </c>
      <c r="E9" s="84"/>
      <c r="F9" s="84" t="s">
        <v>270</v>
      </c>
      <c r="G9" s="84" t="s">
        <v>271</v>
      </c>
      <c r="H9" s="93"/>
    </row>
    <row r="10" spans="2:12" x14ac:dyDescent="0.25">
      <c r="B10" s="83" t="s">
        <v>272</v>
      </c>
      <c r="C10" s="84" t="s">
        <v>274</v>
      </c>
      <c r="D10" s="91">
        <v>37461</v>
      </c>
      <c r="E10" s="84"/>
      <c r="F10" s="84" t="s">
        <v>331</v>
      </c>
      <c r="G10" s="84" t="s">
        <v>187</v>
      </c>
      <c r="H10" s="93"/>
    </row>
    <row r="11" spans="2:12" x14ac:dyDescent="0.25">
      <c r="B11" s="83" t="s">
        <v>6</v>
      </c>
      <c r="C11" s="84" t="s">
        <v>273</v>
      </c>
      <c r="D11" s="84"/>
      <c r="E11" s="84"/>
      <c r="F11" s="84" t="s">
        <v>331</v>
      </c>
      <c r="G11" s="84" t="s">
        <v>187</v>
      </c>
      <c r="H11" s="93"/>
    </row>
    <row r="12" spans="2:12" x14ac:dyDescent="0.25">
      <c r="B12" s="83" t="s">
        <v>275</v>
      </c>
      <c r="C12" s="84" t="s">
        <v>205</v>
      </c>
      <c r="D12" s="84"/>
      <c r="E12" s="84"/>
      <c r="F12" s="84"/>
      <c r="G12" s="84"/>
      <c r="H12" s="93"/>
      <c r="J12" s="85" t="s">
        <v>383</v>
      </c>
    </row>
    <row r="13" spans="2:12" x14ac:dyDescent="0.25">
      <c r="B13" s="10" t="s">
        <v>206</v>
      </c>
      <c r="C13" s="84" t="s">
        <v>207</v>
      </c>
      <c r="D13" s="84"/>
      <c r="E13" s="84" t="s">
        <v>278</v>
      </c>
      <c r="F13" s="92">
        <v>1</v>
      </c>
      <c r="G13" s="84" t="s">
        <v>187</v>
      </c>
      <c r="H13" s="93"/>
      <c r="J13" s="85" t="s">
        <v>313</v>
      </c>
    </row>
    <row r="14" spans="2:12" x14ac:dyDescent="0.25">
      <c r="B14" s="10" t="s">
        <v>328</v>
      </c>
      <c r="C14" s="84" t="s">
        <v>65</v>
      </c>
      <c r="D14" s="84"/>
      <c r="E14" s="84" t="s">
        <v>456</v>
      </c>
      <c r="F14" s="92"/>
      <c r="G14" s="84" t="s">
        <v>457</v>
      </c>
      <c r="H14" s="93"/>
      <c r="J14" s="85" t="s">
        <v>505</v>
      </c>
    </row>
    <row r="15" spans="2:12" x14ac:dyDescent="0.25">
      <c r="B15" s="10" t="s">
        <v>687</v>
      </c>
      <c r="C15" s="84" t="s">
        <v>310</v>
      </c>
      <c r="D15" s="84"/>
      <c r="E15" s="84" t="s">
        <v>380</v>
      </c>
      <c r="F15" s="92"/>
      <c r="G15" s="84" t="s">
        <v>457</v>
      </c>
      <c r="H15" s="93"/>
      <c r="J15" s="85" t="s">
        <v>512</v>
      </c>
    </row>
    <row r="16" spans="2:12" x14ac:dyDescent="0.25">
      <c r="B16" s="83" t="s">
        <v>210</v>
      </c>
      <c r="C16" s="84" t="s">
        <v>211</v>
      </c>
      <c r="D16" s="84"/>
      <c r="E16" s="84"/>
      <c r="F16" s="92"/>
      <c r="G16" s="84" t="s">
        <v>279</v>
      </c>
      <c r="H16" s="93"/>
      <c r="J16" s="85" t="s">
        <v>540</v>
      </c>
    </row>
    <row r="17" spans="2:10" x14ac:dyDescent="0.25">
      <c r="B17" s="10" t="s">
        <v>329</v>
      </c>
      <c r="C17" s="84" t="s">
        <v>330</v>
      </c>
      <c r="D17" s="91">
        <v>45065</v>
      </c>
      <c r="E17" s="84" t="s">
        <v>308</v>
      </c>
      <c r="F17" s="92" t="s">
        <v>307</v>
      </c>
      <c r="G17" s="84" t="s">
        <v>457</v>
      </c>
      <c r="H17" s="93"/>
      <c r="J17" s="85" t="s">
        <v>565</v>
      </c>
    </row>
    <row r="18" spans="2:10" x14ac:dyDescent="0.25">
      <c r="B18" s="83" t="s">
        <v>619</v>
      </c>
      <c r="C18" s="84" t="s">
        <v>620</v>
      </c>
      <c r="D18" s="84"/>
      <c r="E18" s="84" t="s">
        <v>283</v>
      </c>
      <c r="F18" s="92"/>
      <c r="G18" s="84"/>
      <c r="H18" s="93"/>
      <c r="J18" s="85" t="s">
        <v>618</v>
      </c>
    </row>
    <row r="19" spans="2:10" x14ac:dyDescent="0.25">
      <c r="B19" s="10" t="s">
        <v>478</v>
      </c>
      <c r="C19" s="84" t="s">
        <v>205</v>
      </c>
      <c r="D19" s="84" t="s">
        <v>342</v>
      </c>
      <c r="E19" s="84" t="s">
        <v>343</v>
      </c>
      <c r="F19" s="92">
        <v>1</v>
      </c>
      <c r="G19" s="84"/>
      <c r="H19" s="93"/>
      <c r="J19" s="85" t="s">
        <v>638</v>
      </c>
    </row>
    <row r="20" spans="2:10" x14ac:dyDescent="0.25">
      <c r="B20" s="83" t="s">
        <v>209</v>
      </c>
      <c r="C20" s="84" t="s">
        <v>179</v>
      </c>
      <c r="D20" s="84"/>
      <c r="E20" s="84"/>
      <c r="F20" s="84"/>
      <c r="G20" s="84" t="s">
        <v>187</v>
      </c>
      <c r="H20" s="93"/>
    </row>
    <row r="21" spans="2:10" x14ac:dyDescent="0.25">
      <c r="B21" s="87"/>
      <c r="C21" s="88"/>
      <c r="D21" s="88" t="s">
        <v>56</v>
      </c>
      <c r="E21" s="88"/>
      <c r="F21" s="88"/>
      <c r="G21" s="88"/>
      <c r="H21" s="89"/>
    </row>
    <row r="22" spans="2:10" ht="13" x14ac:dyDescent="0.3">
      <c r="B22" s="10" t="s">
        <v>498</v>
      </c>
      <c r="C22" s="84" t="s">
        <v>499</v>
      </c>
      <c r="D22" s="84" t="s">
        <v>64</v>
      </c>
      <c r="E22" s="84" t="s">
        <v>604</v>
      </c>
      <c r="F22" s="84"/>
      <c r="G22" s="84"/>
      <c r="H22" s="93"/>
      <c r="J22" s="56" t="s">
        <v>500</v>
      </c>
    </row>
    <row r="23" spans="2:10" x14ac:dyDescent="0.25">
      <c r="B23" s="10" t="s">
        <v>458</v>
      </c>
      <c r="C23" s="84" t="s">
        <v>205</v>
      </c>
      <c r="D23" s="84" t="s">
        <v>522</v>
      </c>
      <c r="E23" s="84" t="s">
        <v>459</v>
      </c>
      <c r="F23" s="84"/>
      <c r="G23" s="84" t="s">
        <v>187</v>
      </c>
      <c r="H23" s="93"/>
      <c r="J23" s="85" t="s">
        <v>668</v>
      </c>
    </row>
    <row r="24" spans="2:10" ht="13" x14ac:dyDescent="0.3">
      <c r="B24" s="78" t="s">
        <v>339</v>
      </c>
      <c r="C24" s="75" t="s">
        <v>340</v>
      </c>
      <c r="D24" s="75" t="s">
        <v>64</v>
      </c>
      <c r="E24" s="75" t="s">
        <v>341</v>
      </c>
      <c r="F24" s="76"/>
      <c r="G24" s="75" t="s">
        <v>187</v>
      </c>
      <c r="H24" s="77"/>
      <c r="J24" s="85" t="s">
        <v>669</v>
      </c>
    </row>
    <row r="25" spans="2:10" x14ac:dyDescent="0.25">
      <c r="B25" s="83" t="s">
        <v>311</v>
      </c>
      <c r="C25" s="84" t="s">
        <v>312</v>
      </c>
      <c r="D25" s="84" t="s">
        <v>379</v>
      </c>
      <c r="E25" s="84"/>
      <c r="F25" s="92"/>
      <c r="G25" s="84"/>
      <c r="H25" s="93"/>
      <c r="J25" s="85" t="s">
        <v>670</v>
      </c>
    </row>
    <row r="26" spans="2:10" x14ac:dyDescent="0.25">
      <c r="B26" s="83" t="s">
        <v>602</v>
      </c>
      <c r="C26" s="84" t="s">
        <v>377</v>
      </c>
      <c r="D26" s="84" t="s">
        <v>379</v>
      </c>
      <c r="E26" s="84" t="s">
        <v>378</v>
      </c>
      <c r="F26" s="84"/>
      <c r="G26" s="84"/>
      <c r="H26" s="93"/>
    </row>
    <row r="27" spans="2:10" x14ac:dyDescent="0.25">
      <c r="B27" s="83" t="s">
        <v>541</v>
      </c>
      <c r="C27" s="84" t="s">
        <v>543</v>
      </c>
      <c r="D27" s="84" t="s">
        <v>379</v>
      </c>
      <c r="E27" s="84" t="s">
        <v>545</v>
      </c>
      <c r="F27" s="84" t="s">
        <v>542</v>
      </c>
      <c r="G27" s="84" t="s">
        <v>546</v>
      </c>
      <c r="H27" s="93"/>
    </row>
    <row r="28" spans="2:10" ht="13" x14ac:dyDescent="0.3">
      <c r="B28" s="83" t="s">
        <v>381</v>
      </c>
      <c r="C28" s="84" t="s">
        <v>578</v>
      </c>
      <c r="D28" s="84" t="s">
        <v>379</v>
      </c>
      <c r="E28" s="84" t="s">
        <v>197</v>
      </c>
      <c r="F28" s="92">
        <v>1</v>
      </c>
      <c r="G28" s="84"/>
      <c r="H28" s="93"/>
      <c r="J28" s="56" t="s">
        <v>682</v>
      </c>
    </row>
    <row r="29" spans="2:10" x14ac:dyDescent="0.25">
      <c r="B29" s="83" t="s">
        <v>167</v>
      </c>
      <c r="C29" s="84" t="s">
        <v>169</v>
      </c>
      <c r="D29" s="84" t="s">
        <v>64</v>
      </c>
      <c r="E29" s="84" t="s">
        <v>168</v>
      </c>
      <c r="F29" s="92">
        <v>1</v>
      </c>
      <c r="G29" s="84"/>
      <c r="H29" s="93"/>
      <c r="J29" s="85" t="s">
        <v>683</v>
      </c>
    </row>
    <row r="30" spans="2:10" x14ac:dyDescent="0.25">
      <c r="B30" s="83" t="s">
        <v>174</v>
      </c>
      <c r="C30" s="84" t="s">
        <v>175</v>
      </c>
      <c r="D30" s="84" t="s">
        <v>64</v>
      </c>
      <c r="E30" s="84" t="s">
        <v>160</v>
      </c>
      <c r="F30" s="92">
        <v>1</v>
      </c>
      <c r="G30" s="84"/>
      <c r="H30" s="93"/>
    </row>
    <row r="31" spans="2:10" x14ac:dyDescent="0.25">
      <c r="B31" s="83" t="s">
        <v>318</v>
      </c>
      <c r="C31" s="84" t="s">
        <v>175</v>
      </c>
      <c r="D31" s="84" t="s">
        <v>64</v>
      </c>
      <c r="E31" s="84" t="s">
        <v>176</v>
      </c>
      <c r="F31" s="92">
        <v>1</v>
      </c>
      <c r="G31" s="84"/>
      <c r="H31" s="93"/>
    </row>
    <row r="32" spans="2:10" x14ac:dyDescent="0.25">
      <c r="B32" s="83" t="s">
        <v>367</v>
      </c>
      <c r="C32" s="84"/>
      <c r="D32" s="84" t="s">
        <v>182</v>
      </c>
      <c r="E32" s="84" t="s">
        <v>160</v>
      </c>
      <c r="F32" s="92"/>
      <c r="G32" s="84"/>
      <c r="H32" s="93"/>
    </row>
    <row r="33" spans="2:8" x14ac:dyDescent="0.25">
      <c r="B33" s="83" t="s">
        <v>570</v>
      </c>
      <c r="C33" s="84"/>
      <c r="D33" s="84" t="s">
        <v>64</v>
      </c>
      <c r="E33" s="84" t="s">
        <v>571</v>
      </c>
      <c r="F33" s="92">
        <v>1</v>
      </c>
      <c r="G33" s="84"/>
      <c r="H33" s="93"/>
    </row>
    <row r="34" spans="2:8" x14ac:dyDescent="0.25">
      <c r="B34" s="83" t="s">
        <v>180</v>
      </c>
      <c r="C34" s="84" t="s">
        <v>183</v>
      </c>
      <c r="D34" s="84" t="s">
        <v>64</v>
      </c>
      <c r="E34" s="84" t="s">
        <v>181</v>
      </c>
      <c r="F34" s="92">
        <v>1</v>
      </c>
      <c r="G34" s="84"/>
      <c r="H34" s="93"/>
    </row>
    <row r="35" spans="2:8" x14ac:dyDescent="0.25">
      <c r="B35" s="83" t="s">
        <v>192</v>
      </c>
      <c r="C35" s="84" t="s">
        <v>175</v>
      </c>
      <c r="D35" s="84" t="s">
        <v>64</v>
      </c>
      <c r="E35" s="84" t="s">
        <v>194</v>
      </c>
      <c r="F35" s="84" t="s">
        <v>193</v>
      </c>
      <c r="G35" s="84"/>
      <c r="H35" s="93"/>
    </row>
    <row r="36" spans="2:8" x14ac:dyDescent="0.25">
      <c r="B36" s="83" t="s">
        <v>223</v>
      </c>
      <c r="C36" s="84" t="s">
        <v>205</v>
      </c>
      <c r="D36" s="84" t="s">
        <v>182</v>
      </c>
      <c r="E36" s="84" t="s">
        <v>224</v>
      </c>
      <c r="F36" s="92">
        <v>1</v>
      </c>
      <c r="G36" s="84"/>
      <c r="H36" s="93"/>
    </row>
    <row r="37" spans="2:8" x14ac:dyDescent="0.25">
      <c r="B37" s="83" t="s">
        <v>580</v>
      </c>
      <c r="C37" s="84" t="s">
        <v>205</v>
      </c>
      <c r="D37" s="84" t="s">
        <v>182</v>
      </c>
      <c r="E37" s="84" t="s">
        <v>581</v>
      </c>
      <c r="F37" s="92">
        <v>1</v>
      </c>
      <c r="G37" s="84"/>
      <c r="H37" s="93"/>
    </row>
    <row r="38" spans="2:8" x14ac:dyDescent="0.25">
      <c r="B38" s="83" t="s">
        <v>573</v>
      </c>
      <c r="C38" s="84" t="s">
        <v>393</v>
      </c>
      <c r="D38" s="84" t="s">
        <v>182</v>
      </c>
      <c r="E38" s="84" t="s">
        <v>397</v>
      </c>
      <c r="F38" s="92">
        <v>1</v>
      </c>
      <c r="G38" s="84"/>
      <c r="H38" s="93"/>
    </row>
    <row r="39" spans="2:8" x14ac:dyDescent="0.25">
      <c r="B39" s="83" t="s">
        <v>368</v>
      </c>
      <c r="C39" s="84" t="s">
        <v>195</v>
      </c>
      <c r="D39" s="84" t="s">
        <v>64</v>
      </c>
      <c r="E39" s="84" t="s">
        <v>369</v>
      </c>
      <c r="F39" s="92">
        <v>1</v>
      </c>
      <c r="G39" s="84"/>
      <c r="H39" s="93"/>
    </row>
    <row r="40" spans="2:8" x14ac:dyDescent="0.25">
      <c r="B40" s="83" t="s">
        <v>370</v>
      </c>
      <c r="C40" s="84" t="s">
        <v>195</v>
      </c>
      <c r="D40" s="84" t="s">
        <v>64</v>
      </c>
      <c r="E40" s="84" t="s">
        <v>371</v>
      </c>
      <c r="F40" s="92"/>
      <c r="G40" s="84"/>
      <c r="H40" s="93"/>
    </row>
    <row r="41" spans="2:8" x14ac:dyDescent="0.25">
      <c r="B41" s="83" t="s">
        <v>389</v>
      </c>
      <c r="C41" s="84" t="s">
        <v>390</v>
      </c>
      <c r="D41" s="84"/>
      <c r="E41" s="84" t="s">
        <v>572</v>
      </c>
      <c r="F41" s="92" t="s">
        <v>391</v>
      </c>
      <c r="G41" s="84"/>
      <c r="H41" s="93"/>
    </row>
    <row r="42" spans="2:8" x14ac:dyDescent="0.25">
      <c r="B42" s="83" t="s">
        <v>392</v>
      </c>
      <c r="C42" s="84" t="s">
        <v>393</v>
      </c>
      <c r="D42" s="84"/>
      <c r="E42" s="84" t="s">
        <v>394</v>
      </c>
      <c r="F42" s="92" t="s">
        <v>395</v>
      </c>
      <c r="G42" s="84"/>
      <c r="H42" s="93"/>
    </row>
    <row r="43" spans="2:8" x14ac:dyDescent="0.25">
      <c r="B43" s="83" t="s">
        <v>396</v>
      </c>
      <c r="C43" s="84"/>
      <c r="D43" s="84" t="s">
        <v>182</v>
      </c>
      <c r="E43" s="84" t="s">
        <v>397</v>
      </c>
      <c r="F43" s="92" t="s">
        <v>398</v>
      </c>
      <c r="G43" s="84"/>
      <c r="H43" s="93"/>
    </row>
    <row r="44" spans="2:8" x14ac:dyDescent="0.25">
      <c r="B44" s="83" t="s">
        <v>694</v>
      </c>
      <c r="C44" s="84" t="s">
        <v>695</v>
      </c>
      <c r="D44" s="84" t="s">
        <v>64</v>
      </c>
      <c r="E44" s="84" t="s">
        <v>603</v>
      </c>
      <c r="F44" s="92"/>
      <c r="G44" s="84"/>
      <c r="H44" s="93"/>
    </row>
    <row r="45" spans="2:8" x14ac:dyDescent="0.25">
      <c r="B45" s="83" t="s">
        <v>351</v>
      </c>
      <c r="C45" s="84" t="s">
        <v>46</v>
      </c>
      <c r="D45" s="84" t="s">
        <v>64</v>
      </c>
      <c r="E45" s="84" t="s">
        <v>352</v>
      </c>
      <c r="F45" s="92"/>
      <c r="G45" s="84"/>
      <c r="H45" s="93"/>
    </row>
    <row r="46" spans="2:8" x14ac:dyDescent="0.25">
      <c r="B46" s="83" t="s">
        <v>472</v>
      </c>
      <c r="C46" s="84" t="s">
        <v>46</v>
      </c>
      <c r="D46" s="84" t="s">
        <v>64</v>
      </c>
      <c r="E46" s="85" t="s">
        <v>473</v>
      </c>
      <c r="F46" s="92" t="s">
        <v>474</v>
      </c>
      <c r="G46" s="84"/>
      <c r="H46" s="93"/>
    </row>
    <row r="47" spans="2:8" x14ac:dyDescent="0.25">
      <c r="B47" s="83" t="s">
        <v>355</v>
      </c>
      <c r="C47" s="84" t="s">
        <v>611</v>
      </c>
      <c r="D47" s="84" t="s">
        <v>182</v>
      </c>
      <c r="E47" s="84" t="s">
        <v>356</v>
      </c>
      <c r="F47" s="92" t="s">
        <v>357</v>
      </c>
      <c r="G47" s="84"/>
      <c r="H47" s="93"/>
    </row>
    <row r="48" spans="2:8" x14ac:dyDescent="0.25">
      <c r="B48" s="83" t="s">
        <v>586</v>
      </c>
      <c r="C48" s="84" t="s">
        <v>587</v>
      </c>
      <c r="D48" s="84" t="s">
        <v>64</v>
      </c>
      <c r="E48" s="84" t="s">
        <v>459</v>
      </c>
      <c r="F48" s="92"/>
      <c r="G48" s="84"/>
      <c r="H48" s="93"/>
    </row>
    <row r="49" spans="2:8" x14ac:dyDescent="0.25">
      <c r="B49" s="83" t="s">
        <v>585</v>
      </c>
      <c r="C49" s="84" t="s">
        <v>460</v>
      </c>
      <c r="D49" s="84" t="s">
        <v>182</v>
      </c>
      <c r="E49" s="84" t="s">
        <v>461</v>
      </c>
      <c r="F49" s="84"/>
      <c r="G49" s="84"/>
      <c r="H49" s="93"/>
    </row>
    <row r="50" spans="2:8" x14ac:dyDescent="0.25">
      <c r="B50" s="83" t="s">
        <v>582</v>
      </c>
      <c r="C50" s="84" t="s">
        <v>583</v>
      </c>
      <c r="D50" s="84" t="s">
        <v>64</v>
      </c>
      <c r="E50" s="84" t="s">
        <v>584</v>
      </c>
      <c r="F50" s="92">
        <v>1</v>
      </c>
      <c r="G50" s="84"/>
      <c r="H50" s="93"/>
    </row>
    <row r="51" spans="2:8" x14ac:dyDescent="0.25">
      <c r="B51" s="83" t="s">
        <v>361</v>
      </c>
      <c r="C51" s="84" t="s">
        <v>46</v>
      </c>
      <c r="D51" s="84" t="s">
        <v>64</v>
      </c>
      <c r="E51" s="84" t="s">
        <v>362</v>
      </c>
      <c r="F51" s="92" t="s">
        <v>363</v>
      </c>
      <c r="G51" s="84"/>
      <c r="H51" s="93"/>
    </row>
    <row r="52" spans="2:8" x14ac:dyDescent="0.25">
      <c r="B52" s="83" t="s">
        <v>364</v>
      </c>
      <c r="C52" s="84" t="s">
        <v>365</v>
      </c>
      <c r="D52" s="84" t="s">
        <v>64</v>
      </c>
      <c r="E52" s="84" t="s">
        <v>366</v>
      </c>
      <c r="F52" s="92"/>
      <c r="G52" s="84"/>
      <c r="H52" s="93"/>
    </row>
    <row r="53" spans="2:8" x14ac:dyDescent="0.25">
      <c r="B53" s="83" t="s">
        <v>650</v>
      </c>
      <c r="C53" s="84" t="s">
        <v>358</v>
      </c>
      <c r="D53" s="84" t="s">
        <v>64</v>
      </c>
      <c r="E53" s="84" t="s">
        <v>359</v>
      </c>
      <c r="F53" s="92" t="s">
        <v>360</v>
      </c>
      <c r="G53" s="84"/>
      <c r="H53" s="93"/>
    </row>
    <row r="54" spans="2:8" x14ac:dyDescent="0.25">
      <c r="B54" s="83" t="s">
        <v>347</v>
      </c>
      <c r="C54" s="84" t="s">
        <v>175</v>
      </c>
      <c r="D54" s="84" t="s">
        <v>182</v>
      </c>
      <c r="E54" s="84" t="s">
        <v>577</v>
      </c>
      <c r="F54" s="84" t="s">
        <v>576</v>
      </c>
      <c r="G54" s="84"/>
      <c r="H54" s="93"/>
    </row>
    <row r="55" spans="2:8" x14ac:dyDescent="0.25">
      <c r="B55" s="83" t="s">
        <v>348</v>
      </c>
      <c r="C55" s="84" t="s">
        <v>579</v>
      </c>
      <c r="D55" s="84" t="s">
        <v>64</v>
      </c>
      <c r="E55" s="84" t="s">
        <v>349</v>
      </c>
      <c r="F55" s="84" t="s">
        <v>350</v>
      </c>
      <c r="G55" s="84"/>
      <c r="H55" s="93"/>
    </row>
    <row r="56" spans="2:8" x14ac:dyDescent="0.25">
      <c r="B56" s="83" t="s">
        <v>345</v>
      </c>
      <c r="C56" s="84" t="s">
        <v>574</v>
      </c>
      <c r="D56" s="84" t="s">
        <v>64</v>
      </c>
      <c r="E56" s="84" t="s">
        <v>346</v>
      </c>
      <c r="F56" s="84" t="s">
        <v>575</v>
      </c>
      <c r="G56" s="84"/>
      <c r="H56" s="93"/>
    </row>
    <row r="57" spans="2:8" x14ac:dyDescent="0.25">
      <c r="B57" s="83" t="s">
        <v>40</v>
      </c>
      <c r="C57" s="84" t="s">
        <v>41</v>
      </c>
      <c r="D57" s="84"/>
      <c r="E57" s="84"/>
      <c r="F57" s="84"/>
      <c r="G57" s="84"/>
      <c r="H57" s="93"/>
    </row>
    <row r="58" spans="2:8" x14ac:dyDescent="0.25">
      <c r="B58" s="83" t="s">
        <v>597</v>
      </c>
      <c r="C58" s="84" t="s">
        <v>598</v>
      </c>
      <c r="D58" s="84" t="s">
        <v>182</v>
      </c>
      <c r="E58" s="84" t="s">
        <v>599</v>
      </c>
      <c r="F58" s="84"/>
      <c r="G58" s="84"/>
      <c r="H58" s="93"/>
    </row>
    <row r="59" spans="2:8" x14ac:dyDescent="0.25">
      <c r="B59" s="83" t="s">
        <v>679</v>
      </c>
      <c r="C59" s="84" t="s">
        <v>377</v>
      </c>
      <c r="D59" s="84" t="s">
        <v>182</v>
      </c>
      <c r="E59" s="84" t="s">
        <v>680</v>
      </c>
      <c r="F59" s="84" t="s">
        <v>681</v>
      </c>
      <c r="G59" s="84"/>
      <c r="H59" s="93"/>
    </row>
    <row r="60" spans="2:8" x14ac:dyDescent="0.25">
      <c r="B60" s="83" t="s">
        <v>651</v>
      </c>
      <c r="C60" s="84"/>
      <c r="D60" s="84" t="s">
        <v>182</v>
      </c>
      <c r="E60" s="84"/>
      <c r="F60" s="84"/>
      <c r="G60" s="84" t="s">
        <v>652</v>
      </c>
      <c r="H60" s="93"/>
    </row>
    <row r="61" spans="2:8" x14ac:dyDescent="0.25">
      <c r="B61" s="83" t="s">
        <v>600</v>
      </c>
      <c r="C61" s="84"/>
      <c r="D61" s="84" t="s">
        <v>182</v>
      </c>
      <c r="E61" s="84" t="s">
        <v>601</v>
      </c>
      <c r="F61" s="84" t="s">
        <v>360</v>
      </c>
      <c r="G61" s="84"/>
      <c r="H61" s="93"/>
    </row>
    <row r="62" spans="2:8" x14ac:dyDescent="0.25">
      <c r="B62" s="83" t="s">
        <v>646</v>
      </c>
      <c r="C62" s="84"/>
      <c r="D62" s="84" t="s">
        <v>182</v>
      </c>
      <c r="E62" s="84"/>
      <c r="F62" s="84"/>
      <c r="G62" s="84"/>
      <c r="H62" s="93"/>
    </row>
    <row r="63" spans="2:8" x14ac:dyDescent="0.25">
      <c r="B63" s="83" t="s">
        <v>660</v>
      </c>
      <c r="C63" s="84" t="s">
        <v>661</v>
      </c>
      <c r="D63" s="84" t="s">
        <v>182</v>
      </c>
      <c r="E63" s="84" t="s">
        <v>662</v>
      </c>
      <c r="F63" s="84"/>
      <c r="G63" s="84"/>
      <c r="H63" s="93"/>
    </row>
    <row r="64" spans="2:8" x14ac:dyDescent="0.25">
      <c r="B64" s="83" t="s">
        <v>595</v>
      </c>
      <c r="C64" s="84" t="s">
        <v>596</v>
      </c>
      <c r="D64" s="84" t="s">
        <v>182</v>
      </c>
      <c r="E64" s="84"/>
      <c r="F64" s="84"/>
      <c r="G64" s="84"/>
      <c r="H64" s="93"/>
    </row>
    <row r="65" spans="2:8" x14ac:dyDescent="0.25">
      <c r="B65" s="83" t="s">
        <v>403</v>
      </c>
      <c r="C65" s="84" t="s">
        <v>693</v>
      </c>
      <c r="D65" s="84" t="s">
        <v>182</v>
      </c>
      <c r="E65" s="84" t="s">
        <v>404</v>
      </c>
      <c r="F65" s="84"/>
      <c r="G65" s="84"/>
      <c r="H65" s="93"/>
    </row>
    <row r="66" spans="2:8" x14ac:dyDescent="0.25">
      <c r="B66" s="83" t="s">
        <v>280</v>
      </c>
      <c r="C66" s="84" t="s">
        <v>281</v>
      </c>
      <c r="D66" s="84" t="s">
        <v>182</v>
      </c>
      <c r="E66" s="84" t="s">
        <v>282</v>
      </c>
      <c r="F66" s="92">
        <v>1</v>
      </c>
      <c r="G66" s="84"/>
      <c r="H66" s="93"/>
    </row>
    <row r="67" spans="2:8" x14ac:dyDescent="0.25">
      <c r="B67" s="83" t="s">
        <v>42</v>
      </c>
      <c r="C67" s="84" t="s">
        <v>65</v>
      </c>
      <c r="D67" s="84" t="s">
        <v>64</v>
      </c>
      <c r="E67" s="84" t="s">
        <v>43</v>
      </c>
      <c r="F67" s="92">
        <v>1</v>
      </c>
      <c r="G67" s="84"/>
      <c r="H67" s="93"/>
    </row>
    <row r="68" spans="2:8" x14ac:dyDescent="0.25">
      <c r="B68" s="83" t="s">
        <v>607</v>
      </c>
      <c r="C68" s="84" t="s">
        <v>608</v>
      </c>
      <c r="D68" s="84" t="s">
        <v>64</v>
      </c>
      <c r="E68" s="84" t="s">
        <v>609</v>
      </c>
      <c r="F68" s="92">
        <v>1</v>
      </c>
      <c r="G68" s="84"/>
      <c r="H68" s="93"/>
    </row>
    <row r="69" spans="2:8" x14ac:dyDescent="0.25">
      <c r="B69" s="83" t="s">
        <v>591</v>
      </c>
      <c r="C69" s="84"/>
      <c r="D69" s="84" t="s">
        <v>182</v>
      </c>
      <c r="E69" s="84" t="s">
        <v>592</v>
      </c>
      <c r="F69" s="92">
        <v>1</v>
      </c>
      <c r="G69" s="84"/>
      <c r="H69" s="93"/>
    </row>
    <row r="70" spans="2:8" x14ac:dyDescent="0.25">
      <c r="B70" s="83" t="s">
        <v>645</v>
      </c>
      <c r="C70" s="84"/>
      <c r="D70" s="84"/>
      <c r="E70" s="84"/>
      <c r="F70" s="92"/>
      <c r="G70" s="84"/>
      <c r="H70" s="93"/>
    </row>
    <row r="71" spans="2:8" x14ac:dyDescent="0.25">
      <c r="B71" s="83" t="s">
        <v>653</v>
      </c>
      <c r="C71" s="84"/>
      <c r="D71" s="84"/>
      <c r="E71" s="84"/>
      <c r="F71" s="92"/>
      <c r="G71" s="84"/>
      <c r="H71" s="93"/>
    </row>
    <row r="72" spans="2:8" x14ac:dyDescent="0.25">
      <c r="B72" s="83" t="s">
        <v>655</v>
      </c>
      <c r="C72" s="84"/>
      <c r="D72" s="84" t="s">
        <v>182</v>
      </c>
      <c r="E72" s="84" t="s">
        <v>265</v>
      </c>
      <c r="F72" s="92"/>
      <c r="G72" s="84"/>
      <c r="H72" s="93"/>
    </row>
    <row r="73" spans="2:8" x14ac:dyDescent="0.25">
      <c r="B73" s="83" t="s">
        <v>593</v>
      </c>
      <c r="C73" s="84"/>
      <c r="D73" s="84" t="s">
        <v>182</v>
      </c>
      <c r="E73" s="84" t="s">
        <v>594</v>
      </c>
      <c r="F73" s="92">
        <v>1</v>
      </c>
      <c r="G73" s="84"/>
      <c r="H73" s="93"/>
    </row>
    <row r="74" spans="2:8" x14ac:dyDescent="0.25">
      <c r="B74" s="83" t="s">
        <v>647</v>
      </c>
      <c r="C74" s="84"/>
      <c r="D74" s="84" t="s">
        <v>182</v>
      </c>
      <c r="E74" s="84"/>
      <c r="F74" s="92"/>
      <c r="G74" s="84"/>
      <c r="H74" s="93"/>
    </row>
    <row r="75" spans="2:8" x14ac:dyDescent="0.25">
      <c r="B75" s="83" t="s">
        <v>671</v>
      </c>
      <c r="C75" s="84"/>
      <c r="D75" s="84"/>
      <c r="E75" s="84" t="s">
        <v>672</v>
      </c>
      <c r="F75" s="92"/>
      <c r="G75" s="84"/>
      <c r="H75" s="93"/>
    </row>
    <row r="76" spans="2:8" x14ac:dyDescent="0.25">
      <c r="B76" s="83" t="s">
        <v>588</v>
      </c>
      <c r="C76" s="84" t="s">
        <v>590</v>
      </c>
      <c r="D76" s="84" t="s">
        <v>182</v>
      </c>
      <c r="E76" s="84" t="s">
        <v>589</v>
      </c>
      <c r="F76" s="92">
        <v>1</v>
      </c>
      <c r="G76" s="84"/>
      <c r="H76" s="93"/>
    </row>
    <row r="77" spans="2:8" x14ac:dyDescent="0.25">
      <c r="B77" s="83" t="s">
        <v>654</v>
      </c>
      <c r="C77" s="84"/>
      <c r="D77" s="84" t="s">
        <v>182</v>
      </c>
      <c r="E77" s="84"/>
      <c r="F77" s="92"/>
      <c r="G77" s="84"/>
      <c r="H77" s="93"/>
    </row>
    <row r="78" spans="2:8" x14ac:dyDescent="0.25">
      <c r="B78" s="83" t="s">
        <v>648</v>
      </c>
      <c r="C78" s="84" t="s">
        <v>649</v>
      </c>
      <c r="D78" s="84" t="s">
        <v>182</v>
      </c>
      <c r="E78" s="84"/>
      <c r="F78" s="92"/>
      <c r="G78" s="84"/>
      <c r="H78" s="93"/>
    </row>
    <row r="79" spans="2:8" x14ac:dyDescent="0.25">
      <c r="B79" s="83" t="s">
        <v>375</v>
      </c>
      <c r="C79" s="84" t="s">
        <v>195</v>
      </c>
      <c r="D79" s="84" t="s">
        <v>182</v>
      </c>
      <c r="E79" s="84" t="s">
        <v>376</v>
      </c>
      <c r="F79" s="92">
        <v>1</v>
      </c>
      <c r="G79" s="84"/>
      <c r="H79" s="93"/>
    </row>
    <row r="80" spans="2:8" x14ac:dyDescent="0.25">
      <c r="B80" s="83" t="s">
        <v>536</v>
      </c>
      <c r="C80" s="84" t="s">
        <v>377</v>
      </c>
      <c r="D80" s="84" t="s">
        <v>182</v>
      </c>
      <c r="E80" s="84" t="s">
        <v>537</v>
      </c>
      <c r="F80" s="84" t="s">
        <v>538</v>
      </c>
      <c r="G80" s="84"/>
      <c r="H80" s="93"/>
    </row>
    <row r="81" spans="2:8" x14ac:dyDescent="0.25">
      <c r="B81" s="83" t="s">
        <v>605</v>
      </c>
      <c r="C81" s="84" t="s">
        <v>606</v>
      </c>
      <c r="D81" s="84" t="s">
        <v>182</v>
      </c>
      <c r="E81" s="84"/>
      <c r="F81" s="84"/>
      <c r="G81" s="84"/>
      <c r="H81" s="93"/>
    </row>
    <row r="82" spans="2:8" x14ac:dyDescent="0.25">
      <c r="B82" s="83" t="s">
        <v>372</v>
      </c>
      <c r="C82" s="84" t="s">
        <v>195</v>
      </c>
      <c r="D82" s="84" t="s">
        <v>182</v>
      </c>
      <c r="E82" s="84" t="s">
        <v>373</v>
      </c>
      <c r="F82" s="84" t="s">
        <v>374</v>
      </c>
      <c r="G82" s="84"/>
      <c r="H82" s="93"/>
    </row>
    <row r="83" spans="2:8" x14ac:dyDescent="0.25">
      <c r="B83" s="83" t="s">
        <v>44</v>
      </c>
      <c r="C83" s="84" t="s">
        <v>45</v>
      </c>
      <c r="D83" s="84"/>
      <c r="E83" s="84"/>
      <c r="F83" s="84"/>
      <c r="G83" s="84"/>
      <c r="H83" s="93"/>
    </row>
    <row r="84" spans="2:8" x14ac:dyDescent="0.25">
      <c r="B84" s="96" t="s">
        <v>47</v>
      </c>
      <c r="C84" s="97"/>
      <c r="D84" s="97"/>
      <c r="E84" s="97"/>
      <c r="F84" s="97"/>
      <c r="G84" s="97"/>
      <c r="H84" s="98"/>
    </row>
    <row r="86" spans="2:8" ht="13" x14ac:dyDescent="0.3">
      <c r="E86" s="73" t="s">
        <v>539</v>
      </c>
    </row>
    <row r="87" spans="2:8" ht="13" x14ac:dyDescent="0.3">
      <c r="E87" s="73" t="s">
        <v>544</v>
      </c>
    </row>
    <row r="88" spans="2:8" ht="13" x14ac:dyDescent="0.3">
      <c r="E88" s="73" t="s">
        <v>502</v>
      </c>
    </row>
    <row r="89" spans="2:8" ht="13" x14ac:dyDescent="0.3">
      <c r="E89" s="73" t="s">
        <v>503</v>
      </c>
    </row>
    <row r="90" spans="2:8" ht="13" x14ac:dyDescent="0.3">
      <c r="E90" s="73" t="s">
        <v>504</v>
      </c>
    </row>
    <row r="91" spans="2:8" ht="13" x14ac:dyDescent="0.3">
      <c r="E91" s="73" t="s">
        <v>506</v>
      </c>
    </row>
    <row r="92" spans="2:8" ht="13" x14ac:dyDescent="0.3">
      <c r="E92" s="73" t="s">
        <v>507</v>
      </c>
    </row>
    <row r="93" spans="2:8" ht="13" x14ac:dyDescent="0.3">
      <c r="E93" s="73" t="s">
        <v>534</v>
      </c>
    </row>
    <row r="94" spans="2:8" ht="13" x14ac:dyDescent="0.3">
      <c r="E94" s="73" t="s">
        <v>523</v>
      </c>
    </row>
    <row r="95" spans="2:8" ht="13" x14ac:dyDescent="0.3">
      <c r="E95" s="73" t="s">
        <v>524</v>
      </c>
    </row>
    <row r="96" spans="2:8" ht="13" x14ac:dyDescent="0.3">
      <c r="E96" s="73" t="s">
        <v>533</v>
      </c>
    </row>
    <row r="97" spans="5:5" ht="13" x14ac:dyDescent="0.3">
      <c r="E97" s="73" t="s">
        <v>535</v>
      </c>
    </row>
    <row r="98" spans="5:5" ht="13" x14ac:dyDescent="0.3">
      <c r="E98" s="73" t="s">
        <v>547</v>
      </c>
    </row>
    <row r="99" spans="5:5" ht="13" x14ac:dyDescent="0.3">
      <c r="E99" s="73" t="s">
        <v>549</v>
      </c>
    </row>
    <row r="100" spans="5:5" ht="13" x14ac:dyDescent="0.3">
      <c r="E100" s="73" t="s">
        <v>548</v>
      </c>
    </row>
    <row r="101" spans="5:5" ht="13" x14ac:dyDescent="0.3">
      <c r="E101" s="73" t="s">
        <v>556</v>
      </c>
    </row>
    <row r="102" spans="5:5" ht="13" x14ac:dyDescent="0.3">
      <c r="E102" s="73" t="s">
        <v>564</v>
      </c>
    </row>
    <row r="103" spans="5:5" ht="13" x14ac:dyDescent="0.3">
      <c r="E103" s="73" t="s">
        <v>566</v>
      </c>
    </row>
    <row r="104" spans="5:5" ht="13" x14ac:dyDescent="0.3">
      <c r="E104" s="73" t="s">
        <v>454</v>
      </c>
    </row>
    <row r="105" spans="5:5" ht="13" x14ac:dyDescent="0.3">
      <c r="E105" s="73" t="s">
        <v>568</v>
      </c>
    </row>
    <row r="106" spans="5:5" ht="13" x14ac:dyDescent="0.3">
      <c r="E106" s="73" t="s">
        <v>569</v>
      </c>
    </row>
    <row r="107" spans="5:5" ht="13" x14ac:dyDescent="0.3">
      <c r="E107" s="73" t="s">
        <v>610</v>
      </c>
    </row>
    <row r="108" spans="5:5" ht="13" x14ac:dyDescent="0.3">
      <c r="E108" s="73" t="s">
        <v>612</v>
      </c>
    </row>
    <row r="109" spans="5:5" ht="13" x14ac:dyDescent="0.3">
      <c r="E109" s="73" t="s">
        <v>615</v>
      </c>
    </row>
    <row r="110" spans="5:5" ht="13" x14ac:dyDescent="0.3">
      <c r="E110" s="73" t="s">
        <v>617</v>
      </c>
    </row>
    <row r="111" spans="5:5" ht="13" x14ac:dyDescent="0.3">
      <c r="E111" s="73" t="s">
        <v>621</v>
      </c>
    </row>
    <row r="112" spans="5:5" ht="13" x14ac:dyDescent="0.3">
      <c r="E112" s="73" t="s">
        <v>622</v>
      </c>
    </row>
    <row r="113" spans="5:5" ht="13" x14ac:dyDescent="0.3">
      <c r="E113" s="73" t="s">
        <v>623</v>
      </c>
    </row>
    <row r="114" spans="5:5" ht="13" x14ac:dyDescent="0.3">
      <c r="E114" s="73" t="s">
        <v>624</v>
      </c>
    </row>
    <row r="115" spans="5:5" ht="13" x14ac:dyDescent="0.3">
      <c r="E115" s="73" t="s">
        <v>628</v>
      </c>
    </row>
    <row r="116" spans="5:5" ht="13" x14ac:dyDescent="0.3">
      <c r="E116" s="73" t="s">
        <v>634</v>
      </c>
    </row>
    <row r="117" spans="5:5" ht="13" x14ac:dyDescent="0.3">
      <c r="E117" s="73" t="s">
        <v>643</v>
      </c>
    </row>
    <row r="118" spans="5:5" x14ac:dyDescent="0.25">
      <c r="E118" s="85" t="s">
        <v>335</v>
      </c>
    </row>
    <row r="119" spans="5:5" x14ac:dyDescent="0.25">
      <c r="E119" s="85" t="s">
        <v>337</v>
      </c>
    </row>
    <row r="120" spans="5:5" x14ac:dyDescent="0.25">
      <c r="E120" s="85" t="s">
        <v>338</v>
      </c>
    </row>
    <row r="121" spans="5:5" x14ac:dyDescent="0.25">
      <c r="E121" s="85" t="s">
        <v>251</v>
      </c>
    </row>
    <row r="123" spans="5:5" ht="13" x14ac:dyDescent="0.3">
      <c r="E123" s="56" t="s">
        <v>70</v>
      </c>
    </row>
    <row r="124" spans="5:5" x14ac:dyDescent="0.25">
      <c r="E124" s="85" t="s">
        <v>344</v>
      </c>
    </row>
    <row r="125" spans="5:5" x14ac:dyDescent="0.25">
      <c r="E125" s="85" t="s">
        <v>382</v>
      </c>
    </row>
  </sheetData>
  <hyperlinks>
    <hyperlink ref="B3" location="Humira!A1" display="Humira (adalimumab)" xr:uid="{00000000-0004-0000-0000-000000000000}"/>
    <hyperlink ref="B6" location="Skyrizi!A1" display="Skyrizi (risankizumab)" xr:uid="{EABC111F-4692-46BF-B71F-73A7DA7865C1}"/>
    <hyperlink ref="B7" location="Rinvoq!A1" display="Rinvoq (upadacitinib)" xr:uid="{72FB0F31-06D9-4FEB-A880-DE5C4D865704}"/>
    <hyperlink ref="B5" location="Imbruvica!A1" display="Imbruvica (ibrutinib)" xr:uid="{7FDB0815-D4AE-4D2E-8346-C8D60CD6ADD5}"/>
    <hyperlink ref="B4" location="Botox!A1" display="Botox (onabotulinumtoxinA)" xr:uid="{F1A298F7-9913-43DD-BAC4-B7C5601805BB}"/>
    <hyperlink ref="B14" location="Elahere!A1" display="Elahere (mirvetuximab soravtansine)" xr:uid="{99CBA26C-AFD6-49C3-84DC-20B5E8248965}"/>
    <hyperlink ref="B17" location="Epkinly!A1" display="Epkinly (epcoritamab)" xr:uid="{389431BE-2174-48A3-AE52-85ACFEBF6548}"/>
    <hyperlink ref="B23" location="tavapadon!A1" display="tavapadon" xr:uid="{785EEE1F-AB93-4FFE-BFFA-623807EE4D03}"/>
    <hyperlink ref="B19" location="Vyalev!A1" display="Vyalev (ABBV-951 (foscarbidopa/foslevodopa))" xr:uid="{89BD8E18-1DA6-4DD7-A453-BFBB953D6D71}"/>
    <hyperlink ref="B8" location="Venclexta!A1" display="Venclexta (venetoclax)" xr:uid="{0DB69A91-F27F-420F-8C63-1F0139990E46}"/>
    <hyperlink ref="B15" location="Emrelis!A1" display="Emrelis (telisotuzumab vedotin)" xr:uid="{D01766A5-C45D-41B4-94E3-3EA9F2320D46}"/>
    <hyperlink ref="B24" location="emraclidine!A1" display="emraclidine" xr:uid="{8327F888-C99B-4223-A00E-ABA53D96D34F}"/>
    <hyperlink ref="B13" location="Qulipta!A1" display="Qulipta (atogepant)" xr:uid="{468F975D-D87C-41CC-86AE-D0DE8B73323E}"/>
    <hyperlink ref="B22" location="'ABBV-400'!A1" display="ABBV-400 (telisotuzumab adizutecan)" xr:uid="{9D67AB80-13D1-4FF9-BBC1-8D2577800A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M133"/>
  <sheetViews>
    <sheetView tabSelected="1" zoomScale="115" zoomScaleNormal="115" workbookViewId="0">
      <pane xSplit="2" ySplit="2" topLeftCell="CK3" activePane="bottomRight" state="frozen"/>
      <selection pane="topRight" activeCell="C1" sqref="C1"/>
      <selection pane="bottomLeft" activeCell="A3" sqref="A3"/>
      <selection pane="bottomRight" activeCell="CT34" sqref="CT34"/>
    </sheetView>
  </sheetViews>
  <sheetFormatPr defaultColWidth="9.1796875" defaultRowHeight="12.5" x14ac:dyDescent="0.25"/>
  <cols>
    <col min="1" max="1" width="5" style="1" bestFit="1" customWidth="1"/>
    <col min="2" max="2" width="21.26953125" style="1" customWidth="1"/>
    <col min="3" max="119" width="9.1796875" style="2"/>
    <col min="120" max="121" width="9.1796875" style="1"/>
    <col min="122" max="125" width="9.54296875" style="1" customWidth="1"/>
    <col min="126" max="16384" width="9.1796875" style="1"/>
  </cols>
  <sheetData>
    <row r="1" spans="1:125" x14ac:dyDescent="0.25">
      <c r="A1" s="9" t="s">
        <v>74</v>
      </c>
    </row>
    <row r="2" spans="1:125" x14ac:dyDescent="0.25">
      <c r="C2" s="61" t="s">
        <v>445</v>
      </c>
      <c r="D2" s="61" t="s">
        <v>446</v>
      </c>
      <c r="E2" s="61" t="s">
        <v>447</v>
      </c>
      <c r="F2" s="61" t="s">
        <v>448</v>
      </c>
      <c r="G2" s="61" t="s">
        <v>441</v>
      </c>
      <c r="H2" s="61" t="s">
        <v>442</v>
      </c>
      <c r="I2" s="61" t="s">
        <v>443</v>
      </c>
      <c r="J2" s="61" t="s">
        <v>444</v>
      </c>
      <c r="K2" s="61" t="s">
        <v>436</v>
      </c>
      <c r="L2" s="61" t="s">
        <v>437</v>
      </c>
      <c r="M2" s="61" t="s">
        <v>438</v>
      </c>
      <c r="N2" s="61" t="s">
        <v>439</v>
      </c>
      <c r="O2" s="61" t="s">
        <v>429</v>
      </c>
      <c r="P2" s="61" t="s">
        <v>430</v>
      </c>
      <c r="Q2" s="61" t="s">
        <v>431</v>
      </c>
      <c r="R2" s="61" t="s">
        <v>432</v>
      </c>
      <c r="S2" s="61" t="s">
        <v>424</v>
      </c>
      <c r="T2" s="61" t="s">
        <v>425</v>
      </c>
      <c r="U2" s="61" t="s">
        <v>426</v>
      </c>
      <c r="V2" s="61" t="s">
        <v>427</v>
      </c>
      <c r="W2" s="61" t="s">
        <v>419</v>
      </c>
      <c r="X2" s="61" t="s">
        <v>420</v>
      </c>
      <c r="Y2" s="61" t="s">
        <v>421</v>
      </c>
      <c r="Z2" s="61" t="s">
        <v>422</v>
      </c>
      <c r="AA2" s="61" t="s">
        <v>413</v>
      </c>
      <c r="AB2" s="61" t="s">
        <v>414</v>
      </c>
      <c r="AC2" s="61" t="s">
        <v>415</v>
      </c>
      <c r="AD2" s="61" t="s">
        <v>416</v>
      </c>
      <c r="AE2" s="61" t="s">
        <v>409</v>
      </c>
      <c r="AF2" s="61" t="s">
        <v>410</v>
      </c>
      <c r="AG2" s="61" t="s">
        <v>411</v>
      </c>
      <c r="AH2" s="61" t="s">
        <v>412</v>
      </c>
      <c r="AI2" s="61" t="s">
        <v>405</v>
      </c>
      <c r="AJ2" s="61" t="s">
        <v>406</v>
      </c>
      <c r="AK2" s="61" t="s">
        <v>407</v>
      </c>
      <c r="AL2" s="61" t="s">
        <v>408</v>
      </c>
      <c r="AM2" s="2" t="s">
        <v>59</v>
      </c>
      <c r="AN2" s="2" t="s">
        <v>60</v>
      </c>
      <c r="AO2" s="2" t="s">
        <v>61</v>
      </c>
      <c r="AP2" s="2" t="s">
        <v>62</v>
      </c>
      <c r="AQ2" s="2" t="s">
        <v>1</v>
      </c>
      <c r="AR2" s="2" t="s">
        <v>58</v>
      </c>
      <c r="AS2" s="2" t="s">
        <v>57</v>
      </c>
      <c r="AT2" s="2" t="s">
        <v>78</v>
      </c>
      <c r="AU2" s="2" t="s">
        <v>79</v>
      </c>
      <c r="AV2" s="2" t="s">
        <v>71</v>
      </c>
      <c r="AW2" s="2" t="s">
        <v>80</v>
      </c>
      <c r="AX2" s="2" t="s">
        <v>81</v>
      </c>
      <c r="AY2" s="2" t="s">
        <v>82</v>
      </c>
      <c r="AZ2" s="2" t="s">
        <v>83</v>
      </c>
      <c r="BA2" s="2" t="s">
        <v>84</v>
      </c>
      <c r="BB2" s="2" t="s">
        <v>85</v>
      </c>
      <c r="BC2" s="11" t="s">
        <v>86</v>
      </c>
      <c r="BD2" s="11" t="s">
        <v>87</v>
      </c>
      <c r="BE2" s="11" t="s">
        <v>88</v>
      </c>
      <c r="BF2" s="11" t="s">
        <v>89</v>
      </c>
      <c r="BG2" s="11" t="s">
        <v>90</v>
      </c>
      <c r="BH2" s="11" t="s">
        <v>91</v>
      </c>
      <c r="BI2" s="11" t="s">
        <v>92</v>
      </c>
      <c r="BJ2" s="11" t="s">
        <v>93</v>
      </c>
      <c r="BK2" s="11" t="s">
        <v>94</v>
      </c>
      <c r="BL2" s="11" t="s">
        <v>95</v>
      </c>
      <c r="BM2" s="11" t="s">
        <v>96</v>
      </c>
      <c r="BN2" s="11" t="s">
        <v>97</v>
      </c>
      <c r="BO2" s="11" t="s">
        <v>98</v>
      </c>
      <c r="BP2" s="11" t="s">
        <v>99</v>
      </c>
      <c r="BQ2" s="11" t="s">
        <v>100</v>
      </c>
      <c r="BR2" s="11" t="s">
        <v>101</v>
      </c>
      <c r="BS2" s="11" t="s">
        <v>102</v>
      </c>
      <c r="BT2" s="11" t="s">
        <v>103</v>
      </c>
      <c r="BU2" s="11" t="s">
        <v>104</v>
      </c>
      <c r="BV2" s="11" t="s">
        <v>105</v>
      </c>
      <c r="BW2" s="11" t="s">
        <v>106</v>
      </c>
      <c r="BX2" s="11" t="s">
        <v>107</v>
      </c>
      <c r="BY2" s="11" t="s">
        <v>108</v>
      </c>
      <c r="BZ2" s="11" t="s">
        <v>109</v>
      </c>
      <c r="CA2" s="11" t="s">
        <v>110</v>
      </c>
      <c r="CB2" s="11" t="s">
        <v>111</v>
      </c>
      <c r="CC2" s="11" t="s">
        <v>112</v>
      </c>
      <c r="CD2" s="11" t="s">
        <v>113</v>
      </c>
      <c r="CE2" s="27" t="s">
        <v>234</v>
      </c>
      <c r="CF2" s="27" t="s">
        <v>235</v>
      </c>
      <c r="CG2" s="27" t="s">
        <v>236</v>
      </c>
      <c r="CH2" s="27" t="s">
        <v>237</v>
      </c>
      <c r="CI2" s="48" t="s">
        <v>319</v>
      </c>
      <c r="CJ2" s="48" t="s">
        <v>320</v>
      </c>
      <c r="CK2" s="48" t="s">
        <v>322</v>
      </c>
      <c r="CL2" s="48" t="s">
        <v>321</v>
      </c>
      <c r="CM2" s="65" t="s">
        <v>450</v>
      </c>
      <c r="CN2" s="65" t="s">
        <v>451</v>
      </c>
      <c r="CO2" s="65" t="s">
        <v>452</v>
      </c>
      <c r="CP2" s="65" t="s">
        <v>453</v>
      </c>
      <c r="CQ2" s="82" t="s">
        <v>696</v>
      </c>
      <c r="CR2" s="82" t="s">
        <v>697</v>
      </c>
      <c r="CS2" s="82" t="s">
        <v>698</v>
      </c>
      <c r="CT2" s="82" t="s">
        <v>699</v>
      </c>
      <c r="CU2" s="27"/>
      <c r="CV2" s="27">
        <v>2010</v>
      </c>
      <c r="CW2" s="2">
        <v>2011</v>
      </c>
      <c r="CX2" s="2">
        <v>2012</v>
      </c>
      <c r="CY2" s="2">
        <v>2013</v>
      </c>
      <c r="CZ2" s="2">
        <f>+CY2+1</f>
        <v>2014</v>
      </c>
      <c r="DA2" s="2">
        <f t="shared" ref="DA2:DO2" si="0">+CZ2+1</f>
        <v>2015</v>
      </c>
      <c r="DB2" s="2">
        <f t="shared" si="0"/>
        <v>2016</v>
      </c>
      <c r="DC2" s="2">
        <f t="shared" si="0"/>
        <v>2017</v>
      </c>
      <c r="DD2" s="2">
        <f t="shared" si="0"/>
        <v>2018</v>
      </c>
      <c r="DE2" s="2">
        <f t="shared" si="0"/>
        <v>2019</v>
      </c>
      <c r="DF2" s="2">
        <f t="shared" si="0"/>
        <v>2020</v>
      </c>
      <c r="DG2" s="2">
        <f t="shared" si="0"/>
        <v>2021</v>
      </c>
      <c r="DH2" s="2">
        <f t="shared" si="0"/>
        <v>2022</v>
      </c>
      <c r="DI2" s="2">
        <f t="shared" si="0"/>
        <v>2023</v>
      </c>
      <c r="DJ2" s="2">
        <f t="shared" si="0"/>
        <v>2024</v>
      </c>
      <c r="DK2" s="2">
        <f t="shared" si="0"/>
        <v>2025</v>
      </c>
      <c r="DL2" s="2">
        <f t="shared" si="0"/>
        <v>2026</v>
      </c>
      <c r="DM2" s="2">
        <f t="shared" si="0"/>
        <v>2027</v>
      </c>
      <c r="DN2" s="2">
        <f t="shared" si="0"/>
        <v>2028</v>
      </c>
      <c r="DO2" s="2">
        <f t="shared" si="0"/>
        <v>2029</v>
      </c>
      <c r="DP2" s="1">
        <f t="shared" ref="DP2:DU2" si="1">+DO2+1</f>
        <v>2030</v>
      </c>
      <c r="DQ2" s="1">
        <f t="shared" si="1"/>
        <v>2031</v>
      </c>
      <c r="DR2" s="1">
        <f t="shared" si="1"/>
        <v>2032</v>
      </c>
      <c r="DS2" s="1">
        <f t="shared" si="1"/>
        <v>2033</v>
      </c>
      <c r="DT2" s="1">
        <f t="shared" si="1"/>
        <v>2034</v>
      </c>
      <c r="DU2" s="1">
        <f t="shared" si="1"/>
        <v>2035</v>
      </c>
    </row>
    <row r="3" spans="1:125" x14ac:dyDescent="0.25">
      <c r="B3" s="37" t="s">
        <v>249</v>
      </c>
      <c r="AW3" s="43">
        <f t="shared" ref="AW3:BC3" si="2">+AW5+AW8+AW13</f>
        <v>3255</v>
      </c>
      <c r="AX3" s="43">
        <f t="shared" si="2"/>
        <v>3363</v>
      </c>
      <c r="AY3" s="43">
        <f t="shared" si="2"/>
        <v>3111</v>
      </c>
      <c r="AZ3" s="43">
        <f t="shared" si="2"/>
        <v>3537</v>
      </c>
      <c r="BA3" s="43">
        <f t="shared" si="2"/>
        <v>3647</v>
      </c>
      <c r="BB3" s="43">
        <f t="shared" si="2"/>
        <v>3717</v>
      </c>
      <c r="BC3" s="43">
        <f t="shared" si="2"/>
        <v>3577</v>
      </c>
      <c r="BD3" s="43">
        <f>+BD5+BD8+BD13</f>
        <v>4149</v>
      </c>
      <c r="BE3" s="43">
        <f t="shared" ref="BE3:BJ3" si="3">+BE5+BE8+BE13</f>
        <v>4060</v>
      </c>
      <c r="BF3" s="43">
        <f t="shared" si="3"/>
        <v>4292</v>
      </c>
      <c r="BG3" s="43">
        <f t="shared" si="3"/>
        <v>4118</v>
      </c>
      <c r="BH3" s="43">
        <f t="shared" si="3"/>
        <v>4716</v>
      </c>
      <c r="BI3" s="43">
        <f t="shared" si="3"/>
        <v>4701</v>
      </c>
      <c r="BJ3" s="43">
        <f t="shared" si="3"/>
        <v>4892</v>
      </c>
      <c r="BK3" s="43">
        <f t="shared" ref="BK3:BP3" si="4">+BK5+BK8+BK13</f>
        <v>4709</v>
      </c>
      <c r="BL3" s="43">
        <f t="shared" si="4"/>
        <v>5185</v>
      </c>
      <c r="BM3" s="43">
        <f t="shared" si="4"/>
        <v>5124</v>
      </c>
      <c r="BN3" s="43">
        <f t="shared" si="4"/>
        <v>4918</v>
      </c>
      <c r="BO3" s="43">
        <f t="shared" si="4"/>
        <v>4446</v>
      </c>
      <c r="BP3" s="43">
        <f t="shared" si="4"/>
        <v>4918</v>
      </c>
      <c r="BQ3" s="43">
        <f t="shared" ref="BQ3:BV3" si="5">+BQ5+BQ8+BQ13</f>
        <v>5041</v>
      </c>
      <c r="BR3" s="43">
        <f t="shared" si="5"/>
        <v>5166</v>
      </c>
      <c r="BS3" s="43">
        <f t="shared" si="5"/>
        <v>5089</v>
      </c>
      <c r="BT3" s="43">
        <f t="shared" si="5"/>
        <v>5316</v>
      </c>
      <c r="BU3" s="43">
        <f t="shared" si="5"/>
        <v>5790</v>
      </c>
      <c r="BV3" s="43">
        <f t="shared" si="5"/>
        <v>5958</v>
      </c>
      <c r="BW3" s="43">
        <f t="shared" ref="BW3:CC3" si="6">+BW5+BW8+BW13</f>
        <v>5744</v>
      </c>
      <c r="BX3" s="43">
        <f t="shared" si="6"/>
        <v>6120</v>
      </c>
      <c r="BY3" s="43">
        <f t="shared" si="6"/>
        <v>6674</v>
      </c>
      <c r="BZ3" s="43">
        <f t="shared" si="6"/>
        <v>6746</v>
      </c>
      <c r="CA3" s="43">
        <f t="shared" si="6"/>
        <v>6141</v>
      </c>
      <c r="CB3" s="43">
        <f t="shared" si="6"/>
        <v>7207</v>
      </c>
      <c r="CC3" s="43">
        <f t="shared" si="6"/>
        <v>7651</v>
      </c>
      <c r="CD3" s="43">
        <f t="shared" ref="CD3:CT3" si="7">+CD5+CD8+CD13</f>
        <v>7925</v>
      </c>
      <c r="CE3" s="43">
        <f t="shared" si="7"/>
        <v>5587</v>
      </c>
      <c r="CF3" s="43">
        <f t="shared" si="7"/>
        <v>6813</v>
      </c>
      <c r="CG3" s="43">
        <f t="shared" si="7"/>
        <v>6783</v>
      </c>
      <c r="CH3" s="43">
        <f t="shared" si="7"/>
        <v>6953</v>
      </c>
      <c r="CI3" s="43">
        <f t="shared" si="7"/>
        <v>5371</v>
      </c>
      <c r="CJ3" s="43">
        <f t="shared" si="7"/>
        <v>6971</v>
      </c>
      <c r="CK3" s="43">
        <f t="shared" si="7"/>
        <v>7046</v>
      </c>
      <c r="CL3" s="43">
        <f t="shared" si="7"/>
        <v>7294</v>
      </c>
      <c r="CM3" s="43">
        <f t="shared" si="7"/>
        <v>6264</v>
      </c>
      <c r="CN3" s="43">
        <f t="shared" si="7"/>
        <v>7631</v>
      </c>
      <c r="CO3" s="43">
        <f t="shared" si="7"/>
        <v>7885</v>
      </c>
      <c r="CP3" s="43">
        <f t="shared" si="7"/>
        <v>8626</v>
      </c>
      <c r="CQ3" s="43">
        <f t="shared" si="7"/>
        <v>7523</v>
      </c>
      <c r="CR3" s="43">
        <f t="shared" si="7"/>
        <v>9245.5</v>
      </c>
      <c r="CS3" s="43">
        <f t="shared" si="7"/>
        <v>9634.9</v>
      </c>
      <c r="CT3" s="43">
        <f t="shared" si="7"/>
        <v>10478</v>
      </c>
      <c r="CU3" s="27"/>
      <c r="CV3" s="27"/>
      <c r="CX3" s="6">
        <f t="shared" ref="CX3:DC3" si="8">+CX5+CX8+CX13</f>
        <v>9265</v>
      </c>
      <c r="CY3" s="6">
        <f t="shared" si="8"/>
        <v>10659</v>
      </c>
      <c r="CZ3" s="6">
        <f t="shared" si="8"/>
        <v>12543</v>
      </c>
      <c r="DA3" s="6">
        <f t="shared" si="8"/>
        <v>14012</v>
      </c>
      <c r="DB3" s="6">
        <f t="shared" si="8"/>
        <v>16078</v>
      </c>
      <c r="DC3" s="6">
        <f t="shared" si="8"/>
        <v>18427</v>
      </c>
      <c r="DD3" s="6">
        <f>+DD5+DD8+DD13</f>
        <v>19936</v>
      </c>
      <c r="DE3" s="6">
        <f>+DE5+DE8+DE13</f>
        <v>19571</v>
      </c>
      <c r="DF3" s="6">
        <f>+DF5+DF8+DF13</f>
        <v>22153</v>
      </c>
      <c r="DG3" s="6">
        <f t="shared" ref="DG3:DP3" si="9">+DG5+DG8+DG13</f>
        <v>25284</v>
      </c>
      <c r="DH3" s="6">
        <f t="shared" si="9"/>
        <v>28924</v>
      </c>
      <c r="DI3" s="6">
        <f t="shared" si="9"/>
        <v>26136</v>
      </c>
      <c r="DJ3" s="6">
        <f t="shared" si="9"/>
        <v>26682</v>
      </c>
      <c r="DK3" s="6">
        <f t="shared" si="9"/>
        <v>30406</v>
      </c>
      <c r="DL3" s="6">
        <f t="shared" si="9"/>
        <v>31685.66</v>
      </c>
      <c r="DM3" s="6">
        <f t="shared" si="9"/>
        <v>33494.885800000004</v>
      </c>
      <c r="DN3" s="6">
        <f t="shared" si="9"/>
        <v>32959.764373999998</v>
      </c>
      <c r="DO3" s="6">
        <f t="shared" si="9"/>
        <v>33178.573305220001</v>
      </c>
      <c r="DP3" s="6">
        <f t="shared" si="9"/>
        <v>33788.938504376601</v>
      </c>
    </row>
    <row r="4" spans="1:125" x14ac:dyDescent="0.25"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</row>
    <row r="5" spans="1:125" s="5" customFormat="1" x14ac:dyDescent="0.25">
      <c r="B5" s="5" t="s">
        <v>0</v>
      </c>
      <c r="C5" s="6">
        <v>30</v>
      </c>
      <c r="D5" s="6">
        <v>60</v>
      </c>
      <c r="E5" s="6">
        <v>80</v>
      </c>
      <c r="F5" s="6">
        <v>110</v>
      </c>
      <c r="G5" s="6">
        <v>149</v>
      </c>
      <c r="H5" s="6">
        <f>579-I5-G5</f>
        <v>203</v>
      </c>
      <c r="I5" s="6">
        <v>227</v>
      </c>
      <c r="J5" s="6">
        <v>273</v>
      </c>
      <c r="K5" s="6">
        <v>282</v>
      </c>
      <c r="L5" s="6">
        <v>321</v>
      </c>
      <c r="M5" s="6">
        <f>1400-N5-L5-K5</f>
        <v>356</v>
      </c>
      <c r="N5" s="6">
        <v>441</v>
      </c>
      <c r="O5" s="6">
        <v>392</v>
      </c>
      <c r="P5" s="6">
        <f>1424-Q5-O5</f>
        <v>491</v>
      </c>
      <c r="Q5" s="6">
        <v>541</v>
      </c>
      <c r="R5" s="6">
        <v>620</v>
      </c>
      <c r="S5" s="6">
        <v>571</v>
      </c>
      <c r="T5" s="6">
        <v>735</v>
      </c>
      <c r="U5" s="6">
        <v>803</v>
      </c>
      <c r="V5" s="6">
        <v>954</v>
      </c>
      <c r="W5" s="6">
        <v>878</v>
      </c>
      <c r="X5" s="6">
        <v>1089</v>
      </c>
      <c r="Y5" s="6">
        <v>1204</v>
      </c>
      <c r="Z5" s="6">
        <v>1351</v>
      </c>
      <c r="AA5" s="6">
        <f>2335-AB5</f>
        <v>1024</v>
      </c>
      <c r="AB5" s="6">
        <v>1311</v>
      </c>
      <c r="AC5" s="6">
        <v>1491</v>
      </c>
      <c r="AD5" s="6">
        <v>1662</v>
      </c>
      <c r="AE5" s="6">
        <v>1397</v>
      </c>
      <c r="AF5" s="6">
        <v>1593</v>
      </c>
      <c r="AG5" s="6">
        <v>1679</v>
      </c>
      <c r="AH5" s="6">
        <v>1879</v>
      </c>
      <c r="AI5" s="6">
        <v>1646</v>
      </c>
      <c r="AJ5" s="6">
        <v>1997</v>
      </c>
      <c r="AK5" s="6">
        <f>7932-AL5-AI5-AJ5</f>
        <v>2111</v>
      </c>
      <c r="AL5" s="6">
        <v>2178</v>
      </c>
      <c r="AM5" s="6">
        <v>1934</v>
      </c>
      <c r="AN5" s="6">
        <v>2326</v>
      </c>
      <c r="AO5" s="6">
        <v>2325</v>
      </c>
      <c r="AP5" s="6">
        <v>2681</v>
      </c>
      <c r="AQ5" s="6">
        <v>2244</v>
      </c>
      <c r="AR5" s="6">
        <v>2606</v>
      </c>
      <c r="AS5" s="6">
        <v>2770</v>
      </c>
      <c r="AT5" s="6">
        <v>3039</v>
      </c>
      <c r="AU5" s="6">
        <v>2637</v>
      </c>
      <c r="AV5" s="6">
        <v>3288</v>
      </c>
      <c r="AW5" s="6">
        <v>3255</v>
      </c>
      <c r="AX5" s="6">
        <v>3363</v>
      </c>
      <c r="AY5" s="6">
        <v>3111</v>
      </c>
      <c r="AZ5" s="6">
        <v>3537</v>
      </c>
      <c r="BA5" s="6">
        <v>3647</v>
      </c>
      <c r="BB5" s="6">
        <v>3717</v>
      </c>
      <c r="BC5" s="6">
        <v>3577</v>
      </c>
      <c r="BD5" s="6">
        <v>4149</v>
      </c>
      <c r="BE5" s="6">
        <v>4060</v>
      </c>
      <c r="BF5" s="6">
        <v>4292</v>
      </c>
      <c r="BG5" s="6">
        <v>4118</v>
      </c>
      <c r="BH5" s="6">
        <v>4716</v>
      </c>
      <c r="BI5" s="6">
        <v>4701</v>
      </c>
      <c r="BJ5" s="6">
        <v>4892</v>
      </c>
      <c r="BK5" s="6">
        <v>4709</v>
      </c>
      <c r="BL5" s="6">
        <v>5185</v>
      </c>
      <c r="BM5" s="6">
        <v>5124</v>
      </c>
      <c r="BN5" s="6">
        <v>4918</v>
      </c>
      <c r="BO5" s="6">
        <v>4446</v>
      </c>
      <c r="BP5" s="6">
        <v>4870</v>
      </c>
      <c r="BQ5" s="6">
        <v>4936</v>
      </c>
      <c r="BR5" s="6">
        <v>4917</v>
      </c>
      <c r="BS5" s="6">
        <v>4703</v>
      </c>
      <c r="BT5" s="6">
        <v>4837</v>
      </c>
      <c r="BU5" s="6">
        <v>5140</v>
      </c>
      <c r="BV5" s="6">
        <v>5152</v>
      </c>
      <c r="BW5" s="6">
        <v>4867</v>
      </c>
      <c r="BX5" s="6">
        <v>5068</v>
      </c>
      <c r="BY5" s="6">
        <v>5425</v>
      </c>
      <c r="BZ5" s="6">
        <v>5334</v>
      </c>
      <c r="CA5" s="6">
        <v>4736</v>
      </c>
      <c r="CB5" s="6">
        <v>5363</v>
      </c>
      <c r="CC5" s="6">
        <v>5559</v>
      </c>
      <c r="CD5" s="6">
        <v>5579</v>
      </c>
      <c r="CE5" s="6">
        <v>3541</v>
      </c>
      <c r="CF5" s="6">
        <v>4012</v>
      </c>
      <c r="CG5" s="6">
        <v>3547</v>
      </c>
      <c r="CH5" s="6">
        <v>3304</v>
      </c>
      <c r="CI5" s="6">
        <v>2270</v>
      </c>
      <c r="CJ5" s="6">
        <v>2814</v>
      </c>
      <c r="CK5" s="6">
        <v>2227</v>
      </c>
      <c r="CL5" s="6">
        <v>1682</v>
      </c>
      <c r="CM5" s="6">
        <v>1121</v>
      </c>
      <c r="CN5" s="6">
        <v>1180</v>
      </c>
      <c r="CO5" s="6">
        <v>993</v>
      </c>
      <c r="CP5" s="6">
        <v>1246</v>
      </c>
      <c r="CQ5" s="6">
        <f>+CM5*0.9</f>
        <v>1008.9</v>
      </c>
      <c r="CR5" s="6">
        <f t="shared" ref="CR5:CT5" si="10">+CN5*0.9</f>
        <v>1062</v>
      </c>
      <c r="CS5" s="6">
        <f t="shared" si="10"/>
        <v>893.7</v>
      </c>
      <c r="CT5" s="6">
        <f t="shared" si="10"/>
        <v>1121.4000000000001</v>
      </c>
      <c r="CU5" s="6"/>
      <c r="CV5" s="6"/>
      <c r="CW5" s="6"/>
      <c r="CX5" s="6">
        <v>9265</v>
      </c>
      <c r="CY5" s="6">
        <v>10659</v>
      </c>
      <c r="CZ5" s="6">
        <v>12543</v>
      </c>
      <c r="DA5" s="6">
        <v>14012</v>
      </c>
      <c r="DB5" s="6">
        <v>16078</v>
      </c>
      <c r="DC5" s="6">
        <v>18427</v>
      </c>
      <c r="DD5" s="6">
        <f>SUM(BK5:BN5)</f>
        <v>19936</v>
      </c>
      <c r="DE5" s="6">
        <f>SUM(BO5:BR5)</f>
        <v>19169</v>
      </c>
      <c r="DF5" s="6">
        <f>SUM(BS5:BV5)</f>
        <v>19832</v>
      </c>
      <c r="DG5" s="6">
        <f>SUM(BW5:BZ5)</f>
        <v>20694</v>
      </c>
      <c r="DH5" s="6">
        <f>SUM(CA5:CD5)</f>
        <v>21237</v>
      </c>
      <c r="DI5" s="6">
        <f>SUM(CE5:CH5)</f>
        <v>14404</v>
      </c>
      <c r="DJ5" s="6">
        <f>SUM(CI5:CL5)</f>
        <v>8993</v>
      </c>
      <c r="DK5" s="6">
        <f>SUM(CM5:CP5)</f>
        <v>4540</v>
      </c>
      <c r="DL5" s="6">
        <f>+DK5*0.8</f>
        <v>3632</v>
      </c>
      <c r="DM5" s="6">
        <f>+DL5*0.8</f>
        <v>2905.6000000000004</v>
      </c>
      <c r="DN5" s="6">
        <f t="shared" ref="DN5:DP5" si="11">+DM5*0.5</f>
        <v>1452.8000000000002</v>
      </c>
      <c r="DO5" s="6">
        <f t="shared" si="11"/>
        <v>726.40000000000009</v>
      </c>
      <c r="DP5" s="6">
        <f t="shared" si="11"/>
        <v>363.20000000000005</v>
      </c>
      <c r="DQ5" s="6">
        <f t="shared" ref="DQ5" si="12">+DP5*0.5</f>
        <v>181.60000000000002</v>
      </c>
      <c r="DR5" s="6">
        <f t="shared" ref="DR5" si="13">+DQ5*0.5</f>
        <v>90.800000000000011</v>
      </c>
      <c r="DS5" s="6">
        <f t="shared" ref="DS5" si="14">+DR5*0.5</f>
        <v>45.400000000000006</v>
      </c>
      <c r="DT5" s="6">
        <f t="shared" ref="DT5" si="15">+DS5*0.5</f>
        <v>22.700000000000003</v>
      </c>
      <c r="DU5" s="6">
        <f t="shared" ref="DU5" si="16">+DT5*0.5</f>
        <v>11.350000000000001</v>
      </c>
    </row>
    <row r="6" spans="1:125" s="5" customFormat="1" x14ac:dyDescent="0.25">
      <c r="B6" s="12" t="s">
        <v>123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59" t="s">
        <v>202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29" t="s">
        <v>229</v>
      </c>
      <c r="BU6" s="25" t="s">
        <v>200</v>
      </c>
      <c r="BV6" s="17" t="s">
        <v>158</v>
      </c>
      <c r="BW6" s="17" t="s">
        <v>153</v>
      </c>
      <c r="BX6" s="17" t="s">
        <v>152</v>
      </c>
      <c r="BY6" s="17" t="s">
        <v>151</v>
      </c>
      <c r="BZ6" s="17" t="s">
        <v>150</v>
      </c>
      <c r="CA6" s="13" t="s">
        <v>122</v>
      </c>
      <c r="CB6" s="25" t="s">
        <v>201</v>
      </c>
      <c r="CC6" s="34" t="s">
        <v>247</v>
      </c>
      <c r="CD6" s="44" t="s">
        <v>315</v>
      </c>
      <c r="CE6" s="45" t="s">
        <v>316</v>
      </c>
      <c r="CF6" s="52" t="s">
        <v>327</v>
      </c>
      <c r="CG6" s="52" t="s">
        <v>326</v>
      </c>
      <c r="CH6" s="52" t="s">
        <v>332</v>
      </c>
      <c r="CI6" s="50" t="s">
        <v>325</v>
      </c>
      <c r="CJ6" s="58" t="s">
        <v>384</v>
      </c>
      <c r="CK6" s="64" t="s">
        <v>449</v>
      </c>
      <c r="CL6" s="52" t="s">
        <v>333</v>
      </c>
      <c r="CM6" s="81" t="s">
        <v>659</v>
      </c>
      <c r="CN6" s="81" t="s">
        <v>701</v>
      </c>
      <c r="CO6" s="81" t="s">
        <v>700</v>
      </c>
      <c r="CP6" s="81" t="s">
        <v>703</v>
      </c>
      <c r="CQ6" s="6"/>
      <c r="CR6" s="6"/>
      <c r="CS6" s="6"/>
      <c r="CT6" s="6"/>
      <c r="CU6" s="6"/>
      <c r="CV6" s="6"/>
      <c r="CW6" s="6"/>
      <c r="CX6" s="6">
        <f t="shared" ref="CX6" si="17">SUM(BE6:BH6)</f>
        <v>0</v>
      </c>
      <c r="CY6" s="6">
        <f t="shared" ref="CY6" si="18">SUM(BF6:BI6)</f>
        <v>0</v>
      </c>
      <c r="CZ6" s="6">
        <f t="shared" ref="CZ6" si="19">SUM(BG6:BJ6)</f>
        <v>0</v>
      </c>
      <c r="DA6" s="6">
        <f t="shared" ref="DA6" si="20">SUM(BH6:BK6)</f>
        <v>0</v>
      </c>
      <c r="DB6" s="6">
        <f t="shared" ref="DB6" si="21">SUM(BI6:BL6)</f>
        <v>0</v>
      </c>
      <c r="DC6" s="6">
        <f t="shared" ref="DC6" si="22">SUM(BJ6:BM6)</f>
        <v>0</v>
      </c>
      <c r="DD6" s="6">
        <f t="shared" ref="DD6:DD62" si="23">SUM(BK6:BN6)</f>
        <v>0</v>
      </c>
      <c r="DE6" s="6">
        <f t="shared" ref="DE6:DE56" si="24">SUM(BO6:BR6)</f>
        <v>0</v>
      </c>
      <c r="DF6" s="29" t="s">
        <v>238</v>
      </c>
      <c r="DG6" s="29" t="s">
        <v>239</v>
      </c>
      <c r="DH6" s="29" t="s">
        <v>240</v>
      </c>
      <c r="DI6" s="52" t="s">
        <v>334</v>
      </c>
      <c r="DJ6" s="80" t="s">
        <v>658</v>
      </c>
      <c r="DK6" s="6"/>
      <c r="DL6" s="6"/>
      <c r="DM6" s="6"/>
      <c r="DN6" s="6"/>
      <c r="DO6" s="6"/>
    </row>
    <row r="7" spans="1:125" s="5" customFormat="1" x14ac:dyDescent="0.25">
      <c r="B7" s="12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59" t="s">
        <v>202</v>
      </c>
      <c r="AR7" s="6"/>
      <c r="AS7" s="6"/>
      <c r="AT7" s="6"/>
      <c r="AU7" s="6"/>
      <c r="AV7" s="6"/>
      <c r="AW7" s="6"/>
      <c r="AX7" s="6"/>
      <c r="AY7" s="6"/>
      <c r="AZ7" s="6">
        <v>107</v>
      </c>
      <c r="BA7" s="6">
        <v>304</v>
      </c>
      <c r="BB7" s="6">
        <v>343</v>
      </c>
      <c r="BC7" s="6">
        <v>381</v>
      </c>
      <c r="BD7" s="6">
        <v>439</v>
      </c>
      <c r="BE7" s="6">
        <v>501</v>
      </c>
      <c r="BF7" s="6">
        <v>511</v>
      </c>
      <c r="BG7" s="6">
        <v>551</v>
      </c>
      <c r="BH7" s="6">
        <v>626</v>
      </c>
      <c r="BI7" s="6">
        <v>688</v>
      </c>
      <c r="BJ7" s="6">
        <v>708</v>
      </c>
      <c r="BK7" s="6">
        <v>762</v>
      </c>
      <c r="BL7" s="6">
        <v>850</v>
      </c>
      <c r="BM7" s="6">
        <v>972</v>
      </c>
      <c r="BN7" s="6">
        <v>1006</v>
      </c>
      <c r="BO7" s="6">
        <v>1022</v>
      </c>
      <c r="BP7" s="6">
        <v>1099</v>
      </c>
      <c r="BQ7" s="6">
        <v>1257</v>
      </c>
      <c r="BR7" s="6">
        <v>1296</v>
      </c>
      <c r="BS7" s="6">
        <v>1232</v>
      </c>
      <c r="BT7" s="6">
        <v>1288</v>
      </c>
      <c r="BU7" s="6">
        <v>1370</v>
      </c>
      <c r="BV7" s="6">
        <v>1424</v>
      </c>
      <c r="BW7" s="6">
        <v>1268</v>
      </c>
      <c r="BX7" s="6">
        <v>1381</v>
      </c>
      <c r="BY7" s="6">
        <v>1374</v>
      </c>
      <c r="BZ7" s="6">
        <v>1385</v>
      </c>
      <c r="CA7" s="6">
        <v>1173</v>
      </c>
      <c r="CB7" s="6">
        <v>1145</v>
      </c>
      <c r="CC7" s="6">
        <v>1135</v>
      </c>
      <c r="CD7" s="6">
        <v>1115</v>
      </c>
      <c r="CE7" s="6">
        <v>878</v>
      </c>
      <c r="CF7" s="6">
        <v>907</v>
      </c>
      <c r="CG7" s="6">
        <v>908</v>
      </c>
      <c r="CH7" s="6">
        <v>903</v>
      </c>
      <c r="CI7" s="6">
        <v>838</v>
      </c>
      <c r="CJ7" s="6">
        <v>833</v>
      </c>
      <c r="CK7" s="6">
        <v>828</v>
      </c>
      <c r="CL7" s="6">
        <v>848</v>
      </c>
      <c r="CM7" s="6">
        <f t="shared" ref="CM7:CO7" si="25">+CI7*0.95</f>
        <v>796.09999999999991</v>
      </c>
      <c r="CN7" s="6">
        <v>754</v>
      </c>
      <c r="CO7" s="6">
        <f t="shared" si="25"/>
        <v>786.59999999999991</v>
      </c>
      <c r="CP7" s="6">
        <v>671</v>
      </c>
      <c r="CQ7" s="6">
        <f>+CM7*0.9</f>
        <v>716.4899999999999</v>
      </c>
      <c r="CR7" s="6">
        <f t="shared" ref="CR7" si="26">+CN7*0.9</f>
        <v>678.6</v>
      </c>
      <c r="CS7" s="6">
        <f t="shared" ref="CS7" si="27">+CO7*0.9</f>
        <v>707.93999999999994</v>
      </c>
      <c r="CT7" s="6">
        <f t="shared" ref="CT7" si="28">+CP7*0.9</f>
        <v>603.9</v>
      </c>
      <c r="CU7" s="6"/>
      <c r="CV7" s="6"/>
      <c r="CW7" s="6"/>
      <c r="CX7" s="6">
        <v>0</v>
      </c>
      <c r="CY7" s="6">
        <v>0</v>
      </c>
      <c r="CZ7" s="6">
        <v>0</v>
      </c>
      <c r="DA7" s="6">
        <v>754</v>
      </c>
      <c r="DB7" s="6">
        <v>1832</v>
      </c>
      <c r="DC7" s="6">
        <v>2573</v>
      </c>
      <c r="DD7" s="6">
        <f t="shared" si="23"/>
        <v>3590</v>
      </c>
      <c r="DE7" s="6">
        <f t="shared" si="24"/>
        <v>4674</v>
      </c>
      <c r="DF7" s="6">
        <f t="shared" ref="DF7:DF56" si="29">SUM(BS7:BV7)</f>
        <v>5314</v>
      </c>
      <c r="DG7" s="6">
        <f t="shared" ref="DG7:DG57" si="30">SUM(BW7:BZ7)</f>
        <v>5408</v>
      </c>
      <c r="DH7" s="6">
        <f t="shared" ref="DH7:DH57" si="31">SUM(CA7:CD7)</f>
        <v>4568</v>
      </c>
      <c r="DI7" s="6">
        <f t="shared" ref="DI7:DI27" si="32">SUM(CE7:CH7)</f>
        <v>3596</v>
      </c>
      <c r="DJ7" s="6">
        <f t="shared" ref="DJ7:DJ32" si="33">SUM(CI7:CL7)</f>
        <v>3347</v>
      </c>
      <c r="DK7" s="6">
        <f t="shared" ref="DK7:DK32" si="34">SUM(CM7:CP7)</f>
        <v>3007.7</v>
      </c>
      <c r="DL7" s="6">
        <f t="shared" ref="DL7:DP7" si="35">+DK7*0.9</f>
        <v>2706.93</v>
      </c>
      <c r="DM7" s="6">
        <f t="shared" si="35"/>
        <v>2436.2370000000001</v>
      </c>
      <c r="DN7" s="6">
        <f t="shared" si="35"/>
        <v>2192.6133</v>
      </c>
      <c r="DO7" s="6">
        <f t="shared" si="35"/>
        <v>1973.3519699999999</v>
      </c>
      <c r="DP7" s="6">
        <f t="shared" si="35"/>
        <v>1776.0167730000001</v>
      </c>
      <c r="DQ7" s="6">
        <f t="shared" ref="DQ7" si="36">+DP7*0.9</f>
        <v>1598.4150957000002</v>
      </c>
      <c r="DR7" s="6">
        <f t="shared" ref="DR7" si="37">+DQ7*0.9</f>
        <v>1438.5735861300002</v>
      </c>
      <c r="DS7" s="6">
        <f t="shared" ref="DS7" si="38">+DR7*0.9</f>
        <v>1294.7162275170001</v>
      </c>
      <c r="DT7" s="6">
        <f t="shared" ref="DT7" si="39">+DS7*0.9</f>
        <v>1165.2446047653002</v>
      </c>
      <c r="DU7" s="6">
        <f t="shared" ref="DU7" si="40">+DT7*0.9</f>
        <v>1048.7201442887701</v>
      </c>
    </row>
    <row r="8" spans="1:125" s="5" customFormat="1" x14ac:dyDescent="0.25">
      <c r="B8" s="12" t="s">
        <v>114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3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">
        <v>48</v>
      </c>
      <c r="BQ8" s="6">
        <v>91</v>
      </c>
      <c r="BR8" s="6">
        <v>216</v>
      </c>
      <c r="BS8" s="6">
        <v>300</v>
      </c>
      <c r="BT8" s="6">
        <v>330</v>
      </c>
      <c r="BU8" s="6">
        <v>435</v>
      </c>
      <c r="BV8" s="6">
        <v>525</v>
      </c>
      <c r="BW8" s="6">
        <v>574</v>
      </c>
      <c r="BX8" s="6">
        <v>674</v>
      </c>
      <c r="BY8" s="6">
        <v>796</v>
      </c>
      <c r="BZ8" s="6">
        <v>895</v>
      </c>
      <c r="CA8" s="6">
        <v>940</v>
      </c>
      <c r="CB8" s="6">
        <v>1252</v>
      </c>
      <c r="CC8" s="6">
        <v>1397</v>
      </c>
      <c r="CD8" s="6">
        <v>1576</v>
      </c>
      <c r="CE8" s="6">
        <v>1360</v>
      </c>
      <c r="CF8" s="6">
        <v>1883</v>
      </c>
      <c r="CG8" s="6">
        <v>2126</v>
      </c>
      <c r="CH8" s="6">
        <v>2394</v>
      </c>
      <c r="CI8" s="6">
        <v>2008</v>
      </c>
      <c r="CJ8" s="6">
        <v>2727</v>
      </c>
      <c r="CK8" s="6">
        <v>3205</v>
      </c>
      <c r="CL8" s="6">
        <v>3778</v>
      </c>
      <c r="CM8" s="6">
        <v>3425</v>
      </c>
      <c r="CN8" s="6">
        <v>4423</v>
      </c>
      <c r="CO8" s="6">
        <v>4708</v>
      </c>
      <c r="CP8" s="6">
        <v>5006</v>
      </c>
      <c r="CQ8" s="6">
        <f>+CM8*1.3</f>
        <v>4452.5</v>
      </c>
      <c r="CR8" s="6">
        <f>+CN8*1.3</f>
        <v>5749.9000000000005</v>
      </c>
      <c r="CS8" s="6">
        <f>+CO8*1.3</f>
        <v>6120.4000000000005</v>
      </c>
      <c r="CT8" s="6">
        <f>+CP8*1.3</f>
        <v>6507.8</v>
      </c>
      <c r="CU8" s="6"/>
      <c r="CV8" s="6"/>
      <c r="CW8" s="6"/>
      <c r="CX8" s="6">
        <f t="shared" ref="CX8:CX10" si="41">SUM(BE8:BH8)</f>
        <v>0</v>
      </c>
      <c r="CY8" s="6">
        <f t="shared" ref="CY8:CY10" si="42">SUM(BF8:BI8)</f>
        <v>0</v>
      </c>
      <c r="CZ8" s="6">
        <f t="shared" ref="CZ8:CZ10" si="43">SUM(BG8:BJ8)</f>
        <v>0</v>
      </c>
      <c r="DA8" s="6">
        <f t="shared" ref="DA8:DA10" si="44">SUM(BH8:BK8)</f>
        <v>0</v>
      </c>
      <c r="DB8" s="6">
        <f t="shared" ref="DB8:DB10" si="45">SUM(BI8:BL8)</f>
        <v>0</v>
      </c>
      <c r="DC8" s="6">
        <f t="shared" ref="DC8:DC10" si="46">SUM(BJ8:BM8)</f>
        <v>0</v>
      </c>
      <c r="DD8" s="6">
        <f t="shared" si="23"/>
        <v>0</v>
      </c>
      <c r="DE8" s="6">
        <f t="shared" si="24"/>
        <v>355</v>
      </c>
      <c r="DF8" s="6">
        <f t="shared" si="29"/>
        <v>1590</v>
      </c>
      <c r="DG8" s="6">
        <f t="shared" si="30"/>
        <v>2939</v>
      </c>
      <c r="DH8" s="6">
        <f t="shared" si="31"/>
        <v>5165</v>
      </c>
      <c r="DI8" s="6">
        <f t="shared" si="32"/>
        <v>7763</v>
      </c>
      <c r="DJ8" s="6">
        <f t="shared" si="33"/>
        <v>11718</v>
      </c>
      <c r="DK8" s="6">
        <f t="shared" si="34"/>
        <v>17562</v>
      </c>
      <c r="DL8" s="6">
        <f>+DK8*1.03</f>
        <v>18088.86</v>
      </c>
      <c r="DM8" s="6">
        <f t="shared" ref="DM8:DP8" si="47">+DL8*1.03</f>
        <v>18631.525799999999</v>
      </c>
      <c r="DN8" s="6">
        <f t="shared" si="47"/>
        <v>19190.471573999999</v>
      </c>
      <c r="DO8" s="6">
        <f t="shared" si="47"/>
        <v>19766.185721220001</v>
      </c>
      <c r="DP8" s="6">
        <f t="shared" si="47"/>
        <v>20359.171292856601</v>
      </c>
      <c r="DQ8" s="6">
        <f t="shared" ref="DQ8" si="48">+DP8*1.03</f>
        <v>20969.9464316423</v>
      </c>
      <c r="DR8" s="6">
        <f t="shared" ref="DR8" si="49">+DQ8*1.03</f>
        <v>21599.044824591569</v>
      </c>
      <c r="DS8" s="6">
        <f t="shared" ref="DS8" si="50">+DR8*1.03</f>
        <v>22247.016169329316</v>
      </c>
      <c r="DT8" s="6">
        <f t="shared" ref="DT8" si="51">+DS8*1.03</f>
        <v>22914.426654409195</v>
      </c>
      <c r="DU8" s="6">
        <f t="shared" ref="DU8" si="52">+DT8*1.03</f>
        <v>23601.859454041471</v>
      </c>
    </row>
    <row r="9" spans="1:125" s="5" customFormat="1" x14ac:dyDescent="0.25">
      <c r="B9" s="12" t="s">
        <v>118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59" t="s">
        <v>202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226</v>
      </c>
      <c r="BU9" s="6">
        <v>393</v>
      </c>
      <c r="BV9" s="6">
        <v>493</v>
      </c>
      <c r="BW9" s="6">
        <v>477</v>
      </c>
      <c r="BX9" s="6">
        <v>584</v>
      </c>
      <c r="BY9" s="6">
        <v>545</v>
      </c>
      <c r="BZ9" s="6">
        <v>626</v>
      </c>
      <c r="CA9" s="6">
        <v>641</v>
      </c>
      <c r="CB9" s="6">
        <v>695</v>
      </c>
      <c r="CC9" s="6">
        <v>637</v>
      </c>
      <c r="CD9" s="6">
        <v>642</v>
      </c>
      <c r="CE9" s="6">
        <v>659</v>
      </c>
      <c r="CF9" s="6">
        <v>685</v>
      </c>
      <c r="CG9" s="6">
        <v>620</v>
      </c>
      <c r="CH9" s="6">
        <f>2682-CG9-CF9-CE9</f>
        <v>718</v>
      </c>
      <c r="CI9" s="6">
        <v>633</v>
      </c>
      <c r="CJ9" s="6">
        <v>729</v>
      </c>
      <c r="CK9" s="6">
        <v>671</v>
      </c>
      <c r="CL9" s="6">
        <v>687</v>
      </c>
      <c r="CM9" s="6">
        <v>556</v>
      </c>
      <c r="CN9" s="6">
        <v>692</v>
      </c>
      <c r="CO9" s="6">
        <f t="shared" ref="CO9:CP9" si="53">+CK9*0.97</f>
        <v>650.87</v>
      </c>
      <c r="CP9" s="6">
        <v>717</v>
      </c>
      <c r="CQ9" s="6">
        <f>+CM9*1.1</f>
        <v>611.6</v>
      </c>
      <c r="CR9" s="6">
        <f t="shared" ref="CR9:CR10" si="54">+CN9*1.1</f>
        <v>761.2</v>
      </c>
      <c r="CS9" s="6">
        <f t="shared" ref="CS9:CS10" si="55">+CO9*1.1</f>
        <v>715.95700000000011</v>
      </c>
      <c r="CT9" s="6">
        <f t="shared" ref="CT9:CT10" si="56">+CP9*1.1</f>
        <v>788.7</v>
      </c>
      <c r="CU9" s="6"/>
      <c r="CV9" s="6"/>
      <c r="CW9" s="6"/>
      <c r="CX9" s="6">
        <f t="shared" si="41"/>
        <v>0</v>
      </c>
      <c r="CY9" s="6">
        <f t="shared" si="42"/>
        <v>0</v>
      </c>
      <c r="CZ9" s="6">
        <f t="shared" si="43"/>
        <v>0</v>
      </c>
      <c r="DA9" s="6">
        <f t="shared" si="44"/>
        <v>0</v>
      </c>
      <c r="DB9" s="6">
        <f t="shared" si="45"/>
        <v>0</v>
      </c>
      <c r="DC9" s="6">
        <f t="shared" si="46"/>
        <v>0</v>
      </c>
      <c r="DD9" s="6">
        <f t="shared" si="23"/>
        <v>0</v>
      </c>
      <c r="DE9" s="6">
        <f t="shared" si="24"/>
        <v>0</v>
      </c>
      <c r="DF9" s="6">
        <f t="shared" si="29"/>
        <v>1112</v>
      </c>
      <c r="DG9" s="6">
        <f t="shared" si="30"/>
        <v>2232</v>
      </c>
      <c r="DH9" s="6">
        <f t="shared" si="31"/>
        <v>2615</v>
      </c>
      <c r="DI9" s="6">
        <f t="shared" si="32"/>
        <v>2682</v>
      </c>
      <c r="DJ9" s="6">
        <f t="shared" si="33"/>
        <v>2720</v>
      </c>
      <c r="DK9" s="6">
        <f t="shared" si="34"/>
        <v>2615.87</v>
      </c>
      <c r="DL9" s="6">
        <f t="shared" ref="DL9:DP9" si="57">+DK9*1.05</f>
        <v>2746.6635000000001</v>
      </c>
      <c r="DM9" s="6">
        <f t="shared" si="57"/>
        <v>2883.9966750000003</v>
      </c>
      <c r="DN9" s="6">
        <f t="shared" si="57"/>
        <v>3028.1965087500002</v>
      </c>
      <c r="DO9" s="6">
        <f t="shared" si="57"/>
        <v>3179.6063341875006</v>
      </c>
      <c r="DP9" s="6">
        <f t="shared" si="57"/>
        <v>3338.5866508968757</v>
      </c>
      <c r="DQ9" s="6">
        <f t="shared" ref="DQ9:DQ10" si="58">+DP9*1.05</f>
        <v>3505.5159834417195</v>
      </c>
      <c r="DR9" s="6">
        <f t="shared" ref="DR9:DR10" si="59">+DQ9*1.05</f>
        <v>3680.7917826138055</v>
      </c>
      <c r="DS9" s="6">
        <f t="shared" ref="DS9:DS10" si="60">+DR9*1.05</f>
        <v>3864.8313717444958</v>
      </c>
      <c r="DT9" s="6">
        <f t="shared" ref="DT9:DT10" si="61">+DS9*1.05</f>
        <v>4058.0729403317209</v>
      </c>
      <c r="DU9" s="6">
        <f t="shared" ref="DU9:DU10" si="62">+DT9*1.05</f>
        <v>4260.9765873483075</v>
      </c>
    </row>
    <row r="10" spans="1:125" s="5" customFormat="1" x14ac:dyDescent="0.25">
      <c r="B10" s="12" t="s">
        <v>121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59" t="s">
        <v>202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297</v>
      </c>
      <c r="BU10" s="6">
        <v>523</v>
      </c>
      <c r="BV10" s="6">
        <v>567</v>
      </c>
      <c r="BW10" s="6">
        <v>532</v>
      </c>
      <c r="BX10" s="6">
        <v>603</v>
      </c>
      <c r="BY10" s="6">
        <v>645</v>
      </c>
      <c r="BZ10" s="6">
        <v>671</v>
      </c>
      <c r="CA10" s="6">
        <v>614</v>
      </c>
      <c r="CB10" s="6">
        <v>678</v>
      </c>
      <c r="CC10" s="6">
        <v>699</v>
      </c>
      <c r="CD10" s="6">
        <v>728</v>
      </c>
      <c r="CE10" s="6">
        <v>719</v>
      </c>
      <c r="CF10" s="6">
        <v>748</v>
      </c>
      <c r="CG10" s="6">
        <v>748</v>
      </c>
      <c r="CH10" s="6">
        <f>2991-CG10-CF10-CE10</f>
        <v>776</v>
      </c>
      <c r="CI10" s="6">
        <v>748</v>
      </c>
      <c r="CJ10" s="6">
        <v>814</v>
      </c>
      <c r="CK10" s="6">
        <v>848</v>
      </c>
      <c r="CL10" s="6">
        <v>873</v>
      </c>
      <c r="CM10" s="6">
        <v>866</v>
      </c>
      <c r="CN10" s="6">
        <v>928</v>
      </c>
      <c r="CO10" s="6">
        <f>+CK10*1.1</f>
        <v>932.80000000000007</v>
      </c>
      <c r="CP10" s="6">
        <v>990</v>
      </c>
      <c r="CQ10" s="6">
        <f t="shared" ref="CQ10" si="63">+CM10*1.1</f>
        <v>952.6</v>
      </c>
      <c r="CR10" s="6">
        <f t="shared" si="54"/>
        <v>1020.8000000000001</v>
      </c>
      <c r="CS10" s="6">
        <f t="shared" si="55"/>
        <v>1026.0800000000002</v>
      </c>
      <c r="CT10" s="6">
        <f t="shared" si="56"/>
        <v>1089</v>
      </c>
      <c r="CU10" s="6"/>
      <c r="CV10" s="6"/>
      <c r="CW10" s="6"/>
      <c r="CX10" s="6">
        <f t="shared" si="41"/>
        <v>0</v>
      </c>
      <c r="CY10" s="6">
        <f t="shared" si="42"/>
        <v>0</v>
      </c>
      <c r="CZ10" s="6">
        <f t="shared" si="43"/>
        <v>0</v>
      </c>
      <c r="DA10" s="6">
        <f t="shared" si="44"/>
        <v>0</v>
      </c>
      <c r="DB10" s="6">
        <f t="shared" si="45"/>
        <v>0</v>
      </c>
      <c r="DC10" s="6">
        <f t="shared" si="46"/>
        <v>0</v>
      </c>
      <c r="DD10" s="6">
        <f t="shared" si="23"/>
        <v>0</v>
      </c>
      <c r="DE10" s="6">
        <f t="shared" si="24"/>
        <v>0</v>
      </c>
      <c r="DF10" s="6">
        <f t="shared" si="29"/>
        <v>1387</v>
      </c>
      <c r="DG10" s="6">
        <f t="shared" si="30"/>
        <v>2451</v>
      </c>
      <c r="DH10" s="6">
        <f t="shared" si="31"/>
        <v>2719</v>
      </c>
      <c r="DI10" s="6">
        <f t="shared" si="32"/>
        <v>2991</v>
      </c>
      <c r="DJ10" s="6">
        <f t="shared" si="33"/>
        <v>3283</v>
      </c>
      <c r="DK10" s="6">
        <f t="shared" si="34"/>
        <v>3716.8</v>
      </c>
      <c r="DL10" s="6">
        <f t="shared" ref="DL10:DP10" si="64">+DK10*1.05</f>
        <v>3902.6400000000003</v>
      </c>
      <c r="DM10" s="6">
        <f t="shared" si="64"/>
        <v>4097.7720000000008</v>
      </c>
      <c r="DN10" s="6">
        <f t="shared" si="64"/>
        <v>4302.6606000000011</v>
      </c>
      <c r="DO10" s="6">
        <f t="shared" si="64"/>
        <v>4517.793630000001</v>
      </c>
      <c r="DP10" s="6">
        <f t="shared" si="64"/>
        <v>4743.6833115000009</v>
      </c>
      <c r="DQ10" s="6">
        <f t="shared" si="58"/>
        <v>4980.8674770750013</v>
      </c>
      <c r="DR10" s="6">
        <f t="shared" si="59"/>
        <v>5229.9108509287516</v>
      </c>
      <c r="DS10" s="6">
        <f t="shared" si="60"/>
        <v>5491.4063934751894</v>
      </c>
      <c r="DT10" s="6">
        <f t="shared" si="61"/>
        <v>5765.9767131489489</v>
      </c>
      <c r="DU10" s="6">
        <f t="shared" si="62"/>
        <v>6054.2755488063967</v>
      </c>
    </row>
    <row r="11" spans="1:125" s="5" customFormat="1" x14ac:dyDescent="0.25">
      <c r="B11" s="79" t="s">
        <v>644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59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/>
      <c r="DG11" s="6"/>
      <c r="DH11" s="6"/>
      <c r="DI11" s="6"/>
      <c r="DJ11" s="6"/>
      <c r="DK11" s="6"/>
      <c r="DL11" s="6">
        <v>500</v>
      </c>
      <c r="DM11" s="6">
        <v>1000</v>
      </c>
      <c r="DN11" s="6">
        <v>1250</v>
      </c>
      <c r="DO11" s="6">
        <v>1500</v>
      </c>
      <c r="DP11" s="6">
        <v>1750</v>
      </c>
      <c r="DQ11" s="6">
        <v>2000</v>
      </c>
      <c r="DR11" s="6">
        <v>2200</v>
      </c>
      <c r="DS11" s="6">
        <v>2400</v>
      </c>
      <c r="DT11" s="6">
        <v>2600</v>
      </c>
      <c r="DU11" s="6">
        <v>2800</v>
      </c>
    </row>
    <row r="12" spans="1:125" s="5" customFormat="1" x14ac:dyDescent="0.25">
      <c r="B12" s="47" t="s">
        <v>117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96</v>
      </c>
      <c r="BN12" s="6">
        <v>124</v>
      </c>
      <c r="BO12" s="6">
        <v>151</v>
      </c>
      <c r="BP12" s="6">
        <v>169</v>
      </c>
      <c r="BQ12" s="6">
        <v>221</v>
      </c>
      <c r="BR12" s="6">
        <v>251</v>
      </c>
      <c r="BS12" s="6">
        <v>317</v>
      </c>
      <c r="BT12" s="6">
        <v>303</v>
      </c>
      <c r="BU12" s="6">
        <v>352</v>
      </c>
      <c r="BV12" s="6">
        <v>365</v>
      </c>
      <c r="BW12" s="6">
        <v>405</v>
      </c>
      <c r="BX12" s="6">
        <v>435</v>
      </c>
      <c r="BY12" s="6">
        <v>492</v>
      </c>
      <c r="BZ12" s="6">
        <v>488</v>
      </c>
      <c r="CA12" s="6">
        <v>473</v>
      </c>
      <c r="CB12" s="6">
        <v>505</v>
      </c>
      <c r="CC12" s="6">
        <v>515</v>
      </c>
      <c r="CD12" s="6">
        <v>516</v>
      </c>
      <c r="CE12" s="6">
        <v>538</v>
      </c>
      <c r="CF12" s="6">
        <v>571</v>
      </c>
      <c r="CG12" s="6">
        <v>590</v>
      </c>
      <c r="CH12" s="6">
        <v>589</v>
      </c>
      <c r="CI12" s="6">
        <v>614</v>
      </c>
      <c r="CJ12" s="6">
        <v>637</v>
      </c>
      <c r="CK12" s="6">
        <v>677</v>
      </c>
      <c r="CL12" s="6">
        <v>655</v>
      </c>
      <c r="CM12" s="6">
        <v>665</v>
      </c>
      <c r="CN12" s="6">
        <v>691</v>
      </c>
      <c r="CO12" s="6">
        <v>726</v>
      </c>
      <c r="CP12" s="6">
        <v>710</v>
      </c>
      <c r="CQ12" s="6">
        <f t="shared" ref="CQ12" si="65">+CM12*1.1</f>
        <v>731.50000000000011</v>
      </c>
      <c r="CR12" s="6">
        <f t="shared" ref="CR12" si="66">+CN12*1.1</f>
        <v>760.1</v>
      </c>
      <c r="CS12" s="6">
        <f t="shared" ref="CS12" si="67">+CO12*1.1</f>
        <v>798.6</v>
      </c>
      <c r="CT12" s="6">
        <f t="shared" ref="CT12" si="68">+CP12*1.1</f>
        <v>781.00000000000011</v>
      </c>
      <c r="CU12" s="6"/>
      <c r="CV12" s="6"/>
      <c r="CW12" s="6"/>
      <c r="CX12" s="6">
        <v>0</v>
      </c>
      <c r="CY12" s="6">
        <v>0</v>
      </c>
      <c r="CZ12" s="6">
        <v>0</v>
      </c>
      <c r="DA12" s="6"/>
      <c r="DB12" s="6"/>
      <c r="DC12" s="6"/>
      <c r="DD12" s="6">
        <f t="shared" si="23"/>
        <v>220</v>
      </c>
      <c r="DE12" s="6">
        <f t="shared" si="24"/>
        <v>792</v>
      </c>
      <c r="DF12" s="6">
        <f t="shared" si="29"/>
        <v>1337</v>
      </c>
      <c r="DG12" s="6">
        <f t="shared" si="30"/>
        <v>1820</v>
      </c>
      <c r="DH12" s="6">
        <f t="shared" si="31"/>
        <v>2009</v>
      </c>
      <c r="DI12" s="6">
        <f t="shared" si="32"/>
        <v>2288</v>
      </c>
      <c r="DJ12" s="6">
        <f t="shared" si="33"/>
        <v>2583</v>
      </c>
      <c r="DK12" s="6">
        <f t="shared" si="34"/>
        <v>2792</v>
      </c>
      <c r="DL12" s="6">
        <f t="shared" ref="DL12:DO12" si="69">+DK12*1.03</f>
        <v>2875.76</v>
      </c>
      <c r="DM12" s="6">
        <f t="shared" si="69"/>
        <v>2962.0328000000004</v>
      </c>
      <c r="DN12" s="6">
        <f t="shared" si="69"/>
        <v>3050.8937840000003</v>
      </c>
      <c r="DO12" s="6">
        <f t="shared" si="69"/>
        <v>3142.4205975200002</v>
      </c>
      <c r="DP12" s="5">
        <f>+DO12*0.1</f>
        <v>314.24205975200005</v>
      </c>
      <c r="DQ12" s="5">
        <f t="shared" ref="DQ12:DU14" si="70">+DP12*0.1</f>
        <v>31.424205975200007</v>
      </c>
      <c r="DR12" s="5">
        <f t="shared" si="70"/>
        <v>3.142420597520001</v>
      </c>
      <c r="DS12" s="5">
        <f t="shared" si="70"/>
        <v>0.31424205975200015</v>
      </c>
      <c r="DT12" s="5">
        <f t="shared" si="70"/>
        <v>3.1424205975200015E-2</v>
      </c>
      <c r="DU12" s="5">
        <f t="shared" si="70"/>
        <v>3.1424205975200017E-3</v>
      </c>
    </row>
    <row r="13" spans="1:125" s="5" customFormat="1" x14ac:dyDescent="0.25">
      <c r="B13" s="12" t="s">
        <v>115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">
        <v>14</v>
      </c>
      <c r="BR13" s="6">
        <v>33</v>
      </c>
      <c r="BS13" s="6">
        <v>86</v>
      </c>
      <c r="BT13" s="6">
        <v>149</v>
      </c>
      <c r="BU13" s="6">
        <v>215</v>
      </c>
      <c r="BV13" s="6">
        <v>281</v>
      </c>
      <c r="BW13" s="6">
        <v>303</v>
      </c>
      <c r="BX13" s="6">
        <v>378</v>
      </c>
      <c r="BY13" s="6">
        <v>453</v>
      </c>
      <c r="BZ13" s="6">
        <v>517</v>
      </c>
      <c r="CA13" s="6">
        <v>465</v>
      </c>
      <c r="CB13" s="6">
        <v>592</v>
      </c>
      <c r="CC13" s="6">
        <v>695</v>
      </c>
      <c r="CD13" s="6">
        <v>770</v>
      </c>
      <c r="CE13" s="6">
        <v>686</v>
      </c>
      <c r="CF13" s="6">
        <v>918</v>
      </c>
      <c r="CG13" s="6">
        <v>1110</v>
      </c>
      <c r="CH13" s="6">
        <v>1255</v>
      </c>
      <c r="CI13" s="6">
        <v>1093</v>
      </c>
      <c r="CJ13" s="6">
        <v>1430</v>
      </c>
      <c r="CK13" s="6">
        <v>1614</v>
      </c>
      <c r="CL13" s="6">
        <v>1834</v>
      </c>
      <c r="CM13" s="6">
        <v>1718</v>
      </c>
      <c r="CN13" s="6">
        <v>2028</v>
      </c>
      <c r="CO13" s="6">
        <v>2184</v>
      </c>
      <c r="CP13" s="6">
        <v>2374</v>
      </c>
      <c r="CQ13" s="6">
        <f>+CM13*1.2</f>
        <v>2061.6</v>
      </c>
      <c r="CR13" s="6">
        <f t="shared" ref="CR13:CR14" si="71">+CN13*1.2</f>
        <v>2433.6</v>
      </c>
      <c r="CS13" s="6">
        <f t="shared" ref="CS13:CS14" si="72">+CO13*1.2</f>
        <v>2620.7999999999997</v>
      </c>
      <c r="CT13" s="6">
        <f t="shared" ref="CT13:CT14" si="73">+CP13*1.2</f>
        <v>2848.7999999999997</v>
      </c>
      <c r="CU13" s="6"/>
      <c r="CV13" s="6"/>
      <c r="CW13" s="6"/>
      <c r="CX13" s="6">
        <f t="shared" ref="CX13:CX15" si="74">SUM(BE13:BH13)</f>
        <v>0</v>
      </c>
      <c r="CY13" s="6">
        <f t="shared" ref="CY13:CY15" si="75">SUM(BF13:BI13)</f>
        <v>0</v>
      </c>
      <c r="CZ13" s="6">
        <f t="shared" ref="CZ13:CZ15" si="76">SUM(BG13:BJ13)</f>
        <v>0</v>
      </c>
      <c r="DA13" s="6">
        <f t="shared" ref="DA13:DA15" si="77">SUM(BH13:BK13)</f>
        <v>0</v>
      </c>
      <c r="DB13" s="6">
        <f t="shared" ref="DB13:DB15" si="78">SUM(BI13:BL13)</f>
        <v>0</v>
      </c>
      <c r="DC13" s="6">
        <f t="shared" ref="DC13:DC15" si="79">SUM(BJ13:BM13)</f>
        <v>0</v>
      </c>
      <c r="DD13" s="6">
        <f t="shared" si="23"/>
        <v>0</v>
      </c>
      <c r="DE13" s="6">
        <f t="shared" si="24"/>
        <v>47</v>
      </c>
      <c r="DF13" s="6">
        <f t="shared" si="29"/>
        <v>731</v>
      </c>
      <c r="DG13" s="6">
        <f t="shared" si="30"/>
        <v>1651</v>
      </c>
      <c r="DH13" s="6">
        <f t="shared" si="31"/>
        <v>2522</v>
      </c>
      <c r="DI13" s="6">
        <f t="shared" si="32"/>
        <v>3969</v>
      </c>
      <c r="DJ13" s="6">
        <f>SUM(CI13:CL13)</f>
        <v>5971</v>
      </c>
      <c r="DK13" s="6">
        <f t="shared" si="34"/>
        <v>8304</v>
      </c>
      <c r="DL13" s="6">
        <f>+DK13*1.2</f>
        <v>9964.7999999999993</v>
      </c>
      <c r="DM13" s="6">
        <f>+DL13*1.2</f>
        <v>11957.759999999998</v>
      </c>
      <c r="DN13" s="6">
        <f t="shared" ref="DN13:DP13" si="80">+DM13*1.03</f>
        <v>12316.492799999998</v>
      </c>
      <c r="DO13" s="6">
        <f t="shared" si="80"/>
        <v>12685.987583999999</v>
      </c>
      <c r="DP13" s="6">
        <f t="shared" si="80"/>
        <v>13066.56721152</v>
      </c>
      <c r="DQ13" s="5">
        <f t="shared" si="70"/>
        <v>1306.656721152</v>
      </c>
      <c r="DR13" s="5">
        <f t="shared" si="70"/>
        <v>130.66567211520001</v>
      </c>
      <c r="DS13" s="5">
        <f t="shared" si="70"/>
        <v>13.066567211520002</v>
      </c>
      <c r="DT13" s="5">
        <f t="shared" si="70"/>
        <v>1.3066567211520004</v>
      </c>
      <c r="DU13" s="5">
        <f t="shared" si="70"/>
        <v>0.13066567211520005</v>
      </c>
    </row>
    <row r="14" spans="1:125" s="5" customFormat="1" x14ac:dyDescent="0.25">
      <c r="B14" s="12" t="s">
        <v>124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59" t="s">
        <v>202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192</v>
      </c>
      <c r="BU14" s="6">
        <v>358</v>
      </c>
      <c r="BV14" s="6">
        <v>401</v>
      </c>
      <c r="BW14" s="6">
        <v>346</v>
      </c>
      <c r="BX14" s="6">
        <v>432</v>
      </c>
      <c r="BY14" s="6">
        <v>461</v>
      </c>
      <c r="BZ14" s="6">
        <v>489</v>
      </c>
      <c r="CA14" s="6">
        <v>427</v>
      </c>
      <c r="CB14" s="6">
        <v>492</v>
      </c>
      <c r="CC14" s="6">
        <v>554</v>
      </c>
      <c r="CD14" s="6">
        <v>565</v>
      </c>
      <c r="CE14" s="6">
        <v>561</v>
      </c>
      <c r="CF14" s="6">
        <v>658</v>
      </c>
      <c r="CG14" s="6">
        <v>751</v>
      </c>
      <c r="CH14" s="6">
        <v>789</v>
      </c>
      <c r="CI14" s="6">
        <v>694</v>
      </c>
      <c r="CJ14" s="6">
        <v>774</v>
      </c>
      <c r="CK14" s="6">
        <v>875</v>
      </c>
      <c r="CL14" s="6">
        <v>924</v>
      </c>
      <c r="CM14" s="6">
        <v>765</v>
      </c>
      <c r="CN14" s="6">
        <v>900</v>
      </c>
      <c r="CO14" s="6">
        <v>934</v>
      </c>
      <c r="CP14" s="6">
        <v>1022</v>
      </c>
      <c r="CQ14" s="6">
        <f t="shared" ref="CQ14" si="81">+CM14*1.2</f>
        <v>918</v>
      </c>
      <c r="CR14" s="6">
        <f t="shared" si="71"/>
        <v>1080</v>
      </c>
      <c r="CS14" s="6">
        <f t="shared" si="72"/>
        <v>1120.8</v>
      </c>
      <c r="CT14" s="6">
        <f t="shared" si="73"/>
        <v>1226.3999999999999</v>
      </c>
      <c r="CU14" s="6"/>
      <c r="CV14" s="6"/>
      <c r="CW14" s="6"/>
      <c r="CX14" s="6">
        <f t="shared" si="74"/>
        <v>0</v>
      </c>
      <c r="CY14" s="6">
        <f t="shared" si="75"/>
        <v>0</v>
      </c>
      <c r="CZ14" s="6">
        <f t="shared" si="76"/>
        <v>0</v>
      </c>
      <c r="DA14" s="6">
        <f t="shared" si="77"/>
        <v>0</v>
      </c>
      <c r="DB14" s="6">
        <f t="shared" si="78"/>
        <v>0</v>
      </c>
      <c r="DC14" s="6">
        <f t="shared" si="79"/>
        <v>0</v>
      </c>
      <c r="DD14" s="6">
        <f t="shared" si="23"/>
        <v>0</v>
      </c>
      <c r="DE14" s="6">
        <f t="shared" si="24"/>
        <v>0</v>
      </c>
      <c r="DF14" s="6">
        <f t="shared" si="29"/>
        <v>951</v>
      </c>
      <c r="DG14" s="6">
        <f t="shared" si="30"/>
        <v>1728</v>
      </c>
      <c r="DH14" s="6">
        <f t="shared" si="31"/>
        <v>2038</v>
      </c>
      <c r="DI14" s="6">
        <f t="shared" si="32"/>
        <v>2759</v>
      </c>
      <c r="DJ14" s="6">
        <f t="shared" si="33"/>
        <v>3267</v>
      </c>
      <c r="DK14" s="6">
        <f t="shared" si="34"/>
        <v>3621</v>
      </c>
      <c r="DL14" s="6">
        <f t="shared" ref="DL14:DO14" si="82">+DK14*1.03</f>
        <v>3729.63</v>
      </c>
      <c r="DM14" s="6">
        <f t="shared" si="82"/>
        <v>3841.5189</v>
      </c>
      <c r="DN14" s="6">
        <f t="shared" si="82"/>
        <v>3956.764467</v>
      </c>
      <c r="DO14" s="6">
        <f t="shared" si="82"/>
        <v>4075.4674010100002</v>
      </c>
      <c r="DP14" s="5">
        <f t="shared" ref="DP14" si="83">+DO14*0.1</f>
        <v>407.54674010100007</v>
      </c>
      <c r="DQ14" s="5">
        <f t="shared" si="70"/>
        <v>40.754674010100011</v>
      </c>
      <c r="DR14" s="5">
        <f t="shared" si="70"/>
        <v>4.0754674010100009</v>
      </c>
      <c r="DS14" s="5">
        <f t="shared" si="70"/>
        <v>0.40754674010100012</v>
      </c>
      <c r="DT14" s="5">
        <f t="shared" si="70"/>
        <v>4.0754674010100016E-2</v>
      </c>
      <c r="DU14" s="5">
        <f t="shared" si="70"/>
        <v>4.0754674010100014E-3</v>
      </c>
    </row>
    <row r="15" spans="1:125" s="5" customFormat="1" x14ac:dyDescent="0.25">
      <c r="B15" s="12" t="s">
        <v>119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59" t="s">
        <v>202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113</v>
      </c>
      <c r="BU15" s="6">
        <v>274</v>
      </c>
      <c r="BV15" s="6">
        <v>331</v>
      </c>
      <c r="BW15" s="6">
        <v>321</v>
      </c>
      <c r="BX15" s="6">
        <v>428</v>
      </c>
      <c r="BY15" s="6">
        <v>354</v>
      </c>
      <c r="BZ15" s="6">
        <v>252</v>
      </c>
      <c r="CA15" s="6">
        <v>410</v>
      </c>
      <c r="CB15" s="6">
        <v>344</v>
      </c>
      <c r="CC15" s="6">
        <v>352</v>
      </c>
      <c r="CD15" s="6">
        <v>322</v>
      </c>
      <c r="CE15" s="6">
        <v>355</v>
      </c>
      <c r="CF15" s="6">
        <v>368</v>
      </c>
      <c r="CG15" s="6">
        <v>321</v>
      </c>
      <c r="CH15" s="6">
        <v>334</v>
      </c>
      <c r="CI15" s="6">
        <v>297</v>
      </c>
      <c r="CJ15" s="6">
        <v>343</v>
      </c>
      <c r="CK15" s="6">
        <v>258</v>
      </c>
      <c r="CL15" s="6">
        <v>279</v>
      </c>
      <c r="CM15" s="6">
        <v>231</v>
      </c>
      <c r="CN15" s="6">
        <v>260</v>
      </c>
      <c r="CO15" s="6">
        <v>253</v>
      </c>
      <c r="CP15" s="6">
        <v>249</v>
      </c>
      <c r="CQ15" s="6">
        <f>+CM15</f>
        <v>231</v>
      </c>
      <c r="CR15" s="6">
        <f t="shared" ref="CR15:CR19" si="84">+CN15</f>
        <v>260</v>
      </c>
      <c r="CS15" s="6">
        <f t="shared" ref="CS15:CS19" si="85">+CO15</f>
        <v>253</v>
      </c>
      <c r="CT15" s="6">
        <f t="shared" ref="CT15:CT19" si="86">+CP15</f>
        <v>249</v>
      </c>
      <c r="CU15" s="6"/>
      <c r="CV15" s="6"/>
      <c r="CW15" s="6"/>
      <c r="CX15" s="6">
        <f t="shared" si="74"/>
        <v>0</v>
      </c>
      <c r="CY15" s="6">
        <f t="shared" si="75"/>
        <v>0</v>
      </c>
      <c r="CZ15" s="6">
        <f t="shared" si="76"/>
        <v>0</v>
      </c>
      <c r="DA15" s="6">
        <f t="shared" si="77"/>
        <v>0</v>
      </c>
      <c r="DB15" s="6">
        <f t="shared" si="78"/>
        <v>0</v>
      </c>
      <c r="DC15" s="6">
        <f t="shared" si="79"/>
        <v>0</v>
      </c>
      <c r="DD15" s="6">
        <f t="shared" si="23"/>
        <v>0</v>
      </c>
      <c r="DE15" s="6">
        <f t="shared" si="24"/>
        <v>0</v>
      </c>
      <c r="DF15" s="6">
        <f t="shared" si="29"/>
        <v>718</v>
      </c>
      <c r="DG15" s="6">
        <f t="shared" si="30"/>
        <v>1355</v>
      </c>
      <c r="DH15" s="6">
        <f t="shared" si="31"/>
        <v>1428</v>
      </c>
      <c r="DI15" s="6">
        <f t="shared" si="32"/>
        <v>1378</v>
      </c>
      <c r="DJ15" s="6">
        <f t="shared" si="33"/>
        <v>1177</v>
      </c>
      <c r="DK15" s="6">
        <f t="shared" si="34"/>
        <v>993</v>
      </c>
      <c r="DL15" s="6">
        <f t="shared" ref="DL15:DP15" si="87">+DK15*1.05</f>
        <v>1042.6500000000001</v>
      </c>
      <c r="DM15" s="6">
        <f t="shared" si="87"/>
        <v>1094.7825000000003</v>
      </c>
      <c r="DN15" s="6">
        <f t="shared" si="87"/>
        <v>1149.5216250000003</v>
      </c>
      <c r="DO15" s="6">
        <f t="shared" si="87"/>
        <v>1206.9977062500004</v>
      </c>
      <c r="DP15" s="6">
        <f t="shared" si="87"/>
        <v>1267.3475915625004</v>
      </c>
      <c r="DQ15" s="6">
        <f t="shared" ref="DQ15" si="88">+DP15*1.05</f>
        <v>1330.7149711406255</v>
      </c>
      <c r="DR15" s="6">
        <f t="shared" ref="DR15" si="89">+DQ15*1.05</f>
        <v>1397.2507196976569</v>
      </c>
      <c r="DS15" s="6">
        <f t="shared" ref="DS15" si="90">+DR15*1.05</f>
        <v>1467.1132556825398</v>
      </c>
      <c r="DT15" s="6">
        <f t="shared" ref="DT15" si="91">+DS15*1.05</f>
        <v>1540.468918466667</v>
      </c>
      <c r="DU15" s="6">
        <f t="shared" ref="DU15" si="92">+DT15*1.05</f>
        <v>1617.4923643900004</v>
      </c>
    </row>
    <row r="16" spans="1:125" s="5" customFormat="1" x14ac:dyDescent="0.25">
      <c r="B16" s="12" t="s">
        <v>132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>
        <v>0</v>
      </c>
      <c r="BH16" s="6">
        <v>0</v>
      </c>
      <c r="BI16" s="6">
        <v>276</v>
      </c>
      <c r="BJ16" s="6">
        <v>510</v>
      </c>
      <c r="BK16" s="6">
        <v>919</v>
      </c>
      <c r="BL16" s="6">
        <v>973</v>
      </c>
      <c r="BM16" s="6">
        <v>839</v>
      </c>
      <c r="BN16" s="6">
        <v>819</v>
      </c>
      <c r="BO16" s="6">
        <v>790</v>
      </c>
      <c r="BP16" s="6">
        <v>780</v>
      </c>
      <c r="BQ16" s="6">
        <v>695</v>
      </c>
      <c r="BR16" s="6">
        <v>628</v>
      </c>
      <c r="BS16" s="6">
        <v>559</v>
      </c>
      <c r="BT16" s="6">
        <v>376</v>
      </c>
      <c r="BU16" s="6">
        <v>414</v>
      </c>
      <c r="BV16" s="6">
        <v>481</v>
      </c>
      <c r="BW16" s="6">
        <v>415</v>
      </c>
      <c r="BX16" s="6">
        <v>442</v>
      </c>
      <c r="BY16" s="6">
        <v>426</v>
      </c>
      <c r="BZ16" s="6">
        <v>427</v>
      </c>
      <c r="CA16" s="6">
        <v>380</v>
      </c>
      <c r="CB16" s="6">
        <v>398</v>
      </c>
      <c r="CC16" s="6">
        <v>383</v>
      </c>
      <c r="CD16" s="6">
        <v>380</v>
      </c>
      <c r="CE16" s="6">
        <v>364</v>
      </c>
      <c r="CF16" s="6">
        <v>387</v>
      </c>
      <c r="CG16" s="6">
        <v>370</v>
      </c>
      <c r="CH16" s="6">
        <v>309</v>
      </c>
      <c r="CI16" s="6">
        <v>349</v>
      </c>
      <c r="CJ16" s="6">
        <v>369</v>
      </c>
      <c r="CK16" s="6">
        <v>302</v>
      </c>
      <c r="CL16" s="6">
        <v>291</v>
      </c>
      <c r="CM16" s="6">
        <v>306</v>
      </c>
      <c r="CN16" s="6">
        <v>375</v>
      </c>
      <c r="CO16" s="6">
        <v>312</v>
      </c>
      <c r="CP16" s="6">
        <v>324</v>
      </c>
      <c r="CQ16" s="6">
        <f t="shared" ref="CQ16:CQ19" si="93">+CM16</f>
        <v>306</v>
      </c>
      <c r="CR16" s="6">
        <f t="shared" si="84"/>
        <v>375</v>
      </c>
      <c r="CS16" s="6">
        <f t="shared" si="85"/>
        <v>312</v>
      </c>
      <c r="CT16" s="6">
        <f t="shared" si="86"/>
        <v>324</v>
      </c>
      <c r="CU16" s="6"/>
      <c r="CV16" s="6"/>
      <c r="CW16" s="6"/>
      <c r="CX16" s="6"/>
      <c r="CY16" s="6"/>
      <c r="CZ16" s="6"/>
      <c r="DA16" s="6"/>
      <c r="DB16" s="6"/>
      <c r="DC16" s="6"/>
      <c r="DD16" s="6">
        <f t="shared" si="23"/>
        <v>3550</v>
      </c>
      <c r="DE16" s="6">
        <f t="shared" si="24"/>
        <v>2893</v>
      </c>
      <c r="DF16" s="6">
        <f t="shared" si="29"/>
        <v>1830</v>
      </c>
      <c r="DG16" s="6">
        <f t="shared" si="30"/>
        <v>1710</v>
      </c>
      <c r="DH16" s="6">
        <f t="shared" si="31"/>
        <v>1541</v>
      </c>
      <c r="DI16" s="6">
        <f t="shared" si="32"/>
        <v>1430</v>
      </c>
      <c r="DJ16" s="6">
        <f t="shared" si="33"/>
        <v>1311</v>
      </c>
      <c r="DK16" s="6">
        <f t="shared" si="34"/>
        <v>1317</v>
      </c>
      <c r="DL16" s="6">
        <f t="shared" ref="DL16:DP16" si="94">+DK16*0.7</f>
        <v>921.9</v>
      </c>
      <c r="DM16" s="6">
        <f t="shared" si="94"/>
        <v>645.32999999999993</v>
      </c>
      <c r="DN16" s="6">
        <f t="shared" si="94"/>
        <v>451.73099999999994</v>
      </c>
      <c r="DO16" s="6">
        <f t="shared" si="94"/>
        <v>316.21169999999995</v>
      </c>
      <c r="DP16" s="6">
        <f t="shared" si="94"/>
        <v>221.34818999999996</v>
      </c>
      <c r="DQ16" s="6">
        <f t="shared" ref="DQ16" si="95">+DP16*0.7</f>
        <v>154.94373299999995</v>
      </c>
      <c r="DR16" s="6">
        <f t="shared" ref="DR16" si="96">+DQ16*0.7</f>
        <v>108.46061309999996</v>
      </c>
      <c r="DS16" s="6">
        <f t="shared" ref="DS16" si="97">+DR16*0.7</f>
        <v>75.922429169999972</v>
      </c>
      <c r="DT16" s="6">
        <f t="shared" ref="DT16" si="98">+DS16*0.7</f>
        <v>53.145700418999979</v>
      </c>
      <c r="DU16" s="6">
        <f t="shared" ref="DU16" si="99">+DT16*0.7</f>
        <v>37.201990293299986</v>
      </c>
    </row>
    <row r="17" spans="2:125" s="5" customFormat="1" x14ac:dyDescent="0.25">
      <c r="B17" s="12" t="s">
        <v>120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59" t="s">
        <v>202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142</v>
      </c>
      <c r="BU17" s="6">
        <v>300</v>
      </c>
      <c r="BV17" s="6">
        <v>318</v>
      </c>
      <c r="BW17" s="6">
        <v>343</v>
      </c>
      <c r="BX17" s="6">
        <v>422</v>
      </c>
      <c r="BY17" s="6">
        <v>352</v>
      </c>
      <c r="BZ17" s="6">
        <v>349</v>
      </c>
      <c r="CA17" s="6">
        <v>323</v>
      </c>
      <c r="CB17" s="6">
        <v>332</v>
      </c>
      <c r="CC17" s="6">
        <v>312</v>
      </c>
      <c r="CD17" s="6">
        <v>323</v>
      </c>
      <c r="CE17" s="6">
        <v>286</v>
      </c>
      <c r="CF17" s="6">
        <v>331</v>
      </c>
      <c r="CG17" s="6">
        <v>298</v>
      </c>
      <c r="CH17" s="6">
        <v>319</v>
      </c>
      <c r="CI17" s="6">
        <v>319</v>
      </c>
      <c r="CJ17" s="6">
        <v>318</v>
      </c>
      <c r="CK17" s="6">
        <v>310</v>
      </c>
      <c r="CL17" s="6">
        <v>332</v>
      </c>
      <c r="CM17" s="6">
        <v>315</v>
      </c>
      <c r="CN17" s="6">
        <v>327</v>
      </c>
      <c r="CO17" s="6">
        <v>303</v>
      </c>
      <c r="CP17" s="6">
        <v>320</v>
      </c>
      <c r="CQ17" s="6">
        <f t="shared" si="93"/>
        <v>315</v>
      </c>
      <c r="CR17" s="6">
        <f t="shared" si="84"/>
        <v>327</v>
      </c>
      <c r="CS17" s="6">
        <f t="shared" si="85"/>
        <v>303</v>
      </c>
      <c r="CT17" s="6">
        <f t="shared" si="86"/>
        <v>320</v>
      </c>
      <c r="CU17" s="6"/>
      <c r="CV17" s="6"/>
      <c r="CW17" s="6"/>
      <c r="CX17" s="6"/>
      <c r="CY17" s="6"/>
      <c r="CZ17" s="6"/>
      <c r="DA17" s="6"/>
      <c r="DB17" s="6"/>
      <c r="DC17" s="6"/>
      <c r="DD17" s="6">
        <f t="shared" si="23"/>
        <v>0</v>
      </c>
      <c r="DE17" s="6">
        <f t="shared" si="24"/>
        <v>0</v>
      </c>
      <c r="DF17" s="6">
        <f t="shared" si="29"/>
        <v>760</v>
      </c>
      <c r="DG17" s="6">
        <f t="shared" si="30"/>
        <v>1466</v>
      </c>
      <c r="DH17" s="6">
        <f t="shared" si="31"/>
        <v>1290</v>
      </c>
      <c r="DI17" s="6">
        <f t="shared" si="32"/>
        <v>1234</v>
      </c>
      <c r="DJ17" s="6">
        <f t="shared" si="33"/>
        <v>1279</v>
      </c>
      <c r="DK17" s="6">
        <f t="shared" si="34"/>
        <v>1265</v>
      </c>
      <c r="DL17" s="6">
        <f t="shared" ref="DL17:DP17" si="100">+DK17*0.9</f>
        <v>1138.5</v>
      </c>
      <c r="DM17" s="6">
        <f t="shared" si="100"/>
        <v>1024.6500000000001</v>
      </c>
      <c r="DN17" s="6">
        <f t="shared" si="100"/>
        <v>922.18500000000006</v>
      </c>
      <c r="DO17" s="6">
        <f t="shared" si="100"/>
        <v>829.96650000000011</v>
      </c>
      <c r="DP17" s="6">
        <f t="shared" si="100"/>
        <v>746.96985000000006</v>
      </c>
      <c r="DQ17" s="6">
        <f t="shared" ref="DQ17" si="101">+DP17*0.9</f>
        <v>672.27286500000002</v>
      </c>
      <c r="DR17" s="6">
        <f t="shared" ref="DR17" si="102">+DQ17*0.9</f>
        <v>605.04557850000003</v>
      </c>
      <c r="DS17" s="6">
        <f t="shared" ref="DS17" si="103">+DR17*0.9</f>
        <v>544.54102065000006</v>
      </c>
      <c r="DT17" s="6">
        <f t="shared" ref="DT17" si="104">+DS17*0.9</f>
        <v>490.08691858500009</v>
      </c>
      <c r="DU17" s="6">
        <f t="shared" ref="DU17" si="105">+DT17*0.9</f>
        <v>441.07822672650008</v>
      </c>
    </row>
    <row r="18" spans="2:125" s="5" customFormat="1" x14ac:dyDescent="0.25">
      <c r="B18" s="5" t="s">
        <v>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146</v>
      </c>
      <c r="AN18" s="6">
        <v>162</v>
      </c>
      <c r="AO18" s="6">
        <v>163</v>
      </c>
      <c r="AP18" s="6">
        <v>188</v>
      </c>
      <c r="AQ18" s="6">
        <v>90</v>
      </c>
      <c r="AR18" s="6">
        <v>106</v>
      </c>
      <c r="AS18" s="6">
        <v>101</v>
      </c>
      <c r="AT18" s="6">
        <v>115</v>
      </c>
      <c r="AU18" s="6">
        <v>107</v>
      </c>
      <c r="AV18" s="6">
        <v>110</v>
      </c>
      <c r="AW18" s="6">
        <v>148</v>
      </c>
      <c r="AX18" s="6">
        <v>151</v>
      </c>
      <c r="AY18" s="6">
        <v>127</v>
      </c>
      <c r="AZ18" s="6">
        <v>159</v>
      </c>
      <c r="BA18" s="6">
        <v>161</v>
      </c>
      <c r="BB18" s="6">
        <v>185</v>
      </c>
      <c r="BC18" s="6">
        <v>150</v>
      </c>
      <c r="BD18" s="6">
        <v>180</v>
      </c>
      <c r="BE18" s="6">
        <v>187</v>
      </c>
      <c r="BF18" s="6">
        <v>213</v>
      </c>
      <c r="BG18" s="6">
        <v>185</v>
      </c>
      <c r="BH18" s="6">
        <v>196</v>
      </c>
      <c r="BI18" s="6">
        <v>215</v>
      </c>
      <c r="BJ18" s="6">
        <v>235</v>
      </c>
      <c r="BK18" s="6">
        <v>209</v>
      </c>
      <c r="BL18" s="6">
        <v>219</v>
      </c>
      <c r="BM18" s="6">
        <v>239</v>
      </c>
      <c r="BN18" s="6">
        <v>261</v>
      </c>
      <c r="BO18" s="6">
        <v>227</v>
      </c>
      <c r="BP18" s="6">
        <v>257</v>
      </c>
      <c r="BQ18" s="6">
        <v>265</v>
      </c>
      <c r="BR18" s="6">
        <v>292</v>
      </c>
      <c r="BS18" s="6">
        <v>276</v>
      </c>
      <c r="BT18" s="6">
        <v>252</v>
      </c>
      <c r="BU18" s="6">
        <v>282</v>
      </c>
      <c r="BV18" s="6">
        <v>304</v>
      </c>
      <c r="BW18" s="6">
        <v>274</v>
      </c>
      <c r="BX18" s="6">
        <v>280</v>
      </c>
      <c r="BY18" s="6">
        <v>310</v>
      </c>
      <c r="BZ18" s="6">
        <v>327</v>
      </c>
      <c r="CA18" s="6">
        <v>287</v>
      </c>
      <c r="CB18" s="6">
        <v>318</v>
      </c>
      <c r="CC18" s="6">
        <v>336</v>
      </c>
      <c r="CD18" s="6">
        <v>337</v>
      </c>
      <c r="CE18" s="6">
        <v>305</v>
      </c>
      <c r="CF18" s="6">
        <v>282</v>
      </c>
      <c r="CG18" s="6">
        <v>305</v>
      </c>
      <c r="CH18" s="6">
        <v>376</v>
      </c>
      <c r="CI18" s="6">
        <v>285</v>
      </c>
      <c r="CJ18" s="6">
        <v>372</v>
      </c>
      <c r="CK18" s="6">
        <v>338</v>
      </c>
      <c r="CL18" s="6">
        <v>388</v>
      </c>
      <c r="CM18" s="6">
        <v>355</v>
      </c>
      <c r="CN18" s="6">
        <v>404</v>
      </c>
      <c r="CO18" s="6">
        <v>368</v>
      </c>
      <c r="CP18" s="6">
        <v>385</v>
      </c>
      <c r="CQ18" s="6">
        <f t="shared" si="93"/>
        <v>355</v>
      </c>
      <c r="CR18" s="6">
        <f t="shared" si="84"/>
        <v>404</v>
      </c>
      <c r="CS18" s="6">
        <f t="shared" si="85"/>
        <v>368</v>
      </c>
      <c r="CT18" s="6">
        <f t="shared" si="86"/>
        <v>385</v>
      </c>
      <c r="CU18" s="6"/>
      <c r="CV18" s="6"/>
      <c r="CW18" s="6"/>
      <c r="CX18" s="6">
        <v>353</v>
      </c>
      <c r="CY18" s="6">
        <v>412</v>
      </c>
      <c r="CZ18" s="6">
        <v>516</v>
      </c>
      <c r="DA18" s="6">
        <v>632</v>
      </c>
      <c r="DB18" s="6">
        <v>730</v>
      </c>
      <c r="DC18" s="6">
        <v>831</v>
      </c>
      <c r="DD18" s="6">
        <f t="shared" si="23"/>
        <v>928</v>
      </c>
      <c r="DE18" s="6">
        <f t="shared" si="24"/>
        <v>1041</v>
      </c>
      <c r="DF18" s="6">
        <f t="shared" si="29"/>
        <v>1114</v>
      </c>
      <c r="DG18" s="6">
        <f t="shared" si="30"/>
        <v>1191</v>
      </c>
      <c r="DH18" s="6">
        <f t="shared" si="31"/>
        <v>1278</v>
      </c>
      <c r="DI18" s="6">
        <f t="shared" si="32"/>
        <v>1268</v>
      </c>
      <c r="DJ18" s="6">
        <f t="shared" si="33"/>
        <v>1383</v>
      </c>
      <c r="DK18" s="6">
        <f t="shared" si="34"/>
        <v>1512</v>
      </c>
      <c r="DL18" s="6">
        <f t="shared" ref="DL18:DP18" si="106">+DK18*1.03</f>
        <v>1557.3600000000001</v>
      </c>
      <c r="DM18" s="6">
        <f t="shared" si="106"/>
        <v>1604.0808000000002</v>
      </c>
      <c r="DN18" s="6">
        <f t="shared" si="106"/>
        <v>1652.2032240000003</v>
      </c>
      <c r="DO18" s="6">
        <f t="shared" si="106"/>
        <v>1701.7693207200005</v>
      </c>
      <c r="DP18" s="6">
        <f t="shared" si="106"/>
        <v>1752.8224003416005</v>
      </c>
      <c r="DQ18" s="6">
        <f t="shared" ref="DQ18" si="107">+DP18*1.03</f>
        <v>1805.4070723518487</v>
      </c>
      <c r="DR18" s="6">
        <f t="shared" ref="DR18" si="108">+DQ18*1.03</f>
        <v>1859.5692845224041</v>
      </c>
      <c r="DS18" s="6">
        <f t="shared" ref="DS18" si="109">+DR18*1.03</f>
        <v>1915.3563630580763</v>
      </c>
      <c r="DT18" s="6">
        <f t="shared" ref="DT18" si="110">+DS18*1.03</f>
        <v>1972.8170539498187</v>
      </c>
      <c r="DU18" s="6">
        <f t="shared" ref="DU18" si="111">+DT18*1.03</f>
        <v>2032.0015655683133</v>
      </c>
    </row>
    <row r="19" spans="2:125" s="5" customFormat="1" x14ac:dyDescent="0.25">
      <c r="B19" s="12" t="s">
        <v>131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128</v>
      </c>
      <c r="BU19" s="6">
        <v>269</v>
      </c>
      <c r="BV19" s="6">
        <v>296</v>
      </c>
      <c r="BW19" s="6">
        <v>276</v>
      </c>
      <c r="BX19" s="6">
        <v>301</v>
      </c>
      <c r="BY19" s="6">
        <v>286</v>
      </c>
      <c r="BZ19" s="6">
        <v>306</v>
      </c>
      <c r="CA19" s="6">
        <v>278</v>
      </c>
      <c r="CB19" s="6">
        <v>217</v>
      </c>
      <c r="CC19" s="6">
        <f>287-CC32</f>
        <v>181</v>
      </c>
      <c r="CD19" s="6">
        <f>283-CD32</f>
        <v>71</v>
      </c>
      <c r="CE19" s="6">
        <v>200</v>
      </c>
      <c r="CF19" s="6">
        <v>215</v>
      </c>
      <c r="CG19" s="6">
        <v>207</v>
      </c>
      <c r="CH19" s="6">
        <v>181</v>
      </c>
      <c r="CI19" s="6">
        <v>200</v>
      </c>
      <c r="CJ19" s="6">
        <v>225</v>
      </c>
      <c r="CK19" s="6">
        <v>207</v>
      </c>
      <c r="CL19" s="6">
        <v>215</v>
      </c>
      <c r="CM19" s="6">
        <v>217</v>
      </c>
      <c r="CN19" s="6">
        <v>250</v>
      </c>
      <c r="CO19" s="6">
        <v>248</v>
      </c>
      <c r="CP19" s="6">
        <v>294</v>
      </c>
      <c r="CQ19" s="6">
        <f t="shared" si="93"/>
        <v>217</v>
      </c>
      <c r="CR19" s="6">
        <f t="shared" si="84"/>
        <v>250</v>
      </c>
      <c r="CS19" s="6">
        <f t="shared" si="85"/>
        <v>248</v>
      </c>
      <c r="CT19" s="6">
        <f t="shared" si="86"/>
        <v>294</v>
      </c>
      <c r="CU19" s="6"/>
      <c r="CV19" s="6"/>
      <c r="CW19" s="6"/>
      <c r="CX19" s="6"/>
      <c r="CY19" s="6"/>
      <c r="CZ19" s="6"/>
      <c r="DA19" s="6"/>
      <c r="DB19" s="6"/>
      <c r="DC19" s="6"/>
      <c r="DD19" s="6">
        <f t="shared" si="23"/>
        <v>0</v>
      </c>
      <c r="DE19" s="6">
        <f t="shared" si="24"/>
        <v>0</v>
      </c>
      <c r="DF19" s="6">
        <f t="shared" si="29"/>
        <v>693</v>
      </c>
      <c r="DG19" s="6">
        <f t="shared" si="30"/>
        <v>1169</v>
      </c>
      <c r="DH19" s="6">
        <f>SUM(CA19:CD19)</f>
        <v>747</v>
      </c>
      <c r="DI19" s="6">
        <f t="shared" si="32"/>
        <v>803</v>
      </c>
      <c r="DJ19" s="6">
        <f t="shared" si="33"/>
        <v>847</v>
      </c>
      <c r="DK19" s="6">
        <f t="shared" si="34"/>
        <v>1009</v>
      </c>
      <c r="DL19" s="6">
        <f t="shared" ref="DL19:DP19" si="112">+DK19*0.9</f>
        <v>908.1</v>
      </c>
      <c r="DM19" s="6">
        <f t="shared" si="112"/>
        <v>817.29000000000008</v>
      </c>
      <c r="DN19" s="6">
        <f t="shared" si="112"/>
        <v>735.56100000000004</v>
      </c>
      <c r="DO19" s="6">
        <f t="shared" si="112"/>
        <v>662.00490000000002</v>
      </c>
      <c r="DP19" s="6">
        <f t="shared" si="112"/>
        <v>595.80441000000008</v>
      </c>
      <c r="DQ19" s="6">
        <f t="shared" ref="DQ19:DQ20" si="113">+DP19*0.9</f>
        <v>536.22396900000012</v>
      </c>
      <c r="DR19" s="6">
        <f t="shared" ref="DR19:DR20" si="114">+DQ19*0.9</f>
        <v>482.60157210000011</v>
      </c>
      <c r="DS19" s="6">
        <f t="shared" ref="DS19:DS20" si="115">+DR19*0.9</f>
        <v>434.34141489000012</v>
      </c>
      <c r="DT19" s="6">
        <f t="shared" ref="DT19:DT20" si="116">+DS19*0.9</f>
        <v>390.90727340100011</v>
      </c>
      <c r="DU19" s="6">
        <f t="shared" ref="DU19:DU20" si="117">+DT19*0.9</f>
        <v>351.81654606090012</v>
      </c>
    </row>
    <row r="20" spans="2:125" s="5" customFormat="1" x14ac:dyDescent="0.25">
      <c r="B20" s="12" t="s">
        <v>130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144</v>
      </c>
      <c r="BU20" s="6">
        <v>299</v>
      </c>
      <c r="BV20" s="6">
        <v>344</v>
      </c>
      <c r="BW20" s="6">
        <v>280</v>
      </c>
      <c r="BX20" s="6">
        <v>327</v>
      </c>
      <c r="BY20" s="6">
        <v>319</v>
      </c>
      <c r="BZ20" s="6">
        <v>364</v>
      </c>
      <c r="CA20" s="6">
        <v>246</v>
      </c>
      <c r="CB20" s="6">
        <v>168</v>
      </c>
      <c r="CC20" s="6">
        <v>142</v>
      </c>
      <c r="CD20" s="6">
        <v>110</v>
      </c>
      <c r="CE20" s="6">
        <v>92</v>
      </c>
      <c r="CF20" s="6">
        <v>99</v>
      </c>
      <c r="CG20" s="6">
        <v>117</v>
      </c>
      <c r="CH20" s="6">
        <v>128</v>
      </c>
      <c r="CI20" s="6">
        <v>57</v>
      </c>
      <c r="CJ20" s="6">
        <v>32</v>
      </c>
      <c r="CK20" s="6">
        <v>21</v>
      </c>
      <c r="CL20" s="6">
        <v>114</v>
      </c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>
        <f t="shared" si="23"/>
        <v>0</v>
      </c>
      <c r="DE20" s="6">
        <f t="shared" si="24"/>
        <v>0</v>
      </c>
      <c r="DF20" s="6">
        <f t="shared" si="29"/>
        <v>787</v>
      </c>
      <c r="DG20" s="6">
        <f t="shared" si="30"/>
        <v>1290</v>
      </c>
      <c r="DH20" s="6">
        <f t="shared" si="31"/>
        <v>666</v>
      </c>
      <c r="DI20" s="6">
        <f t="shared" si="32"/>
        <v>436</v>
      </c>
      <c r="DJ20" s="6">
        <f t="shared" si="33"/>
        <v>224</v>
      </c>
      <c r="DK20" s="6">
        <f t="shared" si="34"/>
        <v>0</v>
      </c>
      <c r="DL20" s="6">
        <f t="shared" ref="DL20:DP20" si="118">+DK20*0.9</f>
        <v>0</v>
      </c>
      <c r="DM20" s="6">
        <f t="shared" si="118"/>
        <v>0</v>
      </c>
      <c r="DN20" s="6">
        <f t="shared" si="118"/>
        <v>0</v>
      </c>
      <c r="DO20" s="6">
        <f t="shared" si="118"/>
        <v>0</v>
      </c>
      <c r="DP20" s="6">
        <f t="shared" si="118"/>
        <v>0</v>
      </c>
      <c r="DQ20" s="6">
        <f t="shared" si="113"/>
        <v>0</v>
      </c>
      <c r="DR20" s="6">
        <f t="shared" si="114"/>
        <v>0</v>
      </c>
      <c r="DS20" s="6">
        <f t="shared" si="115"/>
        <v>0</v>
      </c>
      <c r="DT20" s="6">
        <f t="shared" si="116"/>
        <v>0</v>
      </c>
      <c r="DU20" s="6">
        <f t="shared" si="117"/>
        <v>0</v>
      </c>
    </row>
    <row r="21" spans="2:125" s="5" customFormat="1" x14ac:dyDescent="0.25">
      <c r="B21" s="12" t="s">
        <v>133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133</v>
      </c>
      <c r="BU21" s="6">
        <v>248</v>
      </c>
      <c r="BV21" s="6">
        <v>286</v>
      </c>
      <c r="BW21" s="6">
        <v>222</v>
      </c>
      <c r="BX21" s="6">
        <v>268</v>
      </c>
      <c r="BY21" s="6">
        <v>261</v>
      </c>
      <c r="BZ21" s="6">
        <v>287</v>
      </c>
      <c r="CA21" s="6">
        <v>240</v>
      </c>
      <c r="CB21" s="6">
        <v>255</v>
      </c>
      <c r="CC21" s="6">
        <v>271</v>
      </c>
      <c r="CD21" s="6">
        <v>269</v>
      </c>
      <c r="CE21" s="6">
        <v>259</v>
      </c>
      <c r="CF21" s="6">
        <v>278</v>
      </c>
      <c r="CG21" s="6">
        <v>288</v>
      </c>
      <c r="CH21" s="6">
        <v>283</v>
      </c>
      <c r="CI21" s="6">
        <v>266</v>
      </c>
      <c r="CJ21" s="6">
        <v>221</v>
      </c>
      <c r="CK21" s="6">
        <v>234</v>
      </c>
      <c r="CL21" s="6">
        <v>233</v>
      </c>
      <c r="CM21" s="6">
        <v>148</v>
      </c>
      <c r="CN21" s="6">
        <v>258</v>
      </c>
      <c r="CO21" s="6">
        <v>326</v>
      </c>
      <c r="CP21" s="6">
        <v>175</v>
      </c>
      <c r="CQ21" s="6">
        <f>+CP21-5</f>
        <v>170</v>
      </c>
      <c r="CR21" s="6">
        <f t="shared" ref="CR21:CT21" si="119">+CQ21-5</f>
        <v>165</v>
      </c>
      <c r="CS21" s="6">
        <f t="shared" si="119"/>
        <v>160</v>
      </c>
      <c r="CT21" s="6">
        <f t="shared" si="119"/>
        <v>155</v>
      </c>
      <c r="CU21" s="6"/>
      <c r="CV21" s="6"/>
      <c r="CW21" s="6"/>
      <c r="CX21" s="6"/>
      <c r="CY21" s="6"/>
      <c r="CZ21" s="6"/>
      <c r="DA21" s="6"/>
      <c r="DB21" s="6"/>
      <c r="DC21" s="6"/>
      <c r="DD21" s="6">
        <f t="shared" si="23"/>
        <v>0</v>
      </c>
      <c r="DE21" s="6">
        <f t="shared" si="24"/>
        <v>0</v>
      </c>
      <c r="DF21" s="6">
        <f t="shared" si="29"/>
        <v>667</v>
      </c>
      <c r="DG21" s="6">
        <f t="shared" si="30"/>
        <v>1038</v>
      </c>
      <c r="DH21" s="6">
        <f t="shared" si="31"/>
        <v>1035</v>
      </c>
      <c r="DI21" s="6">
        <f t="shared" si="32"/>
        <v>1108</v>
      </c>
      <c r="DJ21" s="6">
        <f t="shared" si="33"/>
        <v>954</v>
      </c>
      <c r="DK21" s="6">
        <f t="shared" si="34"/>
        <v>907</v>
      </c>
      <c r="DL21" s="6">
        <f t="shared" ref="DL21:DP21" si="120">+DK21*0.5</f>
        <v>453.5</v>
      </c>
      <c r="DM21" s="6">
        <f t="shared" si="120"/>
        <v>226.75</v>
      </c>
      <c r="DN21" s="6">
        <f t="shared" si="120"/>
        <v>113.375</v>
      </c>
      <c r="DO21" s="6">
        <f t="shared" si="120"/>
        <v>56.6875</v>
      </c>
      <c r="DP21" s="6">
        <f t="shared" si="120"/>
        <v>28.34375</v>
      </c>
      <c r="DQ21" s="6">
        <f t="shared" ref="DQ21" si="121">+DP21*0.5</f>
        <v>14.171875</v>
      </c>
      <c r="DR21" s="6">
        <f t="shared" ref="DR21" si="122">+DQ21*0.5</f>
        <v>7.0859375</v>
      </c>
      <c r="DS21" s="6">
        <f t="shared" ref="DS21" si="123">+DR21*0.5</f>
        <v>3.54296875</v>
      </c>
      <c r="DT21" s="6">
        <f t="shared" ref="DT21" si="124">+DS21*0.5</f>
        <v>1.771484375</v>
      </c>
      <c r="DU21" s="6">
        <f t="shared" ref="DU21" si="125">+DT21*0.5</f>
        <v>0.8857421875</v>
      </c>
    </row>
    <row r="22" spans="2:125" s="5" customFormat="1" x14ac:dyDescent="0.25">
      <c r="B22" s="12" t="s">
        <v>127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105</v>
      </c>
      <c r="BU22" s="6">
        <v>207</v>
      </c>
      <c r="BV22" s="6">
        <v>227</v>
      </c>
      <c r="BW22" s="6">
        <v>160</v>
      </c>
      <c r="BX22" s="6">
        <v>171</v>
      </c>
      <c r="BY22" s="6">
        <v>171</v>
      </c>
      <c r="BZ22" s="6">
        <v>183</v>
      </c>
      <c r="CA22" s="6">
        <v>177</v>
      </c>
      <c r="CB22" s="6">
        <v>150</v>
      </c>
      <c r="CC22" s="6">
        <v>87</v>
      </c>
      <c r="CD22" s="6">
        <v>61</v>
      </c>
      <c r="CE22" s="6">
        <v>79</v>
      </c>
      <c r="CF22" s="6">
        <v>70</v>
      </c>
      <c r="CG22" s="6">
        <v>61</v>
      </c>
      <c r="CH22" s="6">
        <v>66</v>
      </c>
      <c r="CI22" s="6">
        <v>74</v>
      </c>
      <c r="CJ22" s="6">
        <v>80</v>
      </c>
      <c r="CK22" s="6">
        <v>84</v>
      </c>
      <c r="CL22" s="6">
        <v>100</v>
      </c>
      <c r="CM22" s="6">
        <f t="shared" ref="CM22" si="126">+CI22</f>
        <v>74</v>
      </c>
      <c r="CN22" s="6">
        <v>55</v>
      </c>
      <c r="CO22" s="6">
        <v>46</v>
      </c>
      <c r="CP22" s="6">
        <v>47</v>
      </c>
      <c r="CQ22" s="6">
        <f>+CP22</f>
        <v>47</v>
      </c>
      <c r="CR22" s="6">
        <f t="shared" ref="CR22:CT22" si="127">+CQ22</f>
        <v>47</v>
      </c>
      <c r="CS22" s="6">
        <f t="shared" si="127"/>
        <v>47</v>
      </c>
      <c r="CT22" s="6">
        <f t="shared" si="127"/>
        <v>47</v>
      </c>
      <c r="CU22" s="6"/>
      <c r="CV22" s="6"/>
      <c r="CW22" s="6"/>
      <c r="CX22" s="6"/>
      <c r="CY22" s="6"/>
      <c r="CZ22" s="6"/>
      <c r="DA22" s="6"/>
      <c r="DB22" s="6"/>
      <c r="DC22" s="6"/>
      <c r="DD22" s="6">
        <f t="shared" si="23"/>
        <v>0</v>
      </c>
      <c r="DE22" s="6">
        <f t="shared" si="24"/>
        <v>0</v>
      </c>
      <c r="DF22" s="6">
        <f t="shared" si="29"/>
        <v>539</v>
      </c>
      <c r="DG22" s="6">
        <f t="shared" si="30"/>
        <v>685</v>
      </c>
      <c r="DH22" s="6">
        <f t="shared" si="31"/>
        <v>475</v>
      </c>
      <c r="DI22" s="6">
        <f t="shared" si="32"/>
        <v>276</v>
      </c>
      <c r="DJ22" s="6">
        <f t="shared" si="33"/>
        <v>338</v>
      </c>
      <c r="DK22" s="6">
        <f t="shared" si="34"/>
        <v>222</v>
      </c>
      <c r="DL22" s="6">
        <f t="shared" ref="DL22:DP22" si="128">+DK22*0.9</f>
        <v>199.8</v>
      </c>
      <c r="DM22" s="6">
        <f t="shared" si="128"/>
        <v>179.82000000000002</v>
      </c>
      <c r="DN22" s="6">
        <f t="shared" si="128"/>
        <v>161.83800000000002</v>
      </c>
      <c r="DO22" s="6">
        <f t="shared" si="128"/>
        <v>145.65420000000003</v>
      </c>
      <c r="DP22" s="6">
        <f t="shared" si="128"/>
        <v>131.08878000000004</v>
      </c>
      <c r="DQ22" s="6">
        <f t="shared" ref="DQ22:DQ23" si="129">+DP22*0.9</f>
        <v>117.97990200000004</v>
      </c>
      <c r="DR22" s="6">
        <f t="shared" ref="DR22:DR23" si="130">+DQ22*0.9</f>
        <v>106.18191180000004</v>
      </c>
      <c r="DS22" s="6">
        <f t="shared" ref="DS22:DS23" si="131">+DR22*0.9</f>
        <v>95.563720620000041</v>
      </c>
      <c r="DT22" s="6">
        <f t="shared" ref="DT22:DT23" si="132">+DS22*0.9</f>
        <v>86.007348558000032</v>
      </c>
      <c r="DU22" s="6">
        <f t="shared" ref="DU22:DU23" si="133">+DT22*0.9</f>
        <v>77.406613702200033</v>
      </c>
    </row>
    <row r="23" spans="2:125" s="5" customFormat="1" x14ac:dyDescent="0.25">
      <c r="B23" s="12" t="s">
        <v>128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76</v>
      </c>
      <c r="BU23" s="6">
        <v>149</v>
      </c>
      <c r="BV23" s="6">
        <v>153</v>
      </c>
      <c r="BW23" s="6">
        <v>143</v>
      </c>
      <c r="BX23" s="6">
        <v>149</v>
      </c>
      <c r="BY23" s="6">
        <v>138</v>
      </c>
      <c r="BZ23" s="6">
        <v>149</v>
      </c>
      <c r="CA23" s="6">
        <v>140</v>
      </c>
      <c r="CB23" s="6">
        <v>130</v>
      </c>
      <c r="CC23" s="6">
        <v>121</v>
      </c>
      <c r="CD23" s="6">
        <v>123</v>
      </c>
      <c r="CE23" s="6">
        <v>130</v>
      </c>
      <c r="CF23" s="6">
        <v>119</v>
      </c>
      <c r="CG23" s="6">
        <v>91</v>
      </c>
      <c r="CH23" s="6">
        <v>92</v>
      </c>
      <c r="CI23" s="6">
        <v>91</v>
      </c>
      <c r="CJ23" s="6">
        <v>103</v>
      </c>
      <c r="CK23" s="6">
        <v>116</v>
      </c>
      <c r="CL23" s="6">
        <v>119</v>
      </c>
      <c r="CM23" s="6">
        <v>106</v>
      </c>
      <c r="CN23" s="6">
        <v>103</v>
      </c>
      <c r="CO23" s="6">
        <v>97</v>
      </c>
      <c r="CP23" s="6">
        <v>104</v>
      </c>
      <c r="CQ23" s="6">
        <f>+CM23</f>
        <v>106</v>
      </c>
      <c r="CR23" s="6">
        <f t="shared" ref="CR23:CT23" si="134">+CN23</f>
        <v>103</v>
      </c>
      <c r="CS23" s="6">
        <f t="shared" si="134"/>
        <v>97</v>
      </c>
      <c r="CT23" s="6">
        <f t="shared" si="134"/>
        <v>104</v>
      </c>
      <c r="CU23" s="6"/>
      <c r="CV23" s="6"/>
      <c r="CW23" s="6"/>
      <c r="CX23" s="6"/>
      <c r="CY23" s="6"/>
      <c r="CZ23" s="6"/>
      <c r="DA23" s="6"/>
      <c r="DB23" s="6"/>
      <c r="DC23" s="6"/>
      <c r="DD23" s="6">
        <f t="shared" si="23"/>
        <v>0</v>
      </c>
      <c r="DE23" s="6">
        <f t="shared" si="24"/>
        <v>0</v>
      </c>
      <c r="DF23" s="6">
        <f t="shared" si="29"/>
        <v>378</v>
      </c>
      <c r="DG23" s="6">
        <f t="shared" si="30"/>
        <v>579</v>
      </c>
      <c r="DH23" s="6">
        <f t="shared" si="31"/>
        <v>514</v>
      </c>
      <c r="DI23" s="6">
        <f t="shared" si="32"/>
        <v>432</v>
      </c>
      <c r="DJ23" s="6">
        <f t="shared" si="33"/>
        <v>429</v>
      </c>
      <c r="DK23" s="6">
        <f t="shared" si="34"/>
        <v>410</v>
      </c>
      <c r="DL23" s="6">
        <f t="shared" ref="DL23:DP23" si="135">+DK23*0.9</f>
        <v>369</v>
      </c>
      <c r="DM23" s="6">
        <f t="shared" si="135"/>
        <v>332.1</v>
      </c>
      <c r="DN23" s="6">
        <f t="shared" si="135"/>
        <v>298.89000000000004</v>
      </c>
      <c r="DO23" s="6">
        <f t="shared" si="135"/>
        <v>269.00100000000003</v>
      </c>
      <c r="DP23" s="6">
        <f t="shared" si="135"/>
        <v>242.10090000000002</v>
      </c>
      <c r="DQ23" s="6">
        <f t="shared" si="129"/>
        <v>217.89081000000002</v>
      </c>
      <c r="DR23" s="6">
        <f t="shared" si="130"/>
        <v>196.10172900000001</v>
      </c>
      <c r="DS23" s="6">
        <f t="shared" si="131"/>
        <v>176.4915561</v>
      </c>
      <c r="DT23" s="6">
        <f t="shared" si="132"/>
        <v>158.84240048999999</v>
      </c>
      <c r="DU23" s="6">
        <f t="shared" si="133"/>
        <v>142.95816044099999</v>
      </c>
    </row>
    <row r="24" spans="2:125" s="5" customFormat="1" x14ac:dyDescent="0.25">
      <c r="B24" s="12" t="s">
        <v>125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22</v>
      </c>
      <c r="BU24" s="6">
        <v>38</v>
      </c>
      <c r="BV24" s="6">
        <v>65</v>
      </c>
      <c r="BW24" s="6">
        <v>81</v>
      </c>
      <c r="BX24" s="6">
        <v>126</v>
      </c>
      <c r="BY24" s="6">
        <v>162</v>
      </c>
      <c r="BZ24" s="6">
        <v>183</v>
      </c>
      <c r="CA24" s="6">
        <v>138</v>
      </c>
      <c r="CB24" s="6">
        <v>185</v>
      </c>
      <c r="CC24" s="6">
        <v>160</v>
      </c>
      <c r="CD24" s="6">
        <v>197</v>
      </c>
      <c r="CE24" s="6">
        <v>152</v>
      </c>
      <c r="CF24" s="6">
        <v>196</v>
      </c>
      <c r="CG24" s="6">
        <v>233</v>
      </c>
      <c r="CH24" s="6">
        <v>234</v>
      </c>
      <c r="CI24" s="6">
        <v>203</v>
      </c>
      <c r="CJ24" s="6">
        <v>231</v>
      </c>
      <c r="CK24" s="6">
        <v>269</v>
      </c>
      <c r="CL24" s="6">
        <v>303</v>
      </c>
      <c r="CM24" s="6">
        <v>240</v>
      </c>
      <c r="CN24" s="6">
        <v>338</v>
      </c>
      <c r="CO24" s="6">
        <v>354</v>
      </c>
      <c r="CP24" s="6">
        <v>339</v>
      </c>
      <c r="CQ24" s="6">
        <f>+CP24+5</f>
        <v>344</v>
      </c>
      <c r="CR24" s="6">
        <f t="shared" ref="CR24:CT24" si="136">+CQ24+5</f>
        <v>349</v>
      </c>
      <c r="CS24" s="6">
        <f t="shared" si="136"/>
        <v>354</v>
      </c>
      <c r="CT24" s="6">
        <f t="shared" si="136"/>
        <v>359</v>
      </c>
      <c r="CU24" s="6"/>
      <c r="CV24" s="6"/>
      <c r="CW24" s="6"/>
      <c r="CX24" s="6"/>
      <c r="CY24" s="6"/>
      <c r="CZ24" s="6"/>
      <c r="DA24" s="6"/>
      <c r="DB24" s="6"/>
      <c r="DC24" s="6"/>
      <c r="DD24" s="6">
        <f t="shared" si="23"/>
        <v>0</v>
      </c>
      <c r="DE24" s="6">
        <f t="shared" si="24"/>
        <v>0</v>
      </c>
      <c r="DF24" s="6">
        <f t="shared" si="29"/>
        <v>125</v>
      </c>
      <c r="DG24" s="6">
        <f t="shared" si="30"/>
        <v>552</v>
      </c>
      <c r="DH24" s="6">
        <f t="shared" si="31"/>
        <v>680</v>
      </c>
      <c r="DI24" s="6">
        <f t="shared" si="32"/>
        <v>815</v>
      </c>
      <c r="DJ24" s="6">
        <f t="shared" si="33"/>
        <v>1006</v>
      </c>
      <c r="DK24" s="6">
        <f t="shared" si="34"/>
        <v>1271</v>
      </c>
      <c r="DL24" s="6">
        <f>+DK24*1.2</f>
        <v>1525.2</v>
      </c>
      <c r="DM24" s="6">
        <f>+DL24*1.1</f>
        <v>1677.7200000000003</v>
      </c>
      <c r="DN24" s="6">
        <f>+DM24*1.1</f>
        <v>1845.4920000000004</v>
      </c>
      <c r="DO24" s="6">
        <f>+DN24*1.03</f>
        <v>1900.8567600000006</v>
      </c>
      <c r="DP24" s="5">
        <f>+DO24*0.1</f>
        <v>190.08567600000006</v>
      </c>
      <c r="DQ24" s="5">
        <f t="shared" ref="DQ24:DU24" si="137">+DP24*0.1</f>
        <v>19.008567600000006</v>
      </c>
      <c r="DR24" s="5">
        <f t="shared" si="137"/>
        <v>1.9008567600000008</v>
      </c>
      <c r="DS24" s="5">
        <f t="shared" si="137"/>
        <v>0.19008567600000009</v>
      </c>
      <c r="DT24" s="5">
        <f t="shared" si="137"/>
        <v>1.9008567600000012E-2</v>
      </c>
      <c r="DU24" s="5">
        <f t="shared" si="137"/>
        <v>1.9008567600000013E-3</v>
      </c>
    </row>
    <row r="25" spans="2:125" s="5" customFormat="1" x14ac:dyDescent="0.25">
      <c r="B25" s="5" t="s">
        <v>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>
        <v>37</v>
      </c>
      <c r="AP25" s="6"/>
      <c r="AQ25" s="6">
        <v>39</v>
      </c>
      <c r="AR25" s="6">
        <v>44</v>
      </c>
      <c r="AS25" s="6">
        <v>46</v>
      </c>
      <c r="AT25" s="6">
        <v>49</v>
      </c>
      <c r="AU25" s="6">
        <v>52</v>
      </c>
      <c r="AV25" s="6">
        <v>56</v>
      </c>
      <c r="AW25" s="6">
        <v>56</v>
      </c>
      <c r="AX25" s="6">
        <v>56</v>
      </c>
      <c r="AY25" s="6">
        <v>53</v>
      </c>
      <c r="AZ25" s="6">
        <v>55</v>
      </c>
      <c r="BA25" s="6">
        <v>61</v>
      </c>
      <c r="BB25" s="6">
        <v>62</v>
      </c>
      <c r="BC25" s="6">
        <v>68</v>
      </c>
      <c r="BD25" s="6">
        <v>73</v>
      </c>
      <c r="BE25" s="6">
        <v>74</v>
      </c>
      <c r="BF25" s="6">
        <v>78</v>
      </c>
      <c r="BG25" s="6">
        <v>80</v>
      </c>
      <c r="BH25" s="6">
        <v>81</v>
      </c>
      <c r="BI25" s="6">
        <v>94</v>
      </c>
      <c r="BJ25" s="6">
        <v>100</v>
      </c>
      <c r="BK25" s="6">
        <v>103</v>
      </c>
      <c r="BL25" s="6">
        <v>108</v>
      </c>
      <c r="BM25" s="6">
        <v>106</v>
      </c>
      <c r="BN25" s="6">
        <v>113</v>
      </c>
      <c r="BO25" s="6">
        <v>111</v>
      </c>
      <c r="BP25" s="6">
        <v>115</v>
      </c>
      <c r="BQ25" s="6">
        <v>117</v>
      </c>
      <c r="BR25" s="6">
        <v>118</v>
      </c>
      <c r="BS25" s="6">
        <v>124</v>
      </c>
      <c r="BT25" s="6">
        <v>118</v>
      </c>
      <c r="BU25" s="6">
        <v>123</v>
      </c>
      <c r="BV25" s="6">
        <v>129</v>
      </c>
      <c r="BW25" s="6">
        <v>129</v>
      </c>
      <c r="BX25" s="6">
        <v>127</v>
      </c>
      <c r="BY25" s="6">
        <v>127</v>
      </c>
      <c r="BZ25" s="6">
        <v>128</v>
      </c>
      <c r="CA25" s="6">
        <v>121</v>
      </c>
      <c r="CB25" s="6">
        <v>120</v>
      </c>
      <c r="CC25" s="6">
        <v>110</v>
      </c>
      <c r="CD25" s="6">
        <v>107</v>
      </c>
      <c r="CE25" s="6">
        <v>118</v>
      </c>
      <c r="CF25" s="6">
        <v>117</v>
      </c>
      <c r="CG25" s="6">
        <v>118</v>
      </c>
      <c r="CH25" s="6">
        <v>115</v>
      </c>
      <c r="CI25" s="6">
        <v>115</v>
      </c>
      <c r="CJ25" s="6">
        <v>113</v>
      </c>
      <c r="CK25" s="6">
        <v>111</v>
      </c>
      <c r="CL25" s="6">
        <v>108</v>
      </c>
      <c r="CM25" s="6">
        <v>96</v>
      </c>
      <c r="CN25" s="6">
        <v>97</v>
      </c>
      <c r="CO25" s="6">
        <v>96</v>
      </c>
      <c r="CP25" s="6">
        <v>92</v>
      </c>
      <c r="CQ25" s="6">
        <f>+CM25</f>
        <v>96</v>
      </c>
      <c r="CR25" s="6">
        <f t="shared" ref="CR25:CR26" si="138">+CN25</f>
        <v>97</v>
      </c>
      <c r="CS25" s="6">
        <f t="shared" ref="CS25:CS26" si="139">+CO25</f>
        <v>96</v>
      </c>
      <c r="CT25" s="6">
        <f t="shared" ref="CT25:CT26" si="140">+CP25</f>
        <v>92</v>
      </c>
      <c r="CU25" s="6"/>
      <c r="CV25" s="6"/>
      <c r="CW25" s="6"/>
      <c r="CX25" s="6">
        <v>149</v>
      </c>
      <c r="CY25" s="6">
        <v>178</v>
      </c>
      <c r="CZ25" s="6">
        <v>220</v>
      </c>
      <c r="DA25" s="6">
        <v>231</v>
      </c>
      <c r="DB25" s="6">
        <v>293</v>
      </c>
      <c r="DC25" s="6">
        <v>355</v>
      </c>
      <c r="DD25" s="6">
        <f t="shared" si="23"/>
        <v>430</v>
      </c>
      <c r="DE25" s="6">
        <f t="shared" si="24"/>
        <v>461</v>
      </c>
      <c r="DF25" s="6">
        <f t="shared" si="29"/>
        <v>494</v>
      </c>
      <c r="DG25" s="6">
        <f t="shared" si="30"/>
        <v>511</v>
      </c>
      <c r="DH25" s="6">
        <f t="shared" si="31"/>
        <v>458</v>
      </c>
      <c r="DI25" s="6">
        <f t="shared" si="32"/>
        <v>468</v>
      </c>
      <c r="DJ25" s="6">
        <f t="shared" si="33"/>
        <v>447</v>
      </c>
      <c r="DK25" s="6">
        <f t="shared" si="34"/>
        <v>381</v>
      </c>
      <c r="DL25" s="6">
        <f t="shared" ref="DL25:DP25" si="141">+DK25*0.9</f>
        <v>342.90000000000003</v>
      </c>
      <c r="DM25" s="6">
        <f t="shared" si="141"/>
        <v>308.61</v>
      </c>
      <c r="DN25" s="6">
        <f t="shared" si="141"/>
        <v>277.74900000000002</v>
      </c>
      <c r="DO25" s="6">
        <f t="shared" si="141"/>
        <v>249.97410000000002</v>
      </c>
      <c r="DP25" s="6">
        <f t="shared" si="141"/>
        <v>224.97669000000002</v>
      </c>
      <c r="DQ25" s="6">
        <f t="shared" ref="DQ25:DQ26" si="142">+DP25*0.9</f>
        <v>202.47902100000002</v>
      </c>
      <c r="DR25" s="6">
        <f t="shared" ref="DR25:DR26" si="143">+DQ25*0.9</f>
        <v>182.23111890000001</v>
      </c>
      <c r="DS25" s="6">
        <f t="shared" ref="DS25:DS26" si="144">+DR25*0.9</f>
        <v>164.00800701000003</v>
      </c>
      <c r="DT25" s="6">
        <f t="shared" ref="DT25:DT26" si="145">+DS25*0.9</f>
        <v>147.60720630900002</v>
      </c>
      <c r="DU25" s="6">
        <f t="shared" ref="DU25:DU26" si="146">+DT25*0.9</f>
        <v>132.84648567810001</v>
      </c>
    </row>
    <row r="26" spans="2:125" s="5" customFormat="1" x14ac:dyDescent="0.25">
      <c r="B26" s="12" t="s">
        <v>129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69</v>
      </c>
      <c r="BU26" s="6">
        <v>123</v>
      </c>
      <c r="BV26" s="6">
        <v>134</v>
      </c>
      <c r="BW26" s="6">
        <v>118</v>
      </c>
      <c r="BX26" s="6">
        <v>142</v>
      </c>
      <c r="BY26" s="6">
        <v>128</v>
      </c>
      <c r="BZ26" s="6">
        <v>141</v>
      </c>
      <c r="CA26" s="6">
        <v>107</v>
      </c>
      <c r="CB26" s="6">
        <v>92</v>
      </c>
      <c r="CC26" s="6">
        <v>73</v>
      </c>
      <c r="CD26" s="6">
        <v>74</v>
      </c>
      <c r="CE26" s="6">
        <v>71</v>
      </c>
      <c r="CF26" s="6">
        <v>65</v>
      </c>
      <c r="CG26" s="6">
        <v>70</v>
      </c>
      <c r="CH26" s="6">
        <v>66</v>
      </c>
      <c r="CI26" s="6">
        <v>59</v>
      </c>
      <c r="CJ26" s="6">
        <v>49</v>
      </c>
      <c r="CK26" s="6">
        <v>62</v>
      </c>
      <c r="CL26" s="6">
        <v>78</v>
      </c>
      <c r="CM26" s="6">
        <v>60</v>
      </c>
      <c r="CN26" s="6">
        <v>36</v>
      </c>
      <c r="CO26" s="6">
        <v>47</v>
      </c>
      <c r="CP26" s="6">
        <v>54</v>
      </c>
      <c r="CQ26" s="6">
        <f>+CM26</f>
        <v>60</v>
      </c>
      <c r="CR26" s="6">
        <f t="shared" si="138"/>
        <v>36</v>
      </c>
      <c r="CS26" s="6">
        <f t="shared" si="139"/>
        <v>47</v>
      </c>
      <c r="CT26" s="6">
        <f t="shared" si="140"/>
        <v>54</v>
      </c>
      <c r="CU26" s="6"/>
      <c r="CV26" s="6"/>
      <c r="CW26" s="6"/>
      <c r="CX26" s="6"/>
      <c r="CY26" s="6"/>
      <c r="CZ26" s="6"/>
      <c r="DA26" s="6"/>
      <c r="DB26" s="6"/>
      <c r="DC26" s="6"/>
      <c r="DD26" s="6">
        <f t="shared" si="23"/>
        <v>0</v>
      </c>
      <c r="DE26" s="6">
        <f t="shared" si="24"/>
        <v>0</v>
      </c>
      <c r="DF26" s="6">
        <f t="shared" si="29"/>
        <v>326</v>
      </c>
      <c r="DG26" s="6">
        <f t="shared" si="30"/>
        <v>529</v>
      </c>
      <c r="DH26" s="6">
        <f t="shared" si="31"/>
        <v>346</v>
      </c>
      <c r="DI26" s="6">
        <f t="shared" si="32"/>
        <v>272</v>
      </c>
      <c r="DJ26" s="6">
        <f t="shared" si="33"/>
        <v>248</v>
      </c>
      <c r="DK26" s="6">
        <f t="shared" si="34"/>
        <v>197</v>
      </c>
      <c r="DL26" s="6">
        <f t="shared" ref="DL26:DP26" si="147">+DK26*0.9</f>
        <v>177.3</v>
      </c>
      <c r="DM26" s="6">
        <f t="shared" si="147"/>
        <v>159.57000000000002</v>
      </c>
      <c r="DN26" s="6">
        <f t="shared" si="147"/>
        <v>143.61300000000003</v>
      </c>
      <c r="DO26" s="6">
        <f t="shared" si="147"/>
        <v>129.25170000000003</v>
      </c>
      <c r="DP26" s="6">
        <f t="shared" si="147"/>
        <v>116.32653000000003</v>
      </c>
      <c r="DQ26" s="6">
        <f t="shared" si="142"/>
        <v>104.69387700000003</v>
      </c>
      <c r="DR26" s="6">
        <f t="shared" si="143"/>
        <v>94.22448930000003</v>
      </c>
      <c r="DS26" s="6">
        <f t="shared" si="144"/>
        <v>84.802040370000029</v>
      </c>
      <c r="DT26" s="6">
        <f t="shared" si="145"/>
        <v>76.321836333000022</v>
      </c>
      <c r="DU26" s="6">
        <f t="shared" si="146"/>
        <v>68.689652699700019</v>
      </c>
    </row>
    <row r="27" spans="2:125" s="5" customFormat="1" x14ac:dyDescent="0.25">
      <c r="B27" s="12" t="s">
        <v>126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11</v>
      </c>
      <c r="CB27" s="6">
        <v>33</v>
      </c>
      <c r="CC27" s="6">
        <v>62</v>
      </c>
      <c r="CD27" s="6">
        <v>52</v>
      </c>
      <c r="CE27" s="6">
        <v>66</v>
      </c>
      <c r="CF27" s="6">
        <v>96</v>
      </c>
      <c r="CG27" s="6">
        <v>132</v>
      </c>
      <c r="CH27" s="6">
        <v>114</v>
      </c>
      <c r="CI27" s="6">
        <v>131</v>
      </c>
      <c r="CJ27" s="6">
        <v>150</v>
      </c>
      <c r="CK27" s="6">
        <v>176</v>
      </c>
      <c r="CL27" s="6">
        <v>201</v>
      </c>
      <c r="CM27" s="6">
        <v>193</v>
      </c>
      <c r="CN27" s="6">
        <v>267</v>
      </c>
      <c r="CO27" s="6">
        <v>288</v>
      </c>
      <c r="CP27" s="6">
        <v>288</v>
      </c>
      <c r="CQ27" s="6">
        <f>+CP27+5</f>
        <v>293</v>
      </c>
      <c r="CR27" s="6">
        <f t="shared" ref="CR27:CT27" si="148">+CQ27+5</f>
        <v>298</v>
      </c>
      <c r="CS27" s="6">
        <f t="shared" si="148"/>
        <v>303</v>
      </c>
      <c r="CT27" s="6">
        <f t="shared" si="148"/>
        <v>308</v>
      </c>
      <c r="CU27" s="6"/>
      <c r="CV27" s="6"/>
      <c r="CW27" s="6"/>
      <c r="CX27" s="6"/>
      <c r="CY27" s="6"/>
      <c r="CZ27" s="6"/>
      <c r="DA27" s="6"/>
      <c r="DB27" s="6"/>
      <c r="DC27" s="6"/>
      <c r="DD27" s="6">
        <f t="shared" si="23"/>
        <v>0</v>
      </c>
      <c r="DE27" s="6">
        <f t="shared" si="24"/>
        <v>0</v>
      </c>
      <c r="DF27" s="6">
        <f t="shared" si="29"/>
        <v>0</v>
      </c>
      <c r="DG27" s="6">
        <f t="shared" si="30"/>
        <v>0</v>
      </c>
      <c r="DH27" s="6">
        <f t="shared" si="31"/>
        <v>158</v>
      </c>
      <c r="DI27" s="6">
        <f t="shared" si="32"/>
        <v>408</v>
      </c>
      <c r="DJ27" s="6">
        <f t="shared" si="33"/>
        <v>658</v>
      </c>
      <c r="DK27" s="6">
        <f t="shared" si="34"/>
        <v>1036</v>
      </c>
      <c r="DL27" s="6">
        <f>+DK27*1.2</f>
        <v>1243.2</v>
      </c>
      <c r="DM27" s="6">
        <f>+DL27*1.1</f>
        <v>1367.5200000000002</v>
      </c>
      <c r="DN27" s="6">
        <f>+DM27*1.1</f>
        <v>1504.2720000000004</v>
      </c>
      <c r="DO27" s="6">
        <f>+DN27*1.03</f>
        <v>1549.4001600000004</v>
      </c>
      <c r="DP27" s="5">
        <f>+DO27*0.1</f>
        <v>154.94001600000004</v>
      </c>
      <c r="DQ27" s="5">
        <f t="shared" ref="DQ27:DU27" si="149">+DP27*0.1</f>
        <v>15.494001600000004</v>
      </c>
      <c r="DR27" s="5">
        <f t="shared" si="149"/>
        <v>1.5494001600000005</v>
      </c>
      <c r="DS27" s="5">
        <f t="shared" si="149"/>
        <v>0.15494001600000007</v>
      </c>
      <c r="DT27" s="5">
        <f t="shared" si="149"/>
        <v>1.5494001600000008E-2</v>
      </c>
      <c r="DU27" s="5">
        <f t="shared" si="149"/>
        <v>1.5494001600000009E-3</v>
      </c>
    </row>
    <row r="28" spans="2:125" s="5" customFormat="1" x14ac:dyDescent="0.25">
      <c r="B28" s="49" t="s">
        <v>323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>
        <v>64</v>
      </c>
      <c r="CJ28" s="6">
        <v>128</v>
      </c>
      <c r="CK28" s="6">
        <v>139</v>
      </c>
      <c r="CL28" s="6">
        <v>148</v>
      </c>
      <c r="CM28" s="6">
        <v>179</v>
      </c>
      <c r="CN28" s="6">
        <v>159</v>
      </c>
      <c r="CO28" s="6">
        <v>170</v>
      </c>
      <c r="CP28" s="6">
        <v>182</v>
      </c>
      <c r="CQ28" s="6">
        <f>+CP28+5</f>
        <v>187</v>
      </c>
      <c r="CR28" s="6">
        <f t="shared" ref="CR28:CT28" si="150">+CQ28+5</f>
        <v>192</v>
      </c>
      <c r="CS28" s="6">
        <f t="shared" si="150"/>
        <v>197</v>
      </c>
      <c r="CT28" s="6">
        <f t="shared" si="150"/>
        <v>202</v>
      </c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>
        <f t="shared" si="33"/>
        <v>479</v>
      </c>
      <c r="DK28" s="6">
        <f t="shared" si="34"/>
        <v>690</v>
      </c>
      <c r="DL28" s="6">
        <f>+DK28*1.1</f>
        <v>759.00000000000011</v>
      </c>
      <c r="DM28" s="6">
        <f>+DL28*1.1</f>
        <v>834.9000000000002</v>
      </c>
      <c r="DN28" s="6">
        <f>+DM28*1.1</f>
        <v>918.39000000000033</v>
      </c>
      <c r="DO28" s="6">
        <f>+DN28*1.1</f>
        <v>1010.2290000000005</v>
      </c>
      <c r="DP28" s="6">
        <f>+DO28*1.1</f>
        <v>1111.2519000000007</v>
      </c>
      <c r="DQ28" s="6">
        <f t="shared" ref="DQ28:DU28" si="151">+DP28*1.1</f>
        <v>1222.3770900000009</v>
      </c>
      <c r="DR28" s="6">
        <f t="shared" si="151"/>
        <v>1344.6147990000011</v>
      </c>
      <c r="DS28" s="6">
        <f t="shared" si="151"/>
        <v>1479.0762789000014</v>
      </c>
      <c r="DT28" s="6">
        <f t="shared" si="151"/>
        <v>1626.9839067900016</v>
      </c>
      <c r="DU28" s="6">
        <f t="shared" si="151"/>
        <v>1789.6822974690019</v>
      </c>
    </row>
    <row r="29" spans="2:125" s="5" customFormat="1" x14ac:dyDescent="0.25">
      <c r="B29" s="70" t="s">
        <v>629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>
        <f>SUM(CM29:CP29)</f>
        <v>0</v>
      </c>
      <c r="DL29" s="6">
        <v>500</v>
      </c>
      <c r="DM29" s="6">
        <v>800</v>
      </c>
      <c r="DN29" s="6">
        <v>1200</v>
      </c>
      <c r="DO29" s="6">
        <v>1500</v>
      </c>
      <c r="DP29" s="6">
        <v>1800</v>
      </c>
      <c r="DQ29" s="6">
        <v>2000</v>
      </c>
      <c r="DR29" s="6">
        <v>2200</v>
      </c>
      <c r="DS29" s="6">
        <v>2400</v>
      </c>
      <c r="DT29" s="6">
        <v>2600</v>
      </c>
      <c r="DU29" s="6">
        <v>2800</v>
      </c>
    </row>
    <row r="30" spans="2:125" s="5" customFormat="1" x14ac:dyDescent="0.25">
      <c r="B30" s="94" t="s">
        <v>702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20</v>
      </c>
      <c r="CQ30" s="6">
        <f>+CP30</f>
        <v>20</v>
      </c>
      <c r="CR30" s="6">
        <f t="shared" ref="CR30:CT30" si="152">+CQ30</f>
        <v>20</v>
      </c>
      <c r="CS30" s="6">
        <f t="shared" si="152"/>
        <v>20</v>
      </c>
      <c r="CT30" s="6">
        <f t="shared" si="152"/>
        <v>20</v>
      </c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</row>
    <row r="31" spans="2:125" s="5" customFormat="1" x14ac:dyDescent="0.25">
      <c r="B31" s="49" t="s">
        <v>324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14</v>
      </c>
      <c r="CH31" s="6">
        <v>17</v>
      </c>
      <c r="CI31" s="6">
        <v>27</v>
      </c>
      <c r="CJ31" s="6">
        <v>36</v>
      </c>
      <c r="CK31" s="6">
        <v>43</v>
      </c>
      <c r="CL31" s="6">
        <v>40</v>
      </c>
      <c r="CM31" s="6">
        <v>51</v>
      </c>
      <c r="CN31" s="6">
        <v>70</v>
      </c>
      <c r="CO31" s="6">
        <v>69</v>
      </c>
      <c r="CP31" s="6">
        <v>81</v>
      </c>
      <c r="CQ31" s="6">
        <f>+CP31+3</f>
        <v>84</v>
      </c>
      <c r="CR31" s="6">
        <f t="shared" ref="CR31:CT31" si="153">+CQ31+3</f>
        <v>87</v>
      </c>
      <c r="CS31" s="6">
        <f t="shared" si="153"/>
        <v>90</v>
      </c>
      <c r="CT31" s="6">
        <f t="shared" si="153"/>
        <v>93</v>
      </c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>
        <f t="shared" ref="DI31:DI32" si="154">SUM(CE31:CH31)</f>
        <v>31</v>
      </c>
      <c r="DJ31" s="6">
        <f t="shared" si="33"/>
        <v>146</v>
      </c>
      <c r="DK31" s="6">
        <f t="shared" si="34"/>
        <v>271</v>
      </c>
      <c r="DL31" s="6">
        <f>+DK31*1.4</f>
        <v>379.4</v>
      </c>
      <c r="DM31" s="6">
        <f>+DL31*1.3</f>
        <v>493.21999999999997</v>
      </c>
      <c r="DN31" s="6">
        <f t="shared" ref="DN31:DO31" si="155">+DM31*1.2</f>
        <v>591.86399999999992</v>
      </c>
      <c r="DO31" s="6">
        <f t="shared" si="155"/>
        <v>710.2367999999999</v>
      </c>
      <c r="DP31" s="6">
        <f>+DO31*1.1</f>
        <v>781.26047999999992</v>
      </c>
      <c r="DQ31" s="6">
        <f>+DP31*1.05</f>
        <v>820.32350399999996</v>
      </c>
      <c r="DR31" s="6">
        <f t="shared" ref="DR31:DU31" si="156">+DQ31*1.05</f>
        <v>861.33967919999998</v>
      </c>
      <c r="DS31" s="6">
        <f t="shared" si="156"/>
        <v>904.40666315999999</v>
      </c>
      <c r="DT31" s="6">
        <f t="shared" si="156"/>
        <v>949.62699631800001</v>
      </c>
      <c r="DU31" s="6">
        <f t="shared" si="156"/>
        <v>997.1083461339</v>
      </c>
    </row>
    <row r="32" spans="2:125" s="5" customFormat="1" x14ac:dyDescent="0.25">
      <c r="B32" s="46" t="s">
        <v>317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110</v>
      </c>
      <c r="CC32" s="6">
        <v>106</v>
      </c>
      <c r="CD32" s="6">
        <f>428-CC32-CB32-CA32</f>
        <v>212</v>
      </c>
      <c r="CE32" s="6">
        <v>115</v>
      </c>
      <c r="CF32" s="6">
        <v>119</v>
      </c>
      <c r="CG32" s="6">
        <v>120</v>
      </c>
      <c r="CH32" s="6">
        <v>118</v>
      </c>
      <c r="CI32" s="6">
        <v>131</v>
      </c>
      <c r="CJ32" s="6">
        <v>124</v>
      </c>
      <c r="CK32" s="6">
        <v>119</v>
      </c>
      <c r="CL32" s="6">
        <v>120</v>
      </c>
      <c r="CM32" s="6">
        <v>123</v>
      </c>
      <c r="CN32" s="6">
        <v>125</v>
      </c>
      <c r="CO32" s="6">
        <v>117</v>
      </c>
      <c r="CP32" s="6">
        <v>128</v>
      </c>
      <c r="CQ32" s="6">
        <f>+CM32</f>
        <v>123</v>
      </c>
      <c r="CR32" s="6">
        <f t="shared" ref="CR32:CT32" si="157">+CN32</f>
        <v>125</v>
      </c>
      <c r="CS32" s="6">
        <f t="shared" si="157"/>
        <v>117</v>
      </c>
      <c r="CT32" s="6">
        <f t="shared" si="157"/>
        <v>128</v>
      </c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>
        <f>SUM(CA32:CD32)</f>
        <v>428</v>
      </c>
      <c r="DI32" s="6">
        <f t="shared" si="154"/>
        <v>472</v>
      </c>
      <c r="DJ32" s="6">
        <f t="shared" si="33"/>
        <v>494</v>
      </c>
      <c r="DK32" s="6">
        <f t="shared" si="34"/>
        <v>493</v>
      </c>
      <c r="DL32" s="6">
        <f>+DK32</f>
        <v>493</v>
      </c>
      <c r="DM32" s="6">
        <f t="shared" ref="DM32:DU32" si="158">+DL32</f>
        <v>493</v>
      </c>
      <c r="DN32" s="6">
        <f t="shared" si="158"/>
        <v>493</v>
      </c>
      <c r="DO32" s="6">
        <f t="shared" si="158"/>
        <v>493</v>
      </c>
      <c r="DP32" s="6">
        <f t="shared" si="158"/>
        <v>493</v>
      </c>
      <c r="DQ32" s="6">
        <f t="shared" si="158"/>
        <v>493</v>
      </c>
      <c r="DR32" s="6">
        <f t="shared" si="158"/>
        <v>493</v>
      </c>
      <c r="DS32" s="6">
        <f t="shared" si="158"/>
        <v>493</v>
      </c>
      <c r="DT32" s="6">
        <f t="shared" si="158"/>
        <v>493</v>
      </c>
      <c r="DU32" s="6">
        <f t="shared" si="158"/>
        <v>493</v>
      </c>
    </row>
    <row r="33" spans="2:125" s="5" customFormat="1" x14ac:dyDescent="0.25">
      <c r="B33" s="70" t="s">
        <v>458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>
        <f>SUM(CM33:CP33)</f>
        <v>0</v>
      </c>
      <c r="DL33" s="6">
        <v>200</v>
      </c>
      <c r="DM33" s="6">
        <v>300</v>
      </c>
      <c r="DN33" s="6">
        <f>+DM33*1.01</f>
        <v>303</v>
      </c>
      <c r="DO33" s="6">
        <f t="shared" ref="DO33:DT33" si="159">+DN33*1.01</f>
        <v>306.03000000000003</v>
      </c>
      <c r="DP33" s="6">
        <f t="shared" si="159"/>
        <v>309.09030000000001</v>
      </c>
      <c r="DQ33" s="6">
        <f t="shared" si="159"/>
        <v>312.18120300000004</v>
      </c>
      <c r="DR33" s="6">
        <f t="shared" si="159"/>
        <v>315.30301503000004</v>
      </c>
      <c r="DS33" s="6">
        <f t="shared" si="159"/>
        <v>318.45604518030007</v>
      </c>
      <c r="DT33" s="6">
        <f t="shared" si="159"/>
        <v>321.64060563210307</v>
      </c>
      <c r="DU33" s="6">
        <f>+DT33*0.1</f>
        <v>32.164060563210306</v>
      </c>
    </row>
    <row r="34" spans="2:125" s="5" customFormat="1" x14ac:dyDescent="0.25">
      <c r="B34" s="70" t="s">
        <v>567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>
        <v>63</v>
      </c>
      <c r="CN34" s="6">
        <v>98</v>
      </c>
      <c r="CO34" s="6">
        <v>138</v>
      </c>
      <c r="CP34" s="6">
        <v>183</v>
      </c>
      <c r="CQ34" s="6">
        <f>+CP34+10</f>
        <v>193</v>
      </c>
      <c r="CR34" s="6">
        <f>+CQ34+10</f>
        <v>203</v>
      </c>
      <c r="CS34" s="6">
        <f>+CR34+10</f>
        <v>213</v>
      </c>
      <c r="CT34" s="6">
        <f>+CS34+10</f>
        <v>223</v>
      </c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>
        <f>SUM(CM34:CP34)</f>
        <v>482</v>
      </c>
      <c r="DL34" s="6">
        <v>150</v>
      </c>
      <c r="DM34" s="6">
        <v>300</v>
      </c>
      <c r="DN34" s="6">
        <v>450</v>
      </c>
      <c r="DO34" s="6">
        <v>600</v>
      </c>
      <c r="DP34" s="6">
        <v>700</v>
      </c>
      <c r="DQ34" s="6">
        <v>800</v>
      </c>
      <c r="DR34" s="6">
        <v>900</v>
      </c>
      <c r="DS34" s="6">
        <v>1000</v>
      </c>
      <c r="DT34" s="6">
        <f>+DS34</f>
        <v>1000</v>
      </c>
      <c r="DU34" s="6">
        <f>+DT34</f>
        <v>1000</v>
      </c>
    </row>
    <row r="35" spans="2:125" s="5" customFormat="1" x14ac:dyDescent="0.25">
      <c r="B35" s="30" t="s">
        <v>230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80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>
        <f t="shared" si="23"/>
        <v>0</v>
      </c>
      <c r="DE35" s="6">
        <f t="shared" si="24"/>
        <v>0</v>
      </c>
      <c r="DF35" s="6">
        <f t="shared" si="29"/>
        <v>80</v>
      </c>
      <c r="DG35" s="6"/>
      <c r="DH35" s="6"/>
      <c r="DI35" s="6"/>
      <c r="DJ35" s="6"/>
      <c r="DK35" s="6"/>
      <c r="DL35" s="6"/>
      <c r="DM35" s="6"/>
      <c r="DN35" s="6"/>
      <c r="DO35" s="6"/>
    </row>
    <row r="36" spans="2:125" s="5" customFormat="1" x14ac:dyDescent="0.25">
      <c r="B36" s="30" t="s">
        <v>231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19</v>
      </c>
      <c r="BQ36" s="6">
        <v>27</v>
      </c>
      <c r="BR36" s="6">
        <v>34</v>
      </c>
      <c r="BS36" s="6">
        <v>31</v>
      </c>
      <c r="BT36" s="6">
        <v>31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>
        <f t="shared" si="23"/>
        <v>0</v>
      </c>
      <c r="DE36" s="6">
        <f t="shared" si="24"/>
        <v>80</v>
      </c>
      <c r="DF36" s="6">
        <f t="shared" si="29"/>
        <v>62</v>
      </c>
      <c r="DG36" s="6"/>
      <c r="DH36" s="6"/>
      <c r="DI36" s="6"/>
      <c r="DJ36" s="6"/>
      <c r="DK36" s="6"/>
      <c r="DL36" s="6"/>
      <c r="DM36" s="6"/>
      <c r="DN36" s="6"/>
      <c r="DO36" s="6"/>
    </row>
    <row r="37" spans="2:125" s="5" customFormat="1" x14ac:dyDescent="0.25">
      <c r="B37" s="62" t="s">
        <v>433</v>
      </c>
      <c r="C37" s="6"/>
      <c r="D37" s="6"/>
      <c r="E37" s="6"/>
      <c r="F37" s="6"/>
      <c r="G37" s="6">
        <v>50</v>
      </c>
      <c r="H37" s="6">
        <v>43</v>
      </c>
      <c r="I37" s="6">
        <v>50</v>
      </c>
      <c r="J37" s="6">
        <v>54</v>
      </c>
      <c r="K37" s="6">
        <v>52</v>
      </c>
      <c r="L37" s="6">
        <v>57</v>
      </c>
      <c r="M37" s="6">
        <f>219-N37-L37-K37</f>
        <v>56</v>
      </c>
      <c r="N37" s="6">
        <v>54</v>
      </c>
      <c r="O37" s="6">
        <v>53</v>
      </c>
      <c r="P37" s="6">
        <v>58</v>
      </c>
      <c r="Q37" s="6">
        <f>168-P37-O37</f>
        <v>57</v>
      </c>
      <c r="R37" s="6">
        <v>61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</row>
    <row r="38" spans="2:125" s="5" customFormat="1" x14ac:dyDescent="0.25">
      <c r="B38" s="62" t="s">
        <v>434</v>
      </c>
      <c r="C38" s="6"/>
      <c r="D38" s="6"/>
      <c r="E38" s="6"/>
      <c r="F38" s="6"/>
      <c r="G38" s="6">
        <v>37</v>
      </c>
      <c r="H38" s="6">
        <v>30</v>
      </c>
      <c r="I38" s="6">
        <v>35</v>
      </c>
      <c r="J38" s="6">
        <v>41</v>
      </c>
      <c r="K38" s="6">
        <v>36</v>
      </c>
      <c r="L38" s="6">
        <v>37</v>
      </c>
      <c r="M38" s="6">
        <f>154-L38-K38-N38</f>
        <v>40</v>
      </c>
      <c r="N38" s="6">
        <v>41</v>
      </c>
      <c r="O38" s="6">
        <v>40</v>
      </c>
      <c r="P38" s="6">
        <v>44</v>
      </c>
      <c r="Q38" s="6">
        <f>127-P38-O38</f>
        <v>43</v>
      </c>
      <c r="R38" s="6">
        <v>46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</row>
    <row r="39" spans="2:125" s="5" customFormat="1" x14ac:dyDescent="0.25">
      <c r="B39" s="62" t="s">
        <v>435</v>
      </c>
      <c r="C39" s="6"/>
      <c r="D39" s="6"/>
      <c r="E39" s="6"/>
      <c r="F39" s="6"/>
      <c r="G39" s="6">
        <v>700</v>
      </c>
      <c r="H39" s="6">
        <v>706</v>
      </c>
      <c r="I39" s="6">
        <v>711</v>
      </c>
      <c r="J39" s="6">
        <v>475</v>
      </c>
      <c r="K39" s="6">
        <v>590</v>
      </c>
      <c r="L39" s="6">
        <v>337</v>
      </c>
      <c r="M39" s="6">
        <f>2501-L39-K39-N39</f>
        <v>942</v>
      </c>
      <c r="N39" s="6">
        <v>632</v>
      </c>
      <c r="O39" s="6">
        <v>616</v>
      </c>
      <c r="P39" s="6">
        <v>663</v>
      </c>
      <c r="Q39" s="6">
        <f>1891-P39-O39</f>
        <v>612</v>
      </c>
      <c r="R39" s="6">
        <v>709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</row>
    <row r="40" spans="2:125" s="5" customFormat="1" x14ac:dyDescent="0.25">
      <c r="B40" s="5" t="s">
        <v>9</v>
      </c>
      <c r="C40" s="6"/>
      <c r="D40" s="6"/>
      <c r="E40" s="6"/>
      <c r="F40" s="6"/>
      <c r="G40" s="6">
        <v>180</v>
      </c>
      <c r="H40" s="6">
        <v>182</v>
      </c>
      <c r="I40" s="6">
        <v>202</v>
      </c>
      <c r="J40" s="6">
        <v>206</v>
      </c>
      <c r="K40" s="6">
        <v>171</v>
      </c>
      <c r="L40" s="6">
        <v>174</v>
      </c>
      <c r="M40" s="6">
        <f>699-L40-K40-N40</f>
        <v>181</v>
      </c>
      <c r="N40" s="6">
        <v>173</v>
      </c>
      <c r="O40" s="6">
        <v>168</v>
      </c>
      <c r="P40" s="6">
        <v>159</v>
      </c>
      <c r="Q40" s="6">
        <f>499-P40-O40</f>
        <v>172</v>
      </c>
      <c r="R40" s="6">
        <v>164</v>
      </c>
      <c r="S40" s="6"/>
      <c r="T40" s="6"/>
      <c r="U40" s="6"/>
      <c r="V40" s="6"/>
      <c r="W40" s="6">
        <f>218-X40</f>
        <v>64</v>
      </c>
      <c r="X40" s="6">
        <v>154</v>
      </c>
      <c r="Y40" s="6">
        <v>221</v>
      </c>
      <c r="Z40" s="6">
        <v>213</v>
      </c>
      <c r="AA40" s="6">
        <f>390-AB40</f>
        <v>193</v>
      </c>
      <c r="AB40" s="6">
        <v>197</v>
      </c>
      <c r="AC40" s="6">
        <v>195</v>
      </c>
      <c r="AD40" s="6">
        <v>215</v>
      </c>
      <c r="AE40" s="6">
        <v>172</v>
      </c>
      <c r="AF40" s="6">
        <v>187</v>
      </c>
      <c r="AG40" s="6">
        <v>189</v>
      </c>
      <c r="AH40" s="6">
        <v>200</v>
      </c>
      <c r="AI40" s="6">
        <v>184</v>
      </c>
      <c r="AJ40" s="6">
        <v>205</v>
      </c>
      <c r="AK40" s="6">
        <f>810-AJ40-AI40-AL40</f>
        <v>213</v>
      </c>
      <c r="AL40" s="6">
        <v>208</v>
      </c>
      <c r="AM40" s="6">
        <v>199</v>
      </c>
      <c r="AN40" s="6">
        <v>200</v>
      </c>
      <c r="AO40" s="6">
        <v>189</v>
      </c>
      <c r="AP40" s="6">
        <v>211</v>
      </c>
      <c r="AQ40" s="6">
        <v>181</v>
      </c>
      <c r="AR40" s="6">
        <v>199</v>
      </c>
      <c r="AS40" s="6">
        <v>196</v>
      </c>
      <c r="AT40" s="6">
        <v>209</v>
      </c>
      <c r="AU40" s="6">
        <v>189</v>
      </c>
      <c r="AV40" s="6">
        <v>186</v>
      </c>
      <c r="AW40" s="6">
        <v>196</v>
      </c>
      <c r="AX40" s="6">
        <v>207</v>
      </c>
      <c r="AY40" s="6">
        <v>192</v>
      </c>
      <c r="AZ40" s="6">
        <v>198</v>
      </c>
      <c r="BA40" s="6">
        <v>201</v>
      </c>
      <c r="BB40" s="6">
        <v>235</v>
      </c>
      <c r="BC40" s="6">
        <v>190</v>
      </c>
      <c r="BD40" s="6">
        <v>219</v>
      </c>
      <c r="BE40" s="6">
        <v>193</v>
      </c>
      <c r="BF40" s="6">
        <v>219</v>
      </c>
      <c r="BG40" s="6">
        <v>194</v>
      </c>
      <c r="BH40" s="6">
        <v>210</v>
      </c>
      <c r="BI40" s="6">
        <v>201</v>
      </c>
      <c r="BJ40" s="6">
        <v>224</v>
      </c>
      <c r="BK40" s="6">
        <v>219</v>
      </c>
      <c r="BL40" s="6">
        <v>223</v>
      </c>
      <c r="BM40" s="6">
        <v>214</v>
      </c>
      <c r="BN40" s="6">
        <v>236</v>
      </c>
      <c r="BO40" s="6">
        <v>229</v>
      </c>
      <c r="BP40" s="6">
        <v>209</v>
      </c>
      <c r="BQ40" s="6">
        <v>230</v>
      </c>
      <c r="BR40" s="6">
        <v>219</v>
      </c>
      <c r="BS40" s="6">
        <v>233</v>
      </c>
      <c r="BT40" s="6">
        <v>205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800</v>
      </c>
      <c r="CY40" s="6">
        <v>785</v>
      </c>
      <c r="CZ40" s="6">
        <v>778</v>
      </c>
      <c r="DA40" s="6">
        <v>826</v>
      </c>
      <c r="DB40" s="6">
        <v>821</v>
      </c>
      <c r="DC40" s="6">
        <v>829</v>
      </c>
      <c r="DD40" s="6">
        <f t="shared" si="23"/>
        <v>892</v>
      </c>
      <c r="DE40" s="6">
        <f t="shared" si="24"/>
        <v>887</v>
      </c>
      <c r="DF40" s="6">
        <f t="shared" si="29"/>
        <v>438</v>
      </c>
      <c r="DG40" s="6"/>
      <c r="DH40" s="6"/>
      <c r="DI40" s="6"/>
      <c r="DJ40" s="6"/>
      <c r="DK40" s="6"/>
      <c r="DL40" s="6"/>
      <c r="DM40" s="6"/>
      <c r="DN40" s="6"/>
      <c r="DO40" s="6"/>
    </row>
    <row r="41" spans="2:125" s="5" customFormat="1" x14ac:dyDescent="0.25">
      <c r="B41" s="5" t="s">
        <v>7</v>
      </c>
      <c r="C41" s="6"/>
      <c r="D41" s="6"/>
      <c r="E41" s="6"/>
      <c r="F41" s="6"/>
      <c r="G41" s="6">
        <v>180</v>
      </c>
      <c r="H41" s="6">
        <v>189</v>
      </c>
      <c r="I41" s="6">
        <v>165</v>
      </c>
      <c r="J41" s="6">
        <v>154</v>
      </c>
      <c r="K41" s="6">
        <v>136</v>
      </c>
      <c r="L41" s="6">
        <v>127</v>
      </c>
      <c r="M41" s="6">
        <f>554-L41-K41-N41</f>
        <v>135</v>
      </c>
      <c r="N41" s="6">
        <v>156</v>
      </c>
      <c r="O41" s="6">
        <v>126</v>
      </c>
      <c r="P41" s="6">
        <v>149</v>
      </c>
      <c r="Q41" s="6">
        <f>403-P41-O41</f>
        <v>128</v>
      </c>
      <c r="R41" s="6">
        <v>132</v>
      </c>
      <c r="S41" s="6">
        <v>129</v>
      </c>
      <c r="T41" s="6">
        <v>121</v>
      </c>
      <c r="U41" s="6">
        <v>130</v>
      </c>
      <c r="V41" s="6">
        <v>153</v>
      </c>
      <c r="W41" s="6">
        <v>115</v>
      </c>
      <c r="X41" s="6">
        <v>138</v>
      </c>
      <c r="Y41" s="6">
        <v>129</v>
      </c>
      <c r="Z41" s="6">
        <v>142</v>
      </c>
      <c r="AA41" s="6">
        <f>220-AB41</f>
        <v>104</v>
      </c>
      <c r="AB41" s="6">
        <v>116</v>
      </c>
      <c r="AC41" s="6">
        <v>134</v>
      </c>
      <c r="AD41" s="6">
        <v>148</v>
      </c>
      <c r="AE41" s="6">
        <v>123</v>
      </c>
      <c r="AF41" s="6">
        <v>129</v>
      </c>
      <c r="AG41" s="6">
        <v>143</v>
      </c>
      <c r="AH41" s="6">
        <v>160</v>
      </c>
      <c r="AI41" s="6">
        <v>145</v>
      </c>
      <c r="AJ41" s="6">
        <v>169</v>
      </c>
      <c r="AK41" s="6">
        <f>638-AJ41-AI41-AL41</f>
        <v>161</v>
      </c>
      <c r="AL41" s="6">
        <v>163</v>
      </c>
      <c r="AM41" s="6">
        <v>155</v>
      </c>
      <c r="AN41" s="6">
        <v>149</v>
      </c>
      <c r="AO41" s="6">
        <v>157</v>
      </c>
      <c r="AP41" s="6">
        <v>194</v>
      </c>
      <c r="AQ41" s="6">
        <v>119</v>
      </c>
      <c r="AR41" s="6">
        <v>153</v>
      </c>
      <c r="AS41" s="6">
        <v>161</v>
      </c>
      <c r="AT41" s="6">
        <v>189</v>
      </c>
      <c r="AU41" s="6">
        <v>157</v>
      </c>
      <c r="AV41" s="6">
        <v>166</v>
      </c>
      <c r="AW41" s="6">
        <v>200</v>
      </c>
      <c r="AX41" s="6">
        <v>186</v>
      </c>
      <c r="AY41" s="6">
        <v>186</v>
      </c>
      <c r="AZ41" s="6">
        <v>187</v>
      </c>
      <c r="BA41" s="6">
        <v>188</v>
      </c>
      <c r="BB41" s="6">
        <v>194</v>
      </c>
      <c r="BC41" s="6">
        <v>182</v>
      </c>
      <c r="BD41" s="6">
        <v>188</v>
      </c>
      <c r="BE41" s="6">
        <v>188</v>
      </c>
      <c r="BF41" s="6">
        <v>205</v>
      </c>
      <c r="BG41" s="6">
        <v>192</v>
      </c>
      <c r="BH41" s="6">
        <v>193</v>
      </c>
      <c r="BI41" s="6">
        <v>191</v>
      </c>
      <c r="BJ41" s="6">
        <v>205</v>
      </c>
      <c r="BK41" s="6">
        <v>182</v>
      </c>
      <c r="BL41" s="6">
        <v>193</v>
      </c>
      <c r="BM41" s="6">
        <v>192</v>
      </c>
      <c r="BN41" s="6">
        <v>209</v>
      </c>
      <c r="BO41" s="6">
        <v>182</v>
      </c>
      <c r="BP41" s="6">
        <v>203</v>
      </c>
      <c r="BQ41" s="6">
        <v>197</v>
      </c>
      <c r="BR41" s="6">
        <v>204</v>
      </c>
      <c r="BS41" s="6">
        <v>205</v>
      </c>
      <c r="BT41" s="6">
        <v>183</v>
      </c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551</v>
      </c>
      <c r="CY41" s="6">
        <v>622</v>
      </c>
      <c r="CZ41" s="6">
        <v>709</v>
      </c>
      <c r="DA41" s="6">
        <v>755</v>
      </c>
      <c r="DB41" s="6">
        <v>763</v>
      </c>
      <c r="DC41" s="6">
        <v>781</v>
      </c>
      <c r="DD41" s="6">
        <f t="shared" si="23"/>
        <v>776</v>
      </c>
      <c r="DE41" s="6">
        <f t="shared" si="24"/>
        <v>786</v>
      </c>
      <c r="DF41" s="6">
        <f t="shared" si="29"/>
        <v>388</v>
      </c>
      <c r="DG41" s="6"/>
      <c r="DH41" s="6"/>
      <c r="DI41" s="6"/>
      <c r="DJ41" s="6"/>
      <c r="DK41" s="6"/>
      <c r="DL41" s="6"/>
      <c r="DM41" s="6"/>
      <c r="DN41" s="6"/>
      <c r="DO41" s="6"/>
    </row>
    <row r="42" spans="2:125" s="5" customFormat="1" x14ac:dyDescent="0.25">
      <c r="B42" s="30" t="s">
        <v>232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36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>
        <f t="shared" si="23"/>
        <v>0</v>
      </c>
      <c r="DE42" s="6">
        <f t="shared" si="24"/>
        <v>0</v>
      </c>
      <c r="DF42" s="6">
        <f t="shared" si="29"/>
        <v>36</v>
      </c>
      <c r="DG42" s="6"/>
      <c r="DH42" s="6"/>
      <c r="DI42" s="6"/>
      <c r="DJ42" s="6"/>
      <c r="DK42" s="6"/>
      <c r="DL42" s="6"/>
      <c r="DM42" s="6"/>
      <c r="DN42" s="6"/>
      <c r="DO42" s="6"/>
    </row>
    <row r="43" spans="2:125" s="5" customFormat="1" x14ac:dyDescent="0.25">
      <c r="B43" s="5" t="s">
        <v>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>
        <v>96</v>
      </c>
      <c r="AP43" s="6"/>
      <c r="AQ43" s="6">
        <v>345</v>
      </c>
      <c r="AR43" s="6">
        <v>70</v>
      </c>
      <c r="AS43" s="6">
        <v>98</v>
      </c>
      <c r="AT43" s="6">
        <v>314</v>
      </c>
      <c r="AU43" s="6">
        <v>354</v>
      </c>
      <c r="AV43" s="6">
        <v>74</v>
      </c>
      <c r="AW43" s="6">
        <v>109</v>
      </c>
      <c r="AX43" s="6">
        <v>298</v>
      </c>
      <c r="AY43" s="6">
        <v>335</v>
      </c>
      <c r="AZ43" s="6">
        <v>46</v>
      </c>
      <c r="BA43" s="6">
        <v>93</v>
      </c>
      <c r="BB43" s="6">
        <v>266</v>
      </c>
      <c r="BC43" s="6">
        <v>319</v>
      </c>
      <c r="BD43" s="6">
        <v>45</v>
      </c>
      <c r="BE43" s="6">
        <v>96</v>
      </c>
      <c r="BF43" s="6">
        <v>270</v>
      </c>
      <c r="BG43" s="6">
        <v>300</v>
      </c>
      <c r="BH43" s="6">
        <v>40</v>
      </c>
      <c r="BI43" s="6">
        <v>116</v>
      </c>
      <c r="BJ43" s="6">
        <v>282</v>
      </c>
      <c r="BK43" s="6">
        <v>321</v>
      </c>
      <c r="BL43" s="6">
        <v>44</v>
      </c>
      <c r="BM43" s="6">
        <v>97</v>
      </c>
      <c r="BN43" s="6">
        <v>264</v>
      </c>
      <c r="BO43" s="6">
        <v>287</v>
      </c>
      <c r="BP43" s="6">
        <v>38</v>
      </c>
      <c r="BQ43" s="6">
        <v>132</v>
      </c>
      <c r="BR43" s="6">
        <v>261</v>
      </c>
      <c r="BS43" s="6">
        <v>270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>
        <v>825</v>
      </c>
      <c r="CY43" s="6">
        <v>827</v>
      </c>
      <c r="CZ43" s="6">
        <v>835</v>
      </c>
      <c r="DA43" s="6">
        <v>740</v>
      </c>
      <c r="DB43" s="6">
        <v>730</v>
      </c>
      <c r="DC43" s="6">
        <v>738</v>
      </c>
      <c r="DD43" s="6">
        <f t="shared" si="23"/>
        <v>726</v>
      </c>
      <c r="DE43" s="6">
        <f t="shared" si="24"/>
        <v>718</v>
      </c>
      <c r="DF43" s="6">
        <f t="shared" si="29"/>
        <v>270</v>
      </c>
      <c r="DG43" s="6"/>
      <c r="DH43" s="6"/>
      <c r="DI43" s="6"/>
      <c r="DJ43" s="6"/>
      <c r="DK43" s="6"/>
      <c r="DL43" s="6"/>
      <c r="DM43" s="6"/>
      <c r="DN43" s="6"/>
      <c r="DO43" s="6"/>
    </row>
    <row r="44" spans="2:125" s="5" customFormat="1" x14ac:dyDescent="0.25">
      <c r="B44" s="62" t="s">
        <v>423</v>
      </c>
      <c r="C44" s="6"/>
      <c r="D44" s="6"/>
      <c r="E44" s="6"/>
      <c r="F44" s="6"/>
      <c r="G44" s="6">
        <v>17</v>
      </c>
      <c r="H44" s="6">
        <v>193</v>
      </c>
      <c r="I44" s="6">
        <v>200</v>
      </c>
      <c r="J44" s="6">
        <v>211</v>
      </c>
      <c r="K44" s="6">
        <v>197</v>
      </c>
      <c r="L44" s="6">
        <v>226</v>
      </c>
      <c r="M44" s="6">
        <f>874-L44-K44-N44</f>
        <v>218</v>
      </c>
      <c r="N44" s="6">
        <v>233</v>
      </c>
      <c r="O44" s="6">
        <v>207</v>
      </c>
      <c r="P44" s="6">
        <v>189</v>
      </c>
      <c r="Q44" s="6">
        <f>604-P44-O44</f>
        <v>208</v>
      </c>
      <c r="R44" s="6">
        <v>195</v>
      </c>
      <c r="S44" s="6">
        <v>174</v>
      </c>
      <c r="T44" s="6">
        <v>197</v>
      </c>
      <c r="U44" s="6">
        <v>188</v>
      </c>
      <c r="V44" s="6">
        <v>200</v>
      </c>
      <c r="W44" s="6">
        <v>187</v>
      </c>
      <c r="X44" s="6">
        <v>202</v>
      </c>
      <c r="Y44" s="6">
        <v>200</v>
      </c>
      <c r="Z44" s="6">
        <v>198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</row>
    <row r="45" spans="2:125" s="5" customFormat="1" x14ac:dyDescent="0.25">
      <c r="B45" s="5" t="s"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241</v>
      </c>
      <c r="AN45" s="6">
        <v>284</v>
      </c>
      <c r="AO45" s="6">
        <v>287</v>
      </c>
      <c r="AP45" s="6">
        <v>373</v>
      </c>
      <c r="AQ45" s="6">
        <v>240</v>
      </c>
      <c r="AR45" s="6">
        <v>258</v>
      </c>
      <c r="AS45" s="6">
        <v>248</v>
      </c>
      <c r="AT45" s="6">
        <v>289</v>
      </c>
      <c r="AU45" s="6">
        <v>254</v>
      </c>
      <c r="AV45" s="6">
        <v>218</v>
      </c>
      <c r="AW45" s="6">
        <v>232</v>
      </c>
      <c r="AX45" s="6">
        <v>230</v>
      </c>
      <c r="AY45" s="6">
        <v>153</v>
      </c>
      <c r="AZ45" s="6">
        <v>170</v>
      </c>
      <c r="BA45" s="6">
        <v>177</v>
      </c>
      <c r="BB45" s="6">
        <v>194</v>
      </c>
      <c r="BC45" s="6">
        <v>156</v>
      </c>
      <c r="BD45" s="6">
        <v>171</v>
      </c>
      <c r="BE45" s="6">
        <v>174</v>
      </c>
      <c r="BF45" s="6">
        <v>174</v>
      </c>
      <c r="BG45" s="6">
        <v>136</v>
      </c>
      <c r="BH45" s="6">
        <v>154</v>
      </c>
      <c r="BI45" s="6">
        <v>147</v>
      </c>
      <c r="BJ45" s="6">
        <v>140</v>
      </c>
      <c r="BK45" s="6">
        <v>130</v>
      </c>
      <c r="BL45" s="6">
        <v>128</v>
      </c>
      <c r="BM45" s="6">
        <v>135</v>
      </c>
      <c r="BN45" s="6">
        <v>76</v>
      </c>
      <c r="BO45" s="6">
        <v>74</v>
      </c>
      <c r="BP45" s="6">
        <v>22</v>
      </c>
      <c r="BQ45" s="6">
        <v>53</v>
      </c>
      <c r="BR45" s="6">
        <v>23</v>
      </c>
      <c r="BS45" s="6">
        <v>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>
        <v>1035</v>
      </c>
      <c r="CZ45" s="6">
        <v>934</v>
      </c>
      <c r="DA45" s="6">
        <v>694</v>
      </c>
      <c r="DB45" s="6">
        <v>675</v>
      </c>
      <c r="DC45" s="6">
        <v>577</v>
      </c>
      <c r="DD45" s="6">
        <f t="shared" si="23"/>
        <v>469</v>
      </c>
      <c r="DE45" s="6">
        <f t="shared" si="24"/>
        <v>172</v>
      </c>
      <c r="DF45" s="6">
        <f t="shared" si="29"/>
        <v>8</v>
      </c>
      <c r="DG45" s="6"/>
      <c r="DH45" s="6"/>
      <c r="DI45" s="6"/>
      <c r="DJ45" s="6"/>
      <c r="DK45" s="6"/>
      <c r="DL45" s="6"/>
      <c r="DM45" s="6"/>
      <c r="DN45" s="6"/>
      <c r="DO45" s="6"/>
    </row>
    <row r="46" spans="2:125" s="5" customFormat="1" x14ac:dyDescent="0.25">
      <c r="B46" s="62" t="s">
        <v>440</v>
      </c>
      <c r="C46" s="6"/>
      <c r="D46" s="6"/>
      <c r="E46" s="6"/>
      <c r="F46" s="6"/>
      <c r="G46" s="6">
        <v>104</v>
      </c>
      <c r="H46" s="6">
        <v>104</v>
      </c>
      <c r="I46" s="6">
        <v>126</v>
      </c>
      <c r="J46" s="6">
        <v>258</v>
      </c>
      <c r="K46" s="6">
        <v>293</v>
      </c>
      <c r="L46" s="6">
        <v>322</v>
      </c>
      <c r="M46" s="6">
        <f>1232-N46-K46-L46</f>
        <v>311</v>
      </c>
      <c r="N46" s="6">
        <v>306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</row>
    <row r="47" spans="2:125" s="5" customFormat="1" x14ac:dyDescent="0.25">
      <c r="B47" s="62" t="s">
        <v>428</v>
      </c>
      <c r="C47" s="6"/>
      <c r="D47" s="6"/>
      <c r="E47" s="6"/>
      <c r="F47" s="6"/>
      <c r="G47" s="6">
        <v>75</v>
      </c>
      <c r="H47" s="6">
        <v>50</v>
      </c>
      <c r="I47" s="6">
        <v>50</v>
      </c>
      <c r="J47" s="6">
        <v>148</v>
      </c>
      <c r="K47" s="6">
        <v>135</v>
      </c>
      <c r="L47" s="6">
        <v>85</v>
      </c>
      <c r="M47" s="6">
        <f>495-N47-L47-K47</f>
        <v>86</v>
      </c>
      <c r="N47" s="6">
        <v>189</v>
      </c>
      <c r="O47" s="6">
        <v>143</v>
      </c>
      <c r="P47" s="6">
        <v>135</v>
      </c>
      <c r="Q47" s="6">
        <f>378-P47-O47</f>
        <v>100</v>
      </c>
      <c r="R47" s="6">
        <v>259</v>
      </c>
      <c r="S47" s="6">
        <v>161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</row>
    <row r="48" spans="2:125" s="5" customFormat="1" x14ac:dyDescent="0.25">
      <c r="B48" s="62" t="s">
        <v>418</v>
      </c>
      <c r="C48" s="6"/>
      <c r="D48" s="6"/>
      <c r="E48" s="6"/>
      <c r="F48" s="6"/>
      <c r="G48" s="6">
        <v>290</v>
      </c>
      <c r="H48" s="6">
        <v>286</v>
      </c>
      <c r="I48" s="6">
        <v>224</v>
      </c>
      <c r="J48" s="6">
        <v>383</v>
      </c>
      <c r="K48" s="6">
        <v>353</v>
      </c>
      <c r="L48" s="6">
        <v>254</v>
      </c>
      <c r="M48" s="6">
        <f>1065-N48-L48-K48</f>
        <v>177</v>
      </c>
      <c r="N48" s="6">
        <v>281</v>
      </c>
      <c r="O48" s="6">
        <v>249</v>
      </c>
      <c r="P48" s="6">
        <v>138</v>
      </c>
      <c r="Q48" s="6">
        <f>580-P48-O48</f>
        <v>193</v>
      </c>
      <c r="R48" s="6">
        <v>235</v>
      </c>
      <c r="S48" s="6">
        <v>224</v>
      </c>
      <c r="T48" s="6">
        <v>170</v>
      </c>
      <c r="U48" s="6">
        <v>131</v>
      </c>
      <c r="V48" s="6">
        <v>200</v>
      </c>
      <c r="W48" s="6">
        <v>222</v>
      </c>
      <c r="X48" s="6">
        <v>159</v>
      </c>
      <c r="Y48" s="6">
        <v>115</v>
      </c>
      <c r="Z48" s="6">
        <v>154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</row>
    <row r="49" spans="2:125" s="5" customFormat="1" x14ac:dyDescent="0.25">
      <c r="B49" s="5" t="s">
        <v>11</v>
      </c>
      <c r="C49" s="6"/>
      <c r="D49" s="6"/>
      <c r="E49" s="6"/>
      <c r="F49" s="6"/>
      <c r="G49" s="6">
        <v>200</v>
      </c>
      <c r="H49" s="6">
        <v>225</v>
      </c>
      <c r="I49" s="6">
        <v>224</v>
      </c>
      <c r="J49" s="6">
        <v>247</v>
      </c>
      <c r="K49" s="6">
        <v>238</v>
      </c>
      <c r="L49" s="6">
        <v>236</v>
      </c>
      <c r="M49" s="6">
        <f>1005-N49-L49-K49</f>
        <v>259</v>
      </c>
      <c r="N49" s="6">
        <v>272</v>
      </c>
      <c r="O49" s="6">
        <v>280</v>
      </c>
      <c r="P49" s="6">
        <v>294</v>
      </c>
      <c r="Q49" s="6">
        <f>839-P49-O49</f>
        <v>265</v>
      </c>
      <c r="R49" s="6">
        <v>159</v>
      </c>
      <c r="S49" s="6">
        <v>300</v>
      </c>
      <c r="T49" s="6">
        <v>315</v>
      </c>
      <c r="U49" s="6">
        <v>338</v>
      </c>
      <c r="V49" s="6">
        <v>371</v>
      </c>
      <c r="W49" s="6">
        <v>353</v>
      </c>
      <c r="X49" s="6">
        <v>355</v>
      </c>
      <c r="Y49" s="6">
        <v>387</v>
      </c>
      <c r="Z49" s="6">
        <v>378</v>
      </c>
      <c r="AA49" s="6">
        <f>635-AB49</f>
        <v>292</v>
      </c>
      <c r="AB49" s="6">
        <v>343</v>
      </c>
      <c r="AC49" s="6">
        <v>353</v>
      </c>
      <c r="AD49" s="6">
        <v>378</v>
      </c>
      <c r="AE49" s="6">
        <v>292</v>
      </c>
      <c r="AF49" s="6">
        <v>294</v>
      </c>
      <c r="AG49" s="6">
        <v>328</v>
      </c>
      <c r="AH49" s="6">
        <v>341</v>
      </c>
      <c r="AI49" s="6">
        <v>248</v>
      </c>
      <c r="AJ49" s="6">
        <v>336</v>
      </c>
      <c r="AK49" s="6">
        <f>1170-AJ49-AI49-AL49</f>
        <v>298</v>
      </c>
      <c r="AL49" s="6">
        <v>288</v>
      </c>
      <c r="AM49" s="6">
        <v>221</v>
      </c>
      <c r="AN49" s="6">
        <v>275</v>
      </c>
      <c r="AO49" s="6">
        <v>267</v>
      </c>
      <c r="AP49" s="6">
        <v>250</v>
      </c>
      <c r="AQ49" s="6">
        <v>219</v>
      </c>
      <c r="AR49" s="6">
        <v>278</v>
      </c>
      <c r="AS49" s="6">
        <v>237</v>
      </c>
      <c r="AT49" s="6">
        <v>228</v>
      </c>
      <c r="AU49" s="6">
        <v>195</v>
      </c>
      <c r="AV49" s="6">
        <v>216</v>
      </c>
      <c r="AW49" s="6">
        <v>256</v>
      </c>
      <c r="AX49" s="6">
        <v>203</v>
      </c>
      <c r="AY49" s="6">
        <v>180</v>
      </c>
      <c r="AZ49" s="6">
        <v>167</v>
      </c>
      <c r="BA49" s="6">
        <v>168</v>
      </c>
      <c r="BB49" s="6">
        <v>185</v>
      </c>
      <c r="BC49" s="6">
        <v>133</v>
      </c>
      <c r="BD49" s="6">
        <v>146</v>
      </c>
      <c r="BE49" s="6">
        <v>137</v>
      </c>
      <c r="BF49" s="6">
        <v>133</v>
      </c>
      <c r="BG49" s="6">
        <v>115</v>
      </c>
      <c r="BH49" s="6">
        <v>110</v>
      </c>
      <c r="BI49" s="6">
        <v>85</v>
      </c>
      <c r="BJ49" s="6">
        <v>113</v>
      </c>
      <c r="BK49" s="6">
        <v>73</v>
      </c>
      <c r="BL49" s="6">
        <v>91</v>
      </c>
      <c r="BM49" s="6">
        <v>88</v>
      </c>
      <c r="BN49" s="6">
        <v>84</v>
      </c>
      <c r="BO49" s="6">
        <v>78</v>
      </c>
      <c r="BP49" s="6">
        <v>77</v>
      </c>
      <c r="BQ49" s="6">
        <v>74</v>
      </c>
      <c r="BR49" s="6">
        <v>54</v>
      </c>
      <c r="BS49" s="6">
        <v>86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1013</v>
      </c>
      <c r="CY49" s="6">
        <v>962</v>
      </c>
      <c r="CZ49" s="6">
        <v>870</v>
      </c>
      <c r="DA49" s="6">
        <v>700</v>
      </c>
      <c r="DB49" s="6">
        <v>549</v>
      </c>
      <c r="DC49" s="6">
        <v>423</v>
      </c>
      <c r="DD49" s="6">
        <f t="shared" si="23"/>
        <v>336</v>
      </c>
      <c r="DE49" s="6">
        <f t="shared" si="24"/>
        <v>283</v>
      </c>
      <c r="DF49" s="6">
        <f t="shared" si="29"/>
        <v>86</v>
      </c>
      <c r="DG49" s="6"/>
      <c r="DH49" s="6"/>
      <c r="DI49" s="6"/>
      <c r="DJ49" s="6"/>
      <c r="DK49" s="6"/>
      <c r="DL49" s="6"/>
      <c r="DM49" s="6"/>
      <c r="DN49" s="6"/>
      <c r="DO49" s="6"/>
    </row>
    <row r="50" spans="2:125" s="5" customFormat="1" x14ac:dyDescent="0.25">
      <c r="B50" s="62" t="s">
        <v>417</v>
      </c>
      <c r="C50" s="6"/>
      <c r="D50" s="6"/>
      <c r="E50" s="6"/>
      <c r="F50" s="6"/>
      <c r="G50" s="6">
        <v>225</v>
      </c>
      <c r="H50" s="6">
        <v>224</v>
      </c>
      <c r="I50" s="6">
        <v>262</v>
      </c>
      <c r="J50" s="6">
        <v>317</v>
      </c>
      <c r="K50" s="6">
        <v>217</v>
      </c>
      <c r="L50" s="6">
        <v>267</v>
      </c>
      <c r="M50" s="6">
        <f>1096-N50-L50-K50</f>
        <v>262</v>
      </c>
      <c r="N50" s="6">
        <v>350</v>
      </c>
      <c r="O50" s="6">
        <v>246</v>
      </c>
      <c r="P50" s="6">
        <v>339</v>
      </c>
      <c r="Q50" s="6">
        <f>904-P50-O50</f>
        <v>319</v>
      </c>
      <c r="R50" s="6">
        <v>405</v>
      </c>
      <c r="S50" s="6">
        <v>326</v>
      </c>
      <c r="T50" s="6">
        <v>404</v>
      </c>
      <c r="U50" s="6">
        <v>383</v>
      </c>
      <c r="V50" s="6">
        <v>461</v>
      </c>
      <c r="W50" s="6">
        <v>365</v>
      </c>
      <c r="X50" s="6">
        <v>414</v>
      </c>
      <c r="Y50" s="6">
        <v>387</v>
      </c>
      <c r="Z50" s="6">
        <v>268</v>
      </c>
      <c r="AA50" s="6">
        <f>232-AB50</f>
        <v>130</v>
      </c>
      <c r="AB50" s="6">
        <v>102</v>
      </c>
      <c r="AC50" s="6">
        <v>92</v>
      </c>
      <c r="AD50" s="6">
        <v>102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</row>
    <row r="51" spans="2:125" s="5" customFormat="1" x14ac:dyDescent="0.25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142</v>
      </c>
      <c r="T51" s="6">
        <v>170</v>
      </c>
      <c r="U51" s="6">
        <v>167</v>
      </c>
      <c r="V51" s="6">
        <v>179</v>
      </c>
      <c r="W51" s="6">
        <v>176</v>
      </c>
      <c r="X51" s="6">
        <v>194</v>
      </c>
      <c r="Y51" s="6">
        <v>194</v>
      </c>
      <c r="Z51" s="6">
        <v>221</v>
      </c>
      <c r="AA51" s="6">
        <f>386-AB51</f>
        <v>178</v>
      </c>
      <c r="AB51" s="6">
        <v>208</v>
      </c>
      <c r="AC51" s="6">
        <v>215</v>
      </c>
      <c r="AD51" s="6">
        <v>254</v>
      </c>
      <c r="AE51" s="6">
        <v>205</v>
      </c>
      <c r="AF51" s="6">
        <v>211</v>
      </c>
      <c r="AG51" s="6">
        <v>225</v>
      </c>
      <c r="AH51" s="6">
        <v>286</v>
      </c>
      <c r="AI51" s="6">
        <v>226</v>
      </c>
      <c r="AJ51" s="6">
        <v>247</v>
      </c>
      <c r="AK51" s="6">
        <f>976-AJ51-AI51-AL51</f>
        <v>245</v>
      </c>
      <c r="AL51" s="6">
        <v>258</v>
      </c>
      <c r="AM51" s="6">
        <v>191</v>
      </c>
      <c r="AN51" s="6">
        <v>211</v>
      </c>
      <c r="AO51" s="6">
        <v>232</v>
      </c>
      <c r="AP51" s="6">
        <v>277</v>
      </c>
      <c r="AQ51" s="6">
        <v>186</v>
      </c>
      <c r="AR51" s="6">
        <v>232</v>
      </c>
      <c r="AS51" s="6">
        <v>201</v>
      </c>
      <c r="AT51" s="6">
        <v>31</v>
      </c>
      <c r="AU51" s="6">
        <v>47</v>
      </c>
      <c r="AV51" s="6">
        <v>21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>
        <f t="shared" si="23"/>
        <v>0</v>
      </c>
      <c r="DE51" s="6">
        <f t="shared" si="24"/>
        <v>0</v>
      </c>
      <c r="DF51" s="6">
        <f t="shared" si="29"/>
        <v>0</v>
      </c>
      <c r="DG51" s="6"/>
      <c r="DH51" s="6"/>
      <c r="DI51" s="6"/>
      <c r="DJ51" s="6"/>
      <c r="DK51" s="6"/>
      <c r="DL51" s="6"/>
      <c r="DM51" s="6"/>
      <c r="DN51" s="6"/>
      <c r="DO51" s="6"/>
    </row>
    <row r="52" spans="2:125" s="5" customFormat="1" x14ac:dyDescent="0.25">
      <c r="B52" s="30" t="s">
        <v>233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">
        <v>48</v>
      </c>
      <c r="AY52" s="6">
        <v>231</v>
      </c>
      <c r="AZ52" s="6">
        <v>385</v>
      </c>
      <c r="BA52" s="6">
        <v>469</v>
      </c>
      <c r="BB52" s="6">
        <v>554</v>
      </c>
      <c r="BC52" s="6">
        <v>414</v>
      </c>
      <c r="BD52" s="6">
        <v>419</v>
      </c>
      <c r="BE52" s="6">
        <v>378</v>
      </c>
      <c r="BF52" s="6">
        <v>311</v>
      </c>
      <c r="BG52" s="6">
        <v>263</v>
      </c>
      <c r="BH52" s="6">
        <v>225</v>
      </c>
      <c r="BI52" s="6">
        <v>0</v>
      </c>
      <c r="BJ52" s="6">
        <v>0</v>
      </c>
      <c r="BK52" s="6">
        <v>0</v>
      </c>
      <c r="BL52" s="6">
        <v>0</v>
      </c>
      <c r="BM52" s="6">
        <v>23</v>
      </c>
      <c r="BN52" s="6">
        <v>43</v>
      </c>
      <c r="BO52" s="6">
        <v>25</v>
      </c>
      <c r="BP52" s="6">
        <v>4</v>
      </c>
      <c r="BQ52" s="6">
        <v>3</v>
      </c>
      <c r="BR52" s="6">
        <v>4</v>
      </c>
      <c r="BS52" s="6">
        <v>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>
        <v>0</v>
      </c>
      <c r="CZ52" s="6">
        <v>48</v>
      </c>
      <c r="DA52" s="6">
        <v>1639</v>
      </c>
      <c r="DB52" s="6">
        <v>1522</v>
      </c>
      <c r="DC52" s="6"/>
      <c r="DD52" s="6">
        <f t="shared" si="23"/>
        <v>66</v>
      </c>
      <c r="DE52" s="6">
        <f t="shared" si="24"/>
        <v>36</v>
      </c>
      <c r="DF52" s="6">
        <f t="shared" si="29"/>
        <v>5</v>
      </c>
      <c r="DG52" s="6"/>
      <c r="DH52" s="6"/>
      <c r="DI52" s="6"/>
      <c r="DJ52" s="6"/>
      <c r="DK52" s="6"/>
      <c r="DL52" s="6"/>
      <c r="DM52" s="6"/>
      <c r="DN52" s="6"/>
      <c r="DO52" s="6"/>
    </row>
    <row r="53" spans="2:125" s="5" customFormat="1" x14ac:dyDescent="0.25">
      <c r="B53" s="5" t="s">
        <v>8</v>
      </c>
      <c r="C53" s="6"/>
      <c r="D53" s="6"/>
      <c r="E53" s="6"/>
      <c r="F53" s="6"/>
      <c r="G53" s="6"/>
      <c r="H53" s="6"/>
      <c r="I53" s="6">
        <v>208</v>
      </c>
      <c r="J53" s="6">
        <v>227</v>
      </c>
      <c r="K53" s="6">
        <v>171</v>
      </c>
      <c r="L53" s="6">
        <v>219</v>
      </c>
      <c r="M53" s="6">
        <f>927-N53-L53-K53</f>
        <v>225</v>
      </c>
      <c r="N53" s="6">
        <v>312</v>
      </c>
      <c r="O53" s="6">
        <v>205</v>
      </c>
      <c r="P53" s="6">
        <v>266</v>
      </c>
      <c r="Q53" s="6">
        <f>722-P53-O53</f>
        <v>251</v>
      </c>
      <c r="R53" s="6">
        <v>326</v>
      </c>
      <c r="S53" s="6">
        <v>223</v>
      </c>
      <c r="T53" s="6">
        <v>302</v>
      </c>
      <c r="U53" s="6">
        <v>300</v>
      </c>
      <c r="V53" s="6">
        <v>392</v>
      </c>
      <c r="W53" s="6">
        <v>245</v>
      </c>
      <c r="X53" s="6">
        <v>307</v>
      </c>
      <c r="Y53" s="6">
        <v>334</v>
      </c>
      <c r="Z53" s="6">
        <v>455</v>
      </c>
      <c r="AA53" s="6">
        <f>588-AB53</f>
        <v>252</v>
      </c>
      <c r="AB53" s="6">
        <v>336</v>
      </c>
      <c r="AC53" s="6">
        <v>330</v>
      </c>
      <c r="AD53" s="6">
        <v>419</v>
      </c>
      <c r="AE53" s="6">
        <v>291</v>
      </c>
      <c r="AF53" s="6">
        <v>388</v>
      </c>
      <c r="AG53" s="6">
        <v>404</v>
      </c>
      <c r="AH53" s="6">
        <v>499</v>
      </c>
      <c r="AI53" s="6">
        <v>372</v>
      </c>
      <c r="AJ53" s="6">
        <v>419</v>
      </c>
      <c r="AK53" s="6">
        <f>1692-AJ53-AI53-AL53</f>
        <v>418</v>
      </c>
      <c r="AL53" s="6">
        <v>483</v>
      </c>
      <c r="AM53" s="6">
        <v>329</v>
      </c>
      <c r="AN53" s="6">
        <v>388</v>
      </c>
      <c r="AO53" s="6">
        <v>404</v>
      </c>
      <c r="AP53" s="6">
        <v>269</v>
      </c>
      <c r="AQ53" s="6">
        <v>128</v>
      </c>
      <c r="AR53" s="6">
        <v>107</v>
      </c>
      <c r="AS53" s="6">
        <v>39</v>
      </c>
      <c r="AT53" s="6">
        <v>29</v>
      </c>
      <c r="AU53" s="6">
        <v>23</v>
      </c>
      <c r="AV53" s="6">
        <v>17</v>
      </c>
      <c r="AW53" s="6">
        <v>63</v>
      </c>
      <c r="AX53" s="6">
        <v>104</v>
      </c>
      <c r="AY53" s="6"/>
      <c r="AZ53" s="6"/>
      <c r="BA53" s="6"/>
      <c r="BB53" s="6"/>
      <c r="BC53" s="6"/>
      <c r="BD53" s="6"/>
      <c r="BE53" s="6"/>
      <c r="BF53" s="6"/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>
        <f t="shared" si="23"/>
        <v>0</v>
      </c>
      <c r="DE53" s="6">
        <f t="shared" si="24"/>
        <v>0</v>
      </c>
      <c r="DF53" s="6">
        <f t="shared" si="29"/>
        <v>0</v>
      </c>
      <c r="DG53" s="6"/>
      <c r="DH53" s="6"/>
      <c r="DI53" s="6"/>
      <c r="DJ53" s="6"/>
      <c r="DK53" s="6"/>
      <c r="DL53" s="6"/>
      <c r="DM53" s="6"/>
      <c r="DN53" s="6"/>
      <c r="DO53" s="6"/>
    </row>
    <row r="54" spans="2:125" s="5" customFormat="1" x14ac:dyDescent="0.25">
      <c r="B54" s="5" t="s">
        <v>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>
        <v>135</v>
      </c>
      <c r="AP54" s="6"/>
      <c r="AQ54" s="6">
        <f>274-AR54</f>
        <v>137</v>
      </c>
      <c r="AR54" s="6">
        <v>137</v>
      </c>
      <c r="AS54" s="6">
        <v>138</v>
      </c>
      <c r="AT54" s="6">
        <v>156</v>
      </c>
      <c r="AU54" s="6">
        <v>142</v>
      </c>
      <c r="AV54" s="6">
        <v>154</v>
      </c>
      <c r="AW54" s="6">
        <v>134</v>
      </c>
      <c r="AX54" s="6">
        <v>120</v>
      </c>
      <c r="AY54" s="6">
        <v>126</v>
      </c>
      <c r="AZ54" s="6">
        <v>118</v>
      </c>
      <c r="BA54" s="6">
        <v>122</v>
      </c>
      <c r="BB54" s="6">
        <v>108</v>
      </c>
      <c r="BC54" s="6">
        <v>111</v>
      </c>
      <c r="BD54" s="6">
        <v>114</v>
      </c>
      <c r="BE54" s="6">
        <v>102</v>
      </c>
      <c r="BF54" s="6">
        <v>101</v>
      </c>
      <c r="BG54" s="6">
        <v>107</v>
      </c>
      <c r="BH54" s="6">
        <v>104</v>
      </c>
      <c r="BI54" s="6">
        <v>100</v>
      </c>
      <c r="BJ54" s="6">
        <v>99</v>
      </c>
      <c r="BK54" s="6">
        <v>106</v>
      </c>
      <c r="BL54" s="6">
        <v>113</v>
      </c>
      <c r="BM54" s="6">
        <v>86</v>
      </c>
      <c r="BN54" s="6">
        <v>86</v>
      </c>
      <c r="BO54" s="6">
        <v>92</v>
      </c>
      <c r="BP54" s="6">
        <v>91</v>
      </c>
      <c r="BQ54" s="6">
        <v>84</v>
      </c>
      <c r="BR54" s="6">
        <v>81</v>
      </c>
      <c r="BS54" s="6">
        <v>79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>
        <v>568</v>
      </c>
      <c r="CZ54" s="6">
        <v>550</v>
      </c>
      <c r="DA54" s="6">
        <v>474</v>
      </c>
      <c r="DB54" s="6">
        <v>428</v>
      </c>
      <c r="DC54" s="6">
        <v>410</v>
      </c>
      <c r="DD54" s="6">
        <f t="shared" si="23"/>
        <v>391</v>
      </c>
      <c r="DE54" s="6">
        <f t="shared" si="24"/>
        <v>348</v>
      </c>
      <c r="DF54" s="6">
        <f t="shared" si="29"/>
        <v>79</v>
      </c>
      <c r="DG54" s="6"/>
      <c r="DH54" s="6"/>
      <c r="DI54" s="6"/>
      <c r="DJ54" s="6"/>
      <c r="DK54" s="6"/>
      <c r="DL54" s="6"/>
      <c r="DM54" s="6"/>
      <c r="DN54" s="6"/>
      <c r="DO54" s="6"/>
    </row>
    <row r="55" spans="2:125" s="5" customFormat="1" x14ac:dyDescent="0.25">
      <c r="B55" s="5" t="s">
        <v>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>
        <v>91</v>
      </c>
      <c r="AP55" s="6"/>
      <c r="AQ55" s="6">
        <v>81</v>
      </c>
      <c r="AR55" s="6">
        <v>107</v>
      </c>
      <c r="AS55" s="6">
        <v>100</v>
      </c>
      <c r="AT55" s="6">
        <v>101</v>
      </c>
      <c r="AU55" s="6"/>
      <c r="AV55" s="6">
        <v>0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>
        <f t="shared" si="23"/>
        <v>0</v>
      </c>
      <c r="DE55" s="6">
        <f t="shared" si="24"/>
        <v>0</v>
      </c>
      <c r="DF55" s="6">
        <f t="shared" si="29"/>
        <v>0</v>
      </c>
      <c r="DG55" s="6"/>
      <c r="DH55" s="6"/>
      <c r="DI55" s="6"/>
      <c r="DJ55" s="6"/>
      <c r="DK55" s="6"/>
      <c r="DL55" s="6"/>
      <c r="DM55" s="6"/>
      <c r="DN55" s="6"/>
      <c r="DO55" s="6"/>
    </row>
    <row r="56" spans="2:125" s="5" customFormat="1" x14ac:dyDescent="0.25">
      <c r="B56" s="5" t="s">
        <v>13</v>
      </c>
      <c r="C56" s="6">
        <f t="shared" ref="C56:AH56" si="160">SUM(C5:C55)</f>
        <v>30</v>
      </c>
      <c r="D56" s="6">
        <f t="shared" si="160"/>
        <v>60</v>
      </c>
      <c r="E56" s="6">
        <f t="shared" si="160"/>
        <v>80</v>
      </c>
      <c r="F56" s="6">
        <f t="shared" si="160"/>
        <v>110</v>
      </c>
      <c r="G56" s="6">
        <f t="shared" si="160"/>
        <v>2207</v>
      </c>
      <c r="H56" s="6">
        <f t="shared" si="160"/>
        <v>2435</v>
      </c>
      <c r="I56" s="6">
        <f t="shared" si="160"/>
        <v>2684</v>
      </c>
      <c r="J56" s="6">
        <f t="shared" si="160"/>
        <v>2994</v>
      </c>
      <c r="K56" s="6">
        <f t="shared" si="160"/>
        <v>2871</v>
      </c>
      <c r="L56" s="6">
        <f t="shared" si="160"/>
        <v>2662</v>
      </c>
      <c r="M56" s="6">
        <f t="shared" si="160"/>
        <v>3248</v>
      </c>
      <c r="N56" s="6">
        <f t="shared" si="160"/>
        <v>3440</v>
      </c>
      <c r="O56" s="6">
        <f t="shared" si="160"/>
        <v>2725</v>
      </c>
      <c r="P56" s="6">
        <f t="shared" si="160"/>
        <v>2925</v>
      </c>
      <c r="Q56" s="6">
        <f t="shared" si="160"/>
        <v>2889</v>
      </c>
      <c r="R56" s="6">
        <f t="shared" si="160"/>
        <v>3311</v>
      </c>
      <c r="S56" s="6">
        <f t="shared" si="160"/>
        <v>2250</v>
      </c>
      <c r="T56" s="6">
        <f t="shared" si="160"/>
        <v>2414</v>
      </c>
      <c r="U56" s="6">
        <f t="shared" si="160"/>
        <v>2440</v>
      </c>
      <c r="V56" s="6">
        <f t="shared" si="160"/>
        <v>2910</v>
      </c>
      <c r="W56" s="6">
        <f t="shared" si="160"/>
        <v>2605</v>
      </c>
      <c r="X56" s="6">
        <f t="shared" si="160"/>
        <v>3012</v>
      </c>
      <c r="Y56" s="6">
        <f t="shared" si="160"/>
        <v>3171</v>
      </c>
      <c r="Z56" s="6">
        <f t="shared" si="160"/>
        <v>3380</v>
      </c>
      <c r="AA56" s="6">
        <f t="shared" si="160"/>
        <v>2173</v>
      </c>
      <c r="AB56" s="6">
        <f t="shared" si="160"/>
        <v>2613</v>
      </c>
      <c r="AC56" s="6">
        <f t="shared" si="160"/>
        <v>2810</v>
      </c>
      <c r="AD56" s="6">
        <f t="shared" si="160"/>
        <v>3178</v>
      </c>
      <c r="AE56" s="6">
        <f t="shared" si="160"/>
        <v>2480</v>
      </c>
      <c r="AF56" s="6">
        <f t="shared" si="160"/>
        <v>2802</v>
      </c>
      <c r="AG56" s="6">
        <f t="shared" si="160"/>
        <v>2968</v>
      </c>
      <c r="AH56" s="6">
        <f t="shared" si="160"/>
        <v>3365</v>
      </c>
      <c r="AI56" s="6">
        <f t="shared" ref="AI56:BF56" si="161">SUM(AI5:AI55)</f>
        <v>2821</v>
      </c>
      <c r="AJ56" s="6">
        <f t="shared" si="161"/>
        <v>3373</v>
      </c>
      <c r="AK56" s="6">
        <f t="shared" si="161"/>
        <v>3446</v>
      </c>
      <c r="AL56" s="6">
        <f t="shared" si="161"/>
        <v>3578</v>
      </c>
      <c r="AM56" s="6">
        <f t="shared" si="161"/>
        <v>3416</v>
      </c>
      <c r="AN56" s="6">
        <f t="shared" si="161"/>
        <v>3995</v>
      </c>
      <c r="AO56" s="6">
        <f t="shared" si="161"/>
        <v>4383</v>
      </c>
      <c r="AP56" s="6">
        <f t="shared" si="161"/>
        <v>4443</v>
      </c>
      <c r="AQ56" s="6">
        <f t="shared" si="161"/>
        <v>4009</v>
      </c>
      <c r="AR56" s="6">
        <f t="shared" si="161"/>
        <v>4297</v>
      </c>
      <c r="AS56" s="6">
        <f t="shared" si="161"/>
        <v>4335</v>
      </c>
      <c r="AT56" s="6">
        <f t="shared" si="161"/>
        <v>4749</v>
      </c>
      <c r="AU56" s="6">
        <f t="shared" si="161"/>
        <v>4157</v>
      </c>
      <c r="AV56" s="6">
        <f t="shared" si="161"/>
        <v>4506</v>
      </c>
      <c r="AW56" s="6">
        <f t="shared" si="161"/>
        <v>4649</v>
      </c>
      <c r="AX56" s="6">
        <f t="shared" si="161"/>
        <v>4966</v>
      </c>
      <c r="AY56" s="6">
        <f t="shared" si="161"/>
        <v>4694</v>
      </c>
      <c r="AZ56" s="6">
        <f t="shared" si="161"/>
        <v>5129</v>
      </c>
      <c r="BA56" s="6">
        <f t="shared" si="161"/>
        <v>5591</v>
      </c>
      <c r="BB56" s="6">
        <f t="shared" si="161"/>
        <v>6043</v>
      </c>
      <c r="BC56" s="6">
        <f t="shared" si="161"/>
        <v>5681</v>
      </c>
      <c r="BD56" s="6">
        <f t="shared" si="161"/>
        <v>6143</v>
      </c>
      <c r="BE56" s="6">
        <f t="shared" si="161"/>
        <v>6090</v>
      </c>
      <c r="BF56" s="6">
        <f t="shared" si="161"/>
        <v>6507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>
        <f t="shared" si="23"/>
        <v>0</v>
      </c>
      <c r="DE56" s="6">
        <f t="shared" si="24"/>
        <v>0</v>
      </c>
      <c r="DF56" s="6">
        <f t="shared" si="29"/>
        <v>0</v>
      </c>
      <c r="DG56" s="6"/>
      <c r="DH56" s="6"/>
      <c r="DI56" s="6"/>
      <c r="DJ56" s="6"/>
      <c r="DK56" s="6"/>
      <c r="DL56" s="6"/>
      <c r="DM56" s="6"/>
      <c r="DN56" s="6"/>
      <c r="DO56" s="6"/>
    </row>
    <row r="57" spans="2:125" s="5" customFormat="1" x14ac:dyDescent="0.25">
      <c r="B57" s="5" t="s">
        <v>12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301</v>
      </c>
      <c r="AP57" s="6"/>
      <c r="AQ57" s="6">
        <f>+AQ58-AQ56</f>
        <v>320</v>
      </c>
      <c r="AR57" s="6">
        <v>395</v>
      </c>
      <c r="AS57" s="6">
        <v>323</v>
      </c>
      <c r="AT57" s="6">
        <v>362</v>
      </c>
      <c r="AU57" s="6">
        <v>406</v>
      </c>
      <c r="AV57" s="6">
        <f>4926-AV56</f>
        <v>420</v>
      </c>
      <c r="AW57" s="6">
        <v>370</v>
      </c>
      <c r="AX57" s="6">
        <v>486</v>
      </c>
      <c r="AY57" s="6">
        <v>346</v>
      </c>
      <c r="AZ57" s="6">
        <v>346</v>
      </c>
      <c r="BA57" s="6">
        <v>353</v>
      </c>
      <c r="BB57" s="6">
        <v>317</v>
      </c>
      <c r="BC57" s="6">
        <v>277</v>
      </c>
      <c r="BD57" s="6">
        <v>289</v>
      </c>
      <c r="BE57" s="6">
        <v>296</v>
      </c>
      <c r="BF57" s="6">
        <v>277</v>
      </c>
      <c r="BG57" s="6">
        <f>6538-SUM(BG5:BG56)</f>
        <v>297</v>
      </c>
      <c r="BH57" s="6">
        <f>6944-SUM(BH5:BH56)</f>
        <v>289</v>
      </c>
      <c r="BI57" s="6">
        <f>6995-SUM(BI5:BI56)</f>
        <v>181</v>
      </c>
      <c r="BJ57" s="6">
        <f>7739-SUM(BJ5:BJ56)</f>
        <v>231</v>
      </c>
      <c r="BK57" s="6">
        <f>7934-7733</f>
        <v>201</v>
      </c>
      <c r="BL57" s="6">
        <v>131</v>
      </c>
      <c r="BM57" s="6">
        <v>25</v>
      </c>
      <c r="BN57" s="6">
        <f>8305-8239</f>
        <v>66</v>
      </c>
      <c r="BO57" s="6">
        <f>7828-7714</f>
        <v>114</v>
      </c>
      <c r="BP57" s="6">
        <v>254</v>
      </c>
      <c r="BQ57" s="6">
        <f>8479-8396</f>
        <v>83</v>
      </c>
      <c r="BR57" s="6">
        <f>8704-8631</f>
        <v>73</v>
      </c>
      <c r="BS57" s="6">
        <f>8619-8514</f>
        <v>105</v>
      </c>
      <c r="BT57" s="6">
        <f>10425-9835</f>
        <v>590</v>
      </c>
      <c r="BU57" s="6">
        <f>12882-11512</f>
        <v>1370</v>
      </c>
      <c r="BV57" s="6">
        <f>13858-12276</f>
        <v>1582</v>
      </c>
      <c r="BW57" s="6">
        <f>12935-11534</f>
        <v>1401</v>
      </c>
      <c r="BX57" s="6">
        <f>13959-12738</f>
        <v>1221</v>
      </c>
      <c r="BY57" s="6">
        <f>14342-13225</f>
        <v>1117</v>
      </c>
      <c r="BZ57" s="6">
        <f>14886-13501</f>
        <v>1385</v>
      </c>
      <c r="CA57" s="6">
        <f>13538-12327</f>
        <v>1211</v>
      </c>
      <c r="CB57" s="6">
        <f>14583-13574</f>
        <v>1009</v>
      </c>
      <c r="CC57" s="6">
        <v>925</v>
      </c>
      <c r="CD57" s="6">
        <v>992</v>
      </c>
      <c r="CE57" s="6">
        <v>691</v>
      </c>
      <c r="CF57" s="6">
        <v>741</v>
      </c>
      <c r="CG57" s="6">
        <v>782</v>
      </c>
      <c r="CH57" s="6">
        <f>3035-CG57-CF57-CE57</f>
        <v>821</v>
      </c>
      <c r="CI57" s="6">
        <v>744</v>
      </c>
      <c r="CJ57" s="6">
        <f>14462-SUM(CJ5:CJ32)</f>
        <v>810</v>
      </c>
      <c r="CK57" s="6">
        <v>726</v>
      </c>
      <c r="CL57" s="6">
        <v>752</v>
      </c>
      <c r="CM57" s="6">
        <v>563</v>
      </c>
      <c r="CN57" s="6">
        <v>605</v>
      </c>
      <c r="CO57" s="6">
        <v>629</v>
      </c>
      <c r="CP57" s="6">
        <v>617</v>
      </c>
      <c r="CQ57" s="6">
        <v>617</v>
      </c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>
        <f t="shared" si="23"/>
        <v>423</v>
      </c>
      <c r="DE57" s="6">
        <f t="shared" ref="DE57" si="162">SUM(BO57:BR57)</f>
        <v>524</v>
      </c>
      <c r="DF57" s="6">
        <f t="shared" ref="DF57" si="163">SUM(BS57:BV57)</f>
        <v>3647</v>
      </c>
      <c r="DG57" s="6">
        <f t="shared" si="30"/>
        <v>5124</v>
      </c>
      <c r="DH57" s="6">
        <f t="shared" si="31"/>
        <v>4137</v>
      </c>
      <c r="DI57" s="6">
        <f>SUM(CE57:CH57)</f>
        <v>3035</v>
      </c>
      <c r="DJ57" s="6">
        <f>SUM(CI57:CL57)</f>
        <v>3032</v>
      </c>
      <c r="DK57" s="6">
        <f>SUM(CM57:CP57)</f>
        <v>2414</v>
      </c>
      <c r="DL57" s="6">
        <f t="shared" ref="DL57:DP57" si="164">+DK57*0.9</f>
        <v>2172.6</v>
      </c>
      <c r="DM57" s="6">
        <f t="shared" si="164"/>
        <v>1955.34</v>
      </c>
      <c r="DN57" s="6">
        <f t="shared" si="164"/>
        <v>1759.806</v>
      </c>
      <c r="DO57" s="6">
        <f t="shared" si="164"/>
        <v>1583.8254000000002</v>
      </c>
      <c r="DP57" s="6">
        <f t="shared" si="164"/>
        <v>1425.4428600000001</v>
      </c>
      <c r="DQ57" s="6">
        <f t="shared" ref="DQ57" si="165">+DP57*0.9</f>
        <v>1282.8985740000001</v>
      </c>
      <c r="DR57" s="6">
        <f t="shared" ref="DR57" si="166">+DQ57*0.9</f>
        <v>1154.6087166</v>
      </c>
      <c r="DS57" s="6">
        <f t="shared" ref="DS57" si="167">+DR57*0.9</f>
        <v>1039.1478449399999</v>
      </c>
      <c r="DT57" s="6">
        <f t="shared" ref="DT57" si="168">+DS57*0.9</f>
        <v>935.23306044599997</v>
      </c>
      <c r="DU57" s="6">
        <f t="shared" ref="DU57" si="169">+DT57*0.9</f>
        <v>841.70975440140001</v>
      </c>
    </row>
    <row r="58" spans="2:125" s="7" customFormat="1" ht="13" x14ac:dyDescent="0.3">
      <c r="B58" s="7" t="s">
        <v>241</v>
      </c>
      <c r="C58" s="8">
        <f t="shared" ref="C58:AP58" si="170">+C57+C56</f>
        <v>30</v>
      </c>
      <c r="D58" s="8">
        <f t="shared" si="170"/>
        <v>60</v>
      </c>
      <c r="E58" s="8">
        <f t="shared" si="170"/>
        <v>80</v>
      </c>
      <c r="F58" s="8">
        <f t="shared" si="170"/>
        <v>110</v>
      </c>
      <c r="G58" s="8">
        <f t="shared" si="170"/>
        <v>2207</v>
      </c>
      <c r="H58" s="8">
        <f t="shared" si="170"/>
        <v>2435</v>
      </c>
      <c r="I58" s="8">
        <f t="shared" si="170"/>
        <v>2684</v>
      </c>
      <c r="J58" s="8">
        <f t="shared" si="170"/>
        <v>2994</v>
      </c>
      <c r="K58" s="8">
        <f t="shared" si="170"/>
        <v>2871</v>
      </c>
      <c r="L58" s="8">
        <f t="shared" si="170"/>
        <v>2662</v>
      </c>
      <c r="M58" s="8">
        <f t="shared" si="170"/>
        <v>3248</v>
      </c>
      <c r="N58" s="8">
        <f t="shared" si="170"/>
        <v>3440</v>
      </c>
      <c r="O58" s="8">
        <f t="shared" si="170"/>
        <v>2725</v>
      </c>
      <c r="P58" s="8">
        <f t="shared" si="170"/>
        <v>2925</v>
      </c>
      <c r="Q58" s="8">
        <f t="shared" si="170"/>
        <v>2889</v>
      </c>
      <c r="R58" s="8">
        <f t="shared" si="170"/>
        <v>3311</v>
      </c>
      <c r="S58" s="8">
        <f t="shared" si="170"/>
        <v>2250</v>
      </c>
      <c r="T58" s="8">
        <f t="shared" si="170"/>
        <v>2414</v>
      </c>
      <c r="U58" s="8">
        <f t="shared" si="170"/>
        <v>2440</v>
      </c>
      <c r="V58" s="8">
        <f t="shared" si="170"/>
        <v>2910</v>
      </c>
      <c r="W58" s="8">
        <f t="shared" si="170"/>
        <v>2605</v>
      </c>
      <c r="X58" s="8">
        <f t="shared" si="170"/>
        <v>3012</v>
      </c>
      <c r="Y58" s="8">
        <f t="shared" si="170"/>
        <v>3171</v>
      </c>
      <c r="Z58" s="8">
        <f t="shared" si="170"/>
        <v>3380</v>
      </c>
      <c r="AA58" s="8">
        <f t="shared" si="170"/>
        <v>2173</v>
      </c>
      <c r="AB58" s="8">
        <f t="shared" si="170"/>
        <v>2613</v>
      </c>
      <c r="AC58" s="8">
        <f t="shared" si="170"/>
        <v>2810</v>
      </c>
      <c r="AD58" s="8">
        <f t="shared" si="170"/>
        <v>3178</v>
      </c>
      <c r="AE58" s="8">
        <f t="shared" si="170"/>
        <v>2480</v>
      </c>
      <c r="AF58" s="8">
        <f t="shared" si="170"/>
        <v>2802</v>
      </c>
      <c r="AG58" s="8">
        <f t="shared" si="170"/>
        <v>2968</v>
      </c>
      <c r="AH58" s="8">
        <f t="shared" si="170"/>
        <v>3365</v>
      </c>
      <c r="AI58" s="8">
        <f t="shared" si="170"/>
        <v>2821</v>
      </c>
      <c r="AJ58" s="8">
        <f t="shared" si="170"/>
        <v>3373</v>
      </c>
      <c r="AK58" s="8">
        <f t="shared" si="170"/>
        <v>3446</v>
      </c>
      <c r="AL58" s="8">
        <f t="shared" si="170"/>
        <v>3578</v>
      </c>
      <c r="AM58" s="8">
        <f t="shared" si="170"/>
        <v>3416</v>
      </c>
      <c r="AN58" s="8">
        <f t="shared" si="170"/>
        <v>3995</v>
      </c>
      <c r="AO58" s="8">
        <f t="shared" si="170"/>
        <v>4684</v>
      </c>
      <c r="AP58" s="8">
        <f t="shared" si="170"/>
        <v>4443</v>
      </c>
      <c r="AQ58" s="8">
        <v>4329</v>
      </c>
      <c r="AR58" s="8">
        <f>+AR56+AR57</f>
        <v>4692</v>
      </c>
      <c r="AS58" s="8">
        <f t="shared" ref="AS58:BF58" si="171">+AS57+AS56</f>
        <v>4658</v>
      </c>
      <c r="AT58" s="8">
        <f t="shared" si="171"/>
        <v>5111</v>
      </c>
      <c r="AU58" s="8">
        <f t="shared" si="171"/>
        <v>4563</v>
      </c>
      <c r="AV58" s="8">
        <f t="shared" si="171"/>
        <v>4926</v>
      </c>
      <c r="AW58" s="8">
        <f t="shared" si="171"/>
        <v>5019</v>
      </c>
      <c r="AX58" s="8">
        <f t="shared" si="171"/>
        <v>5452</v>
      </c>
      <c r="AY58" s="8">
        <f t="shared" si="171"/>
        <v>5040</v>
      </c>
      <c r="AZ58" s="8">
        <f t="shared" si="171"/>
        <v>5475</v>
      </c>
      <c r="BA58" s="8">
        <f t="shared" si="171"/>
        <v>5944</v>
      </c>
      <c r="BB58" s="8">
        <f t="shared" si="171"/>
        <v>6360</v>
      </c>
      <c r="BC58" s="8">
        <f t="shared" si="171"/>
        <v>5958</v>
      </c>
      <c r="BD58" s="8">
        <f t="shared" si="171"/>
        <v>6432</v>
      </c>
      <c r="BE58" s="8">
        <f t="shared" si="171"/>
        <v>6386</v>
      </c>
      <c r="BF58" s="8">
        <f t="shared" si="171"/>
        <v>6784</v>
      </c>
      <c r="BG58" s="8">
        <v>6538</v>
      </c>
      <c r="BH58" s="8">
        <v>6944</v>
      </c>
      <c r="BI58" s="8">
        <v>6995</v>
      </c>
      <c r="BJ58" s="8">
        <f>SUM(BJ5:BJ57)</f>
        <v>7739</v>
      </c>
      <c r="BK58" s="8">
        <v>7934</v>
      </c>
      <c r="BL58" s="8">
        <f t="shared" ref="BL58:CL58" si="172">SUM(BL5:BL57)</f>
        <v>8258</v>
      </c>
      <c r="BM58" s="8">
        <f t="shared" si="172"/>
        <v>8236</v>
      </c>
      <c r="BN58" s="8">
        <f t="shared" si="172"/>
        <v>8305</v>
      </c>
      <c r="BO58" s="8">
        <f t="shared" si="172"/>
        <v>7828</v>
      </c>
      <c r="BP58" s="8">
        <f t="shared" si="172"/>
        <v>8255</v>
      </c>
      <c r="BQ58" s="8">
        <f t="shared" si="172"/>
        <v>8479</v>
      </c>
      <c r="BR58" s="8">
        <f t="shared" si="172"/>
        <v>8704</v>
      </c>
      <c r="BS58" s="8">
        <f t="shared" si="172"/>
        <v>8619</v>
      </c>
      <c r="BT58" s="8">
        <f t="shared" si="172"/>
        <v>10425</v>
      </c>
      <c r="BU58" s="8">
        <f t="shared" si="172"/>
        <v>12882</v>
      </c>
      <c r="BV58" s="8">
        <f t="shared" si="172"/>
        <v>13858</v>
      </c>
      <c r="BW58" s="8">
        <f t="shared" si="172"/>
        <v>12935</v>
      </c>
      <c r="BX58" s="8">
        <f t="shared" si="172"/>
        <v>13959</v>
      </c>
      <c r="BY58" s="8">
        <f t="shared" si="172"/>
        <v>14342</v>
      </c>
      <c r="BZ58" s="8">
        <f t="shared" si="172"/>
        <v>14886</v>
      </c>
      <c r="CA58" s="8">
        <f t="shared" si="172"/>
        <v>13538</v>
      </c>
      <c r="CB58" s="8">
        <f t="shared" si="172"/>
        <v>14583</v>
      </c>
      <c r="CC58" s="8">
        <f t="shared" si="172"/>
        <v>14812</v>
      </c>
      <c r="CD58" s="8">
        <f t="shared" si="172"/>
        <v>15121</v>
      </c>
      <c r="CE58" s="8">
        <f t="shared" si="172"/>
        <v>12225</v>
      </c>
      <c r="CF58" s="8">
        <f t="shared" si="172"/>
        <v>13865</v>
      </c>
      <c r="CG58" s="8">
        <f t="shared" si="172"/>
        <v>13927</v>
      </c>
      <c r="CH58" s="8">
        <f t="shared" si="172"/>
        <v>14301</v>
      </c>
      <c r="CI58" s="8">
        <f t="shared" si="172"/>
        <v>12310</v>
      </c>
      <c r="CJ58" s="8">
        <f t="shared" si="172"/>
        <v>14462</v>
      </c>
      <c r="CK58" s="8">
        <f t="shared" si="172"/>
        <v>14460</v>
      </c>
      <c r="CL58" s="8">
        <f t="shared" si="172"/>
        <v>15102</v>
      </c>
      <c r="CM58" s="8">
        <f t="shared" ref="CM58:CT58" si="173">SUM(CM5:CM57)</f>
        <v>13232.1</v>
      </c>
      <c r="CN58" s="8">
        <f t="shared" si="173"/>
        <v>15423</v>
      </c>
      <c r="CO58" s="8">
        <f t="shared" si="173"/>
        <v>15776.27</v>
      </c>
      <c r="CP58" s="8">
        <f t="shared" si="173"/>
        <v>16618</v>
      </c>
      <c r="CQ58" s="8">
        <f t="shared" si="173"/>
        <v>15217.19</v>
      </c>
      <c r="CR58" s="8">
        <f t="shared" si="173"/>
        <v>16884.2</v>
      </c>
      <c r="CS58" s="8">
        <f t="shared" si="173"/>
        <v>17229.277000000002</v>
      </c>
      <c r="CT58" s="8">
        <f t="shared" si="173"/>
        <v>18324</v>
      </c>
      <c r="CU58" s="8"/>
      <c r="CV58" s="8">
        <v>15638</v>
      </c>
      <c r="CW58" s="8">
        <v>17444</v>
      </c>
      <c r="CX58" s="8">
        <v>18380</v>
      </c>
      <c r="CY58" s="8">
        <v>18790</v>
      </c>
      <c r="CZ58" s="8">
        <v>19960</v>
      </c>
      <c r="DA58" s="8">
        <v>22859</v>
      </c>
      <c r="DB58" s="8">
        <v>25638</v>
      </c>
      <c r="DC58" s="8">
        <v>28216</v>
      </c>
      <c r="DD58" s="8">
        <f t="shared" ref="DD58:DP58" si="174">SUM(DD5:DD57)</f>
        <v>32733</v>
      </c>
      <c r="DE58" s="8">
        <f t="shared" si="174"/>
        <v>33266</v>
      </c>
      <c r="DF58" s="8">
        <f t="shared" si="174"/>
        <v>45784</v>
      </c>
      <c r="DG58" s="8">
        <f t="shared" si="174"/>
        <v>56122</v>
      </c>
      <c r="DH58" s="8">
        <f t="shared" si="174"/>
        <v>58054</v>
      </c>
      <c r="DI58" s="8">
        <f t="shared" si="174"/>
        <v>54318</v>
      </c>
      <c r="DJ58" s="8">
        <f t="shared" si="174"/>
        <v>56334</v>
      </c>
      <c r="DK58" s="8">
        <f t="shared" si="174"/>
        <v>61029.369999999995</v>
      </c>
      <c r="DL58" s="8">
        <f t="shared" si="174"/>
        <v>62680.693500000001</v>
      </c>
      <c r="DM58" s="8">
        <f t="shared" si="174"/>
        <v>65331.126475000005</v>
      </c>
      <c r="DN58" s="8">
        <f t="shared" si="174"/>
        <v>65713.38388275</v>
      </c>
      <c r="DO58" s="8">
        <f t="shared" si="174"/>
        <v>66788.309984907493</v>
      </c>
      <c r="DP58" s="8">
        <f t="shared" si="174"/>
        <v>58411.214363530591</v>
      </c>
      <c r="DQ58" s="8">
        <f t="shared" ref="DQ58:DU58" si="175">SUM(DQ5:DQ57)</f>
        <v>46737.241624688781</v>
      </c>
      <c r="DR58" s="8">
        <f t="shared" si="175"/>
        <v>46688.074025547932</v>
      </c>
      <c r="DS58" s="8">
        <f t="shared" si="175"/>
        <v>47953.27315225028</v>
      </c>
      <c r="DT58" s="8">
        <f t="shared" si="175"/>
        <v>49372.2949608981</v>
      </c>
      <c r="DU58" s="8">
        <f t="shared" si="175"/>
        <v>50633.364874617022</v>
      </c>
    </row>
    <row r="59" spans="2:125" s="5" customFormat="1" x14ac:dyDescent="0.25">
      <c r="B59" s="5" t="s">
        <v>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1153</v>
      </c>
      <c r="AR59" s="6">
        <v>1054</v>
      </c>
      <c r="AS59" s="6">
        <v>1092</v>
      </c>
      <c r="AT59" s="6">
        <v>1282</v>
      </c>
      <c r="AU59" s="6">
        <v>1100</v>
      </c>
      <c r="AV59" s="6">
        <f>1113-69-3-6</f>
        <v>1035</v>
      </c>
      <c r="AW59" s="6">
        <v>1094</v>
      </c>
      <c r="AX59" s="6">
        <v>1119</v>
      </c>
      <c r="AY59" s="6">
        <v>942</v>
      </c>
      <c r="AZ59" s="6">
        <v>916</v>
      </c>
      <c r="BA59" s="6">
        <v>1167</v>
      </c>
      <c r="BB59" s="6">
        <v>1475</v>
      </c>
      <c r="BC59" s="6">
        <v>1369</v>
      </c>
      <c r="BD59" s="6">
        <v>1405</v>
      </c>
      <c r="BE59" s="6">
        <v>1235</v>
      </c>
      <c r="BF59" s="6">
        <v>1287</v>
      </c>
      <c r="BG59" s="6">
        <v>1313</v>
      </c>
      <c r="BH59" s="6">
        <v>1231</v>
      </c>
      <c r="BI59" s="6">
        <v>1342</v>
      </c>
      <c r="BJ59" s="6">
        <v>1625</v>
      </c>
      <c r="BK59" s="6">
        <v>1572</v>
      </c>
      <c r="BL59" s="6">
        <v>1607</v>
      </c>
      <c r="BM59" s="6">
        <v>1509</v>
      </c>
      <c r="BN59" s="6">
        <v>1674</v>
      </c>
      <c r="BO59" s="6">
        <v>1303</v>
      </c>
      <c r="BP59" s="6">
        <v>1427</v>
      </c>
      <c r="BQ59" s="6">
        <v>1525</v>
      </c>
      <c r="BR59" s="6">
        <v>1605</v>
      </c>
      <c r="BS59" s="6">
        <v>1494</v>
      </c>
      <c r="BT59" s="6">
        <v>1796</v>
      </c>
      <c r="BU59" s="6">
        <v>2362</v>
      </c>
      <c r="BV59" s="6">
        <v>2523</v>
      </c>
      <c r="BW59" s="6">
        <v>2085</v>
      </c>
      <c r="BX59" s="6">
        <v>2479</v>
      </c>
      <c r="BY59" s="6">
        <v>2413</v>
      </c>
      <c r="BZ59" s="6">
        <v>2448</v>
      </c>
      <c r="CA59" s="6">
        <v>2103</v>
      </c>
      <c r="CB59" s="6">
        <v>2167</v>
      </c>
      <c r="CC59" s="6">
        <v>2167</v>
      </c>
      <c r="CD59" s="6">
        <f>+CD58-CD60</f>
        <v>2268.1499999999996</v>
      </c>
      <c r="CE59" s="6">
        <v>1931</v>
      </c>
      <c r="CF59" s="6">
        <v>2117</v>
      </c>
      <c r="CG59" s="6">
        <v>2301</v>
      </c>
      <c r="CH59" s="6">
        <v>2297</v>
      </c>
      <c r="CI59" s="6">
        <v>2108</v>
      </c>
      <c r="CJ59" s="6">
        <v>2135</v>
      </c>
      <c r="CK59" s="6">
        <v>2251</v>
      </c>
      <c r="CL59" s="6">
        <v>2453</v>
      </c>
      <c r="CM59" s="6">
        <v>2116</v>
      </c>
      <c r="CN59" s="6">
        <v>2413</v>
      </c>
      <c r="CO59" s="6">
        <f>+CO58-CO60</f>
        <v>2366.4405000000006</v>
      </c>
      <c r="CP59" s="6">
        <f>+CP58-CP60</f>
        <v>2492.7000000000007</v>
      </c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>
        <f t="shared" si="23"/>
        <v>6362</v>
      </c>
      <c r="DE59" s="6">
        <f t="shared" ref="DE59" si="176">SUM(BO59:BR59)</f>
        <v>5860</v>
      </c>
      <c r="DF59" s="6">
        <f t="shared" ref="DF59" si="177">SUM(BS59:BV59)</f>
        <v>8175</v>
      </c>
      <c r="DG59" s="6">
        <f t="shared" ref="DG59" si="178">SUM(BW59:BZ59)</f>
        <v>9425</v>
      </c>
      <c r="DH59" s="6">
        <f t="shared" ref="DH59" si="179">SUM(CA59:CD59)</f>
        <v>8705.15</v>
      </c>
      <c r="DI59" s="6">
        <f>SUM(CE59:CH59)</f>
        <v>8646</v>
      </c>
      <c r="DJ59" s="6">
        <f>SUM(CI59:CL59)</f>
        <v>8947</v>
      </c>
      <c r="DK59" s="6">
        <f>SUM(CM59:CP59)</f>
        <v>9388.1405000000013</v>
      </c>
      <c r="DL59" s="6">
        <f t="shared" ref="DL59:DP59" si="180">+DL58-DL60</f>
        <v>9402.1040250000005</v>
      </c>
      <c r="DM59" s="6">
        <f t="shared" si="180"/>
        <v>9799.6689712500011</v>
      </c>
      <c r="DN59" s="6">
        <f t="shared" si="180"/>
        <v>9857.0075824125015</v>
      </c>
      <c r="DO59" s="6">
        <f t="shared" si="180"/>
        <v>10018.246497736123</v>
      </c>
      <c r="DP59" s="6">
        <f t="shared" si="180"/>
        <v>8761.6821545295898</v>
      </c>
    </row>
    <row r="60" spans="2:125" s="5" customFormat="1" x14ac:dyDescent="0.25">
      <c r="B60" s="5" t="s">
        <v>24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f t="shared" ref="AQ60:BB60" si="181">+AQ58-AQ59</f>
        <v>3176</v>
      </c>
      <c r="AR60" s="6">
        <f t="shared" si="181"/>
        <v>3638</v>
      </c>
      <c r="AS60" s="6">
        <f t="shared" si="181"/>
        <v>3566</v>
      </c>
      <c r="AT60" s="6">
        <f t="shared" si="181"/>
        <v>3829</v>
      </c>
      <c r="AU60" s="6">
        <f t="shared" si="181"/>
        <v>3463</v>
      </c>
      <c r="AV60" s="6">
        <f t="shared" si="181"/>
        <v>3891</v>
      </c>
      <c r="AW60" s="6">
        <f t="shared" si="181"/>
        <v>3925</v>
      </c>
      <c r="AX60" s="6">
        <f t="shared" si="181"/>
        <v>4333</v>
      </c>
      <c r="AY60" s="6">
        <f t="shared" si="181"/>
        <v>4098</v>
      </c>
      <c r="AZ60" s="6">
        <f t="shared" si="181"/>
        <v>4559</v>
      </c>
      <c r="BA60" s="6">
        <f t="shared" si="181"/>
        <v>4777</v>
      </c>
      <c r="BB60" s="6">
        <f t="shared" si="181"/>
        <v>4885</v>
      </c>
      <c r="BC60" s="6">
        <f t="shared" ref="BC60" si="182">+BC58-BC59</f>
        <v>4589</v>
      </c>
      <c r="BD60" s="6">
        <f t="shared" ref="BD60:BE60" si="183">+BD58-BD59</f>
        <v>5027</v>
      </c>
      <c r="BE60" s="6">
        <f t="shared" si="183"/>
        <v>5151</v>
      </c>
      <c r="BF60" s="6">
        <f t="shared" ref="BF60:BG60" si="184">+BF58-BF59</f>
        <v>5497</v>
      </c>
      <c r="BG60" s="6">
        <f t="shared" si="184"/>
        <v>5225</v>
      </c>
      <c r="BH60" s="6">
        <f t="shared" ref="BH60:BI60" si="185">+BH58-BH59</f>
        <v>5713</v>
      </c>
      <c r="BI60" s="6">
        <f t="shared" si="185"/>
        <v>5653</v>
      </c>
      <c r="BJ60" s="6">
        <f t="shared" ref="BJ60" si="186">+BJ58-BJ59</f>
        <v>6114</v>
      </c>
      <c r="BK60" s="6">
        <f t="shared" ref="BK60:BP60" si="187">+BK58-BK59</f>
        <v>6362</v>
      </c>
      <c r="BL60" s="6">
        <f t="shared" si="187"/>
        <v>6651</v>
      </c>
      <c r="BM60" s="6">
        <f t="shared" si="187"/>
        <v>6727</v>
      </c>
      <c r="BN60" s="6">
        <f t="shared" si="187"/>
        <v>6631</v>
      </c>
      <c r="BO60" s="6">
        <f t="shared" si="187"/>
        <v>6525</v>
      </c>
      <c r="BP60" s="6">
        <f t="shared" si="187"/>
        <v>6828</v>
      </c>
      <c r="BQ60" s="6">
        <f t="shared" ref="BQ60:BR60" si="188">BQ58-BQ59</f>
        <v>6954</v>
      </c>
      <c r="BR60" s="6">
        <f t="shared" si="188"/>
        <v>7099</v>
      </c>
      <c r="BS60" s="6">
        <f t="shared" ref="BS60:BT60" si="189">BS58-BS59</f>
        <v>7125</v>
      </c>
      <c r="BT60" s="6">
        <f t="shared" si="189"/>
        <v>8629</v>
      </c>
      <c r="BU60" s="6">
        <f t="shared" ref="BU60:CA60" si="190">BU58-BU59</f>
        <v>10520</v>
      </c>
      <c r="BV60" s="6">
        <f t="shared" si="190"/>
        <v>11335</v>
      </c>
      <c r="BW60" s="6">
        <f t="shared" si="190"/>
        <v>10850</v>
      </c>
      <c r="BX60" s="6">
        <f t="shared" si="190"/>
        <v>11480</v>
      </c>
      <c r="BY60" s="6">
        <f t="shared" si="190"/>
        <v>11929</v>
      </c>
      <c r="BZ60" s="6">
        <f t="shared" si="190"/>
        <v>12438</v>
      </c>
      <c r="CA60" s="6">
        <f t="shared" si="190"/>
        <v>11435</v>
      </c>
      <c r="CB60" s="6">
        <f t="shared" ref="CB60" si="191">CB58-CB59</f>
        <v>12416</v>
      </c>
      <c r="CC60" s="6">
        <f>+CC58-CC59</f>
        <v>12645</v>
      </c>
      <c r="CD60" s="6">
        <f>+CD58*0.85</f>
        <v>12852.85</v>
      </c>
      <c r="CE60" s="6">
        <f>CE58-CE59</f>
        <v>10294</v>
      </c>
      <c r="CF60" s="6">
        <f t="shared" ref="CF60:CK60" si="192">+CF58-CF59</f>
        <v>11748</v>
      </c>
      <c r="CG60" s="6">
        <f t="shared" si="192"/>
        <v>11626</v>
      </c>
      <c r="CH60" s="6">
        <f t="shared" si="192"/>
        <v>12004</v>
      </c>
      <c r="CI60" s="6">
        <f t="shared" si="192"/>
        <v>10202</v>
      </c>
      <c r="CJ60" s="6">
        <f t="shared" si="192"/>
        <v>12327</v>
      </c>
      <c r="CK60" s="6">
        <f t="shared" si="192"/>
        <v>12209</v>
      </c>
      <c r="CL60" s="6">
        <f>+CL58-CL59</f>
        <v>12649</v>
      </c>
      <c r="CM60" s="6">
        <f>+CM58-CM59</f>
        <v>11116.1</v>
      </c>
      <c r="CN60" s="6">
        <f>+CN58-CN59</f>
        <v>13010</v>
      </c>
      <c r="CO60" s="6">
        <f>+CO58*0.85</f>
        <v>13409.8295</v>
      </c>
      <c r="CP60" s="6">
        <f>+CP58*0.85</f>
        <v>14125.3</v>
      </c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>
        <f t="shared" ref="DD60:DF60" si="193">+DD58-DD59</f>
        <v>26371</v>
      </c>
      <c r="DE60" s="6">
        <f t="shared" si="193"/>
        <v>27406</v>
      </c>
      <c r="DF60" s="6">
        <f t="shared" si="193"/>
        <v>37609</v>
      </c>
      <c r="DG60" s="6">
        <f>+DG58-DG59</f>
        <v>46697</v>
      </c>
      <c r="DH60" s="6">
        <f>+DH58-DH59</f>
        <v>49348.85</v>
      </c>
      <c r="DI60" s="6">
        <f>+DI58-DI59</f>
        <v>45672</v>
      </c>
      <c r="DJ60" s="6">
        <f>+DJ58-DJ59</f>
        <v>47387</v>
      </c>
      <c r="DK60" s="6">
        <f>+DK58-DK59</f>
        <v>51641.229499999994</v>
      </c>
      <c r="DL60" s="6">
        <f t="shared" ref="DL60:DP60" si="194">+DL58*0.85</f>
        <v>53278.589475000001</v>
      </c>
      <c r="DM60" s="6">
        <f t="shared" si="194"/>
        <v>55531.457503750004</v>
      </c>
      <c r="DN60" s="6">
        <f t="shared" si="194"/>
        <v>55856.376300337499</v>
      </c>
      <c r="DO60" s="6">
        <f t="shared" si="194"/>
        <v>56770.06348717137</v>
      </c>
      <c r="DP60" s="6">
        <f t="shared" si="194"/>
        <v>49649.532209001001</v>
      </c>
    </row>
    <row r="61" spans="2:125" s="5" customFormat="1" x14ac:dyDescent="0.25">
      <c r="B61" s="5" t="s">
        <v>23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1237</v>
      </c>
      <c r="AR61" s="6">
        <v>1406</v>
      </c>
      <c r="AS61" s="6">
        <v>1261</v>
      </c>
      <c r="AT61" s="6">
        <v>1448</v>
      </c>
      <c r="AU61" s="6">
        <v>1340</v>
      </c>
      <c r="AV61" s="6">
        <f>1448-96-6</f>
        <v>1346</v>
      </c>
      <c r="AW61" s="6">
        <v>1595</v>
      </c>
      <c r="AX61" s="6">
        <v>3341</v>
      </c>
      <c r="AY61" s="6">
        <v>1473</v>
      </c>
      <c r="AZ61" s="6">
        <v>1703</v>
      </c>
      <c r="BA61" s="6">
        <v>1474</v>
      </c>
      <c r="BB61" s="6">
        <v>1737</v>
      </c>
      <c r="BC61" s="6">
        <v>1355</v>
      </c>
      <c r="BD61" s="6">
        <v>1466</v>
      </c>
      <c r="BE61" s="6">
        <v>1368</v>
      </c>
      <c r="BF61" s="6">
        <v>1625</v>
      </c>
      <c r="BG61" s="6">
        <v>1360</v>
      </c>
      <c r="BH61" s="6">
        <v>1405</v>
      </c>
      <c r="BI61" s="6">
        <v>1448</v>
      </c>
      <c r="BJ61" s="6">
        <v>1641</v>
      </c>
      <c r="BK61" s="6">
        <v>1670</v>
      </c>
      <c r="BL61" s="6">
        <v>1643</v>
      </c>
      <c r="BM61" s="6">
        <v>1575</v>
      </c>
      <c r="BN61" s="6">
        <v>1797</v>
      </c>
      <c r="BO61" s="6">
        <v>1563</v>
      </c>
      <c r="BP61" s="6">
        <v>1620</v>
      </c>
      <c r="BQ61" s="6">
        <v>1621</v>
      </c>
      <c r="BR61" s="6">
        <v>1883</v>
      </c>
      <c r="BS61" s="6">
        <v>1599</v>
      </c>
      <c r="BT61" s="6">
        <v>2392</v>
      </c>
      <c r="BU61" s="6">
        <v>2723</v>
      </c>
      <c r="BV61" s="6">
        <v>3089</v>
      </c>
      <c r="BW61" s="6">
        <v>2743</v>
      </c>
      <c r="BX61" s="6">
        <v>2953</v>
      </c>
      <c r="BY61" s="6">
        <v>2961</v>
      </c>
      <c r="BZ61" s="6">
        <v>3307</v>
      </c>
      <c r="CA61" s="6">
        <v>2852</v>
      </c>
      <c r="CB61" s="6">
        <v>3089</v>
      </c>
      <c r="CC61" s="6">
        <v>3089</v>
      </c>
      <c r="CD61" s="6">
        <f>+BZ61*1.01</f>
        <v>3340.07</v>
      </c>
      <c r="CE61" s="6">
        <v>2984</v>
      </c>
      <c r="CF61" s="6">
        <v>3218</v>
      </c>
      <c r="CG61" s="6">
        <v>3330</v>
      </c>
      <c r="CH61" s="6">
        <v>3540</v>
      </c>
      <c r="CI61" s="6">
        <v>3032</v>
      </c>
      <c r="CJ61" s="6">
        <v>3315</v>
      </c>
      <c r="CK61" s="6">
        <v>3326</v>
      </c>
      <c r="CL61" s="6">
        <v>3561</v>
      </c>
      <c r="CM61" s="6">
        <v>3280</v>
      </c>
      <c r="CN61" s="6">
        <v>3239</v>
      </c>
      <c r="CO61" s="6">
        <f t="shared" ref="CO61:CO62" si="195">+CK61*1.05</f>
        <v>3492.3</v>
      </c>
      <c r="CP61" s="6">
        <f t="shared" ref="CP61:CP62" si="196">+CL61*1.05</f>
        <v>3739.05</v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>
        <f t="shared" si="23"/>
        <v>6685</v>
      </c>
      <c r="DE61" s="6">
        <f t="shared" ref="DE61:DE62" si="197">SUM(BO61:BR61)</f>
        <v>6687</v>
      </c>
      <c r="DF61" s="6">
        <f t="shared" ref="DF61:DF62" si="198">SUM(BS61:BV61)</f>
        <v>9803</v>
      </c>
      <c r="DG61" s="6">
        <f t="shared" ref="DG61:DG62" si="199">SUM(BW61:BZ61)</f>
        <v>11964</v>
      </c>
      <c r="DH61" s="6">
        <f t="shared" ref="DH61:DH62" si="200">SUM(CA61:CD61)</f>
        <v>12370.07</v>
      </c>
      <c r="DI61" s="6">
        <f>SUM(CE61:CH61)</f>
        <v>13072</v>
      </c>
      <c r="DJ61" s="6">
        <f t="shared" ref="DJ61:DJ62" si="201">SUM(CI61:CL61)</f>
        <v>13234</v>
      </c>
      <c r="DK61" s="6">
        <f>SUM(CM61:CP61)</f>
        <v>13750.349999999999</v>
      </c>
      <c r="DL61" s="6">
        <f t="shared" ref="DL61:DP61" si="202">+DL58*0.2</f>
        <v>12536.138700000001</v>
      </c>
      <c r="DM61" s="6">
        <f t="shared" si="202"/>
        <v>13066.225295000002</v>
      </c>
      <c r="DN61" s="6">
        <f t="shared" si="202"/>
        <v>13142.676776550001</v>
      </c>
      <c r="DO61" s="6">
        <f t="shared" si="202"/>
        <v>13357.6619969815</v>
      </c>
      <c r="DP61" s="6">
        <f t="shared" si="202"/>
        <v>11682.24287270612</v>
      </c>
    </row>
    <row r="62" spans="2:125" s="5" customFormat="1" x14ac:dyDescent="0.25">
      <c r="B62" s="5" t="s">
        <v>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634</v>
      </c>
      <c r="AR62" s="6">
        <v>709</v>
      </c>
      <c r="AS62" s="6">
        <v>714</v>
      </c>
      <c r="AT62" s="6">
        <v>798</v>
      </c>
      <c r="AU62" s="6">
        <v>772</v>
      </c>
      <c r="AV62" s="6">
        <f>834-41</f>
        <v>793</v>
      </c>
      <c r="AW62" s="6">
        <v>812</v>
      </c>
      <c r="AX62" s="6">
        <v>879</v>
      </c>
      <c r="AY62" s="6">
        <v>811</v>
      </c>
      <c r="AZ62" s="6">
        <v>981</v>
      </c>
      <c r="BA62" s="6">
        <v>1418</v>
      </c>
      <c r="BB62" s="6">
        <v>1075</v>
      </c>
      <c r="BC62" s="6">
        <v>946</v>
      </c>
      <c r="BD62" s="6">
        <v>1124</v>
      </c>
      <c r="BE62" s="6">
        <v>1051</v>
      </c>
      <c r="BF62" s="6">
        <v>1175</v>
      </c>
      <c r="BG62" s="6">
        <v>1112</v>
      </c>
      <c r="BH62" s="6">
        <v>1212</v>
      </c>
      <c r="BI62" s="6">
        <v>1190</v>
      </c>
      <c r="BJ62" s="6">
        <v>1322</v>
      </c>
      <c r="BK62" s="6">
        <v>1189</v>
      </c>
      <c r="BL62" s="6">
        <v>1267</v>
      </c>
      <c r="BM62" s="6">
        <v>1268</v>
      </c>
      <c r="BN62" s="6">
        <v>1369</v>
      </c>
      <c r="BO62" s="6">
        <v>1199</v>
      </c>
      <c r="BP62" s="6">
        <v>1232</v>
      </c>
      <c r="BQ62" s="6">
        <v>1227</v>
      </c>
      <c r="BR62" s="6">
        <v>1331</v>
      </c>
      <c r="BS62" s="6">
        <v>1234</v>
      </c>
      <c r="BT62" s="6">
        <v>1332</v>
      </c>
      <c r="BU62" s="6">
        <v>1513</v>
      </c>
      <c r="BV62" s="6">
        <v>1751</v>
      </c>
      <c r="BW62" s="6">
        <v>1505</v>
      </c>
      <c r="BX62" s="6">
        <v>1583</v>
      </c>
      <c r="BY62" s="6">
        <v>1632</v>
      </c>
      <c r="BZ62" s="6">
        <v>1798</v>
      </c>
      <c r="CA62" s="6">
        <v>1480</v>
      </c>
      <c r="CB62" s="6">
        <v>1607</v>
      </c>
      <c r="CC62" s="6">
        <v>1607</v>
      </c>
      <c r="CD62" s="6">
        <f>+BZ62*1.01</f>
        <v>1815.98</v>
      </c>
      <c r="CE62" s="6">
        <v>1657</v>
      </c>
      <c r="CF62" s="6">
        <v>1730</v>
      </c>
      <c r="CG62" s="6">
        <v>1720</v>
      </c>
      <c r="CH62" s="6">
        <v>1992</v>
      </c>
      <c r="CI62" s="6">
        <v>1811</v>
      </c>
      <c r="CJ62" s="6">
        <v>1917</v>
      </c>
      <c r="CK62" s="6">
        <v>2055</v>
      </c>
      <c r="CL62" s="6">
        <v>2273</v>
      </c>
      <c r="CM62" s="6">
        <v>2051</v>
      </c>
      <c r="CN62" s="6">
        <v>2115</v>
      </c>
      <c r="CO62" s="6">
        <f t="shared" si="195"/>
        <v>2157.75</v>
      </c>
      <c r="CP62" s="6">
        <f t="shared" si="196"/>
        <v>2386.65</v>
      </c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>
        <f t="shared" si="23"/>
        <v>5093</v>
      </c>
      <c r="DE62" s="6">
        <f t="shared" si="197"/>
        <v>4989</v>
      </c>
      <c r="DF62" s="6">
        <f t="shared" si="198"/>
        <v>5830</v>
      </c>
      <c r="DG62" s="6">
        <f t="shared" si="199"/>
        <v>6518</v>
      </c>
      <c r="DH62" s="6">
        <f t="shared" si="200"/>
        <v>6509.98</v>
      </c>
      <c r="DI62" s="6">
        <f>SUM(CE62:CH62)</f>
        <v>7099</v>
      </c>
      <c r="DJ62" s="6">
        <f t="shared" si="201"/>
        <v>8056</v>
      </c>
      <c r="DK62" s="6">
        <f>SUM(CM62:CP62)</f>
        <v>8710.4</v>
      </c>
      <c r="DL62" s="6"/>
      <c r="DM62" s="6"/>
      <c r="DN62" s="6"/>
      <c r="DO62" s="6"/>
    </row>
    <row r="63" spans="2:125" s="5" customFormat="1" x14ac:dyDescent="0.25">
      <c r="B63" s="5" t="s">
        <v>20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f t="shared" ref="AQ63:BB63" si="203">+AQ62+AQ61</f>
        <v>1871</v>
      </c>
      <c r="AR63" s="6">
        <f t="shared" si="203"/>
        <v>2115</v>
      </c>
      <c r="AS63" s="6">
        <f t="shared" si="203"/>
        <v>1975</v>
      </c>
      <c r="AT63" s="6">
        <f t="shared" si="203"/>
        <v>2246</v>
      </c>
      <c r="AU63" s="6">
        <f t="shared" si="203"/>
        <v>2112</v>
      </c>
      <c r="AV63" s="6">
        <f t="shared" si="203"/>
        <v>2139</v>
      </c>
      <c r="AW63" s="6">
        <f t="shared" si="203"/>
        <v>2407</v>
      </c>
      <c r="AX63" s="6">
        <f t="shared" si="203"/>
        <v>4220</v>
      </c>
      <c r="AY63" s="6">
        <f t="shared" si="203"/>
        <v>2284</v>
      </c>
      <c r="AZ63" s="6">
        <f t="shared" si="203"/>
        <v>2684</v>
      </c>
      <c r="BA63" s="6">
        <f t="shared" si="203"/>
        <v>2892</v>
      </c>
      <c r="BB63" s="6">
        <f t="shared" si="203"/>
        <v>2812</v>
      </c>
      <c r="BC63" s="6">
        <f t="shared" ref="BC63" si="204">+BC61+BC62</f>
        <v>2301</v>
      </c>
      <c r="BD63" s="6">
        <f t="shared" ref="BD63:BE63" si="205">+BD61+BD62</f>
        <v>2590</v>
      </c>
      <c r="BE63" s="6">
        <f t="shared" si="205"/>
        <v>2419</v>
      </c>
      <c r="BF63" s="6">
        <f t="shared" ref="BF63:BG63" si="206">+BF61+BF62</f>
        <v>2800</v>
      </c>
      <c r="BG63" s="6">
        <f t="shared" si="206"/>
        <v>2472</v>
      </c>
      <c r="BH63" s="6">
        <f t="shared" ref="BH63:BI63" si="207">+BH61+BH62</f>
        <v>2617</v>
      </c>
      <c r="BI63" s="6">
        <f t="shared" si="207"/>
        <v>2638</v>
      </c>
      <c r="BJ63" s="6">
        <f t="shared" ref="BJ63" si="208">+BJ61+BJ62</f>
        <v>2963</v>
      </c>
      <c r="BK63" s="6">
        <f t="shared" ref="BK63:BP63" si="209">+BK61+BK62</f>
        <v>2859</v>
      </c>
      <c r="BL63" s="6">
        <f t="shared" si="209"/>
        <v>2910</v>
      </c>
      <c r="BM63" s="6">
        <f t="shared" si="209"/>
        <v>2843</v>
      </c>
      <c r="BN63" s="6">
        <f t="shared" si="209"/>
        <v>3166</v>
      </c>
      <c r="BO63" s="6">
        <f t="shared" si="209"/>
        <v>2762</v>
      </c>
      <c r="BP63" s="6">
        <f t="shared" si="209"/>
        <v>2852</v>
      </c>
      <c r="BQ63" s="6">
        <f t="shared" ref="BQ63:BR63" si="210">BQ62+BQ61</f>
        <v>2848</v>
      </c>
      <c r="BR63" s="6">
        <f t="shared" si="210"/>
        <v>3214</v>
      </c>
      <c r="BS63" s="6">
        <f t="shared" ref="BS63:BT63" si="211">BS62+BS61</f>
        <v>2833</v>
      </c>
      <c r="BT63" s="6">
        <f t="shared" si="211"/>
        <v>3724</v>
      </c>
      <c r="BU63" s="6">
        <f t="shared" ref="BU63:CA63" si="212">BU62+BU61</f>
        <v>4236</v>
      </c>
      <c r="BV63" s="6">
        <f t="shared" si="212"/>
        <v>4840</v>
      </c>
      <c r="BW63" s="6">
        <f t="shared" si="212"/>
        <v>4248</v>
      </c>
      <c r="BX63" s="6">
        <f t="shared" si="212"/>
        <v>4536</v>
      </c>
      <c r="BY63" s="6">
        <f t="shared" si="212"/>
        <v>4593</v>
      </c>
      <c r="BZ63" s="6">
        <f t="shared" si="212"/>
        <v>5105</v>
      </c>
      <c r="CA63" s="6">
        <f t="shared" si="212"/>
        <v>4332</v>
      </c>
      <c r="CB63" s="6">
        <f t="shared" ref="CB63:CD63" si="213">CB62+CB61</f>
        <v>4696</v>
      </c>
      <c r="CC63" s="6">
        <f t="shared" si="213"/>
        <v>4696</v>
      </c>
      <c r="CD63" s="6">
        <f t="shared" si="213"/>
        <v>5156.05</v>
      </c>
      <c r="CE63" s="6">
        <f t="shared" ref="CE63:CH63" si="214">CE62+CE61</f>
        <v>4641</v>
      </c>
      <c r="CF63" s="6">
        <f t="shared" si="214"/>
        <v>4948</v>
      </c>
      <c r="CG63" s="6">
        <f t="shared" si="214"/>
        <v>5050</v>
      </c>
      <c r="CH63" s="6">
        <f t="shared" si="214"/>
        <v>5532</v>
      </c>
      <c r="CI63" s="6">
        <f>+CI61+CI62</f>
        <v>4843</v>
      </c>
      <c r="CJ63" s="6">
        <f t="shared" ref="CJ63:CK63" si="215">+CJ61+CJ62</f>
        <v>5232</v>
      </c>
      <c r="CK63" s="6">
        <f t="shared" si="215"/>
        <v>5381</v>
      </c>
      <c r="CL63" s="6">
        <f>+CL61+CL62</f>
        <v>5834</v>
      </c>
      <c r="CM63" s="6">
        <f t="shared" ref="CM63:CP63" si="216">+CM61+CM62</f>
        <v>5331</v>
      </c>
      <c r="CN63" s="6">
        <f t="shared" si="216"/>
        <v>5354</v>
      </c>
      <c r="CO63" s="6">
        <f t="shared" si="216"/>
        <v>5650.05</v>
      </c>
      <c r="CP63" s="6">
        <f t="shared" si="216"/>
        <v>6125.7000000000007</v>
      </c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>
        <f t="shared" ref="DD63" si="217">+DD61+DD62</f>
        <v>11778</v>
      </c>
      <c r="DE63" s="6">
        <f t="shared" ref="DE63:DF63" si="218">+DE61+DE62</f>
        <v>11676</v>
      </c>
      <c r="DF63" s="6">
        <f t="shared" si="218"/>
        <v>15633</v>
      </c>
      <c r="DG63" s="6">
        <f>+DG61+DG62</f>
        <v>18482</v>
      </c>
      <c r="DH63" s="6">
        <f>+DH61+DH62</f>
        <v>18880.05</v>
      </c>
      <c r="DI63" s="6">
        <f t="shared" ref="DI63:DP63" si="219">+DI61+DI62</f>
        <v>20171</v>
      </c>
      <c r="DJ63" s="6">
        <f t="shared" si="219"/>
        <v>21290</v>
      </c>
      <c r="DK63" s="6">
        <f t="shared" si="219"/>
        <v>22460.75</v>
      </c>
      <c r="DL63" s="6">
        <f t="shared" si="219"/>
        <v>12536.138700000001</v>
      </c>
      <c r="DM63" s="6">
        <f t="shared" si="219"/>
        <v>13066.225295000002</v>
      </c>
      <c r="DN63" s="6">
        <f t="shared" si="219"/>
        <v>13142.676776550001</v>
      </c>
      <c r="DO63" s="6">
        <f t="shared" si="219"/>
        <v>13357.6619969815</v>
      </c>
      <c r="DP63" s="6">
        <f t="shared" si="219"/>
        <v>11682.24287270612</v>
      </c>
    </row>
    <row r="64" spans="2:125" s="5" customFormat="1" x14ac:dyDescent="0.25">
      <c r="B64" s="5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f>AQ60-AQ63</f>
        <v>1305</v>
      </c>
      <c r="AR64" s="6">
        <f>AR60-AR63</f>
        <v>1523</v>
      </c>
      <c r="AS64" s="6">
        <f>AS60-AS63</f>
        <v>1591</v>
      </c>
      <c r="AT64" s="6">
        <f>AT60-AT63</f>
        <v>1583</v>
      </c>
      <c r="AU64" s="6">
        <f>AU60-AU63</f>
        <v>1351</v>
      </c>
      <c r="AV64" s="6">
        <f t="shared" ref="AV64:BB64" si="220">+AV60-AV63</f>
        <v>1752</v>
      </c>
      <c r="AW64" s="6">
        <f t="shared" si="220"/>
        <v>1518</v>
      </c>
      <c r="AX64" s="6">
        <f t="shared" si="220"/>
        <v>113</v>
      </c>
      <c r="AY64" s="6">
        <f t="shared" si="220"/>
        <v>1814</v>
      </c>
      <c r="AZ64" s="6">
        <f t="shared" si="220"/>
        <v>1875</v>
      </c>
      <c r="BA64" s="6">
        <f t="shared" si="220"/>
        <v>1885</v>
      </c>
      <c r="BB64" s="6">
        <f t="shared" si="220"/>
        <v>2073</v>
      </c>
      <c r="BC64" s="6">
        <f t="shared" ref="BC64" si="221">+BC60-BC63</f>
        <v>2288</v>
      </c>
      <c r="BD64" s="6">
        <f t="shared" ref="BD64:BE64" si="222">+BD60-BD63</f>
        <v>2437</v>
      </c>
      <c r="BE64" s="6">
        <f t="shared" si="222"/>
        <v>2732</v>
      </c>
      <c r="BF64" s="6">
        <f t="shared" ref="BF64:BG64" si="223">+BF60-BF63</f>
        <v>2697</v>
      </c>
      <c r="BG64" s="6">
        <f t="shared" si="223"/>
        <v>2753</v>
      </c>
      <c r="BH64" s="6">
        <f t="shared" ref="BH64:BI64" si="224">+BH60-BH63</f>
        <v>3096</v>
      </c>
      <c r="BI64" s="6">
        <f t="shared" si="224"/>
        <v>3015</v>
      </c>
      <c r="BJ64" s="6">
        <f t="shared" ref="BJ64" si="225">+BJ60-BJ63</f>
        <v>3151</v>
      </c>
      <c r="BK64" s="6">
        <f t="shared" ref="BK64:BP64" si="226">+BK60-BK63</f>
        <v>3503</v>
      </c>
      <c r="BL64" s="6">
        <f t="shared" si="226"/>
        <v>3741</v>
      </c>
      <c r="BM64" s="6">
        <f t="shared" si="226"/>
        <v>3884</v>
      </c>
      <c r="BN64" s="6">
        <f t="shared" si="226"/>
        <v>3465</v>
      </c>
      <c r="BO64" s="6">
        <f t="shared" si="226"/>
        <v>3763</v>
      </c>
      <c r="BP64" s="6">
        <f t="shared" si="226"/>
        <v>3976</v>
      </c>
      <c r="BQ64" s="6">
        <f t="shared" ref="BQ64:BR64" si="227">BQ60-BQ63</f>
        <v>4106</v>
      </c>
      <c r="BR64" s="6">
        <f t="shared" si="227"/>
        <v>3885</v>
      </c>
      <c r="BS64" s="6">
        <f t="shared" ref="BS64:BT64" si="228">BS60-BS63</f>
        <v>4292</v>
      </c>
      <c r="BT64" s="6">
        <f t="shared" si="228"/>
        <v>4905</v>
      </c>
      <c r="BU64" s="6">
        <f t="shared" ref="BU64:CA64" si="229">BU60-BU63</f>
        <v>6284</v>
      </c>
      <c r="BV64" s="6">
        <f t="shared" si="229"/>
        <v>6495</v>
      </c>
      <c r="BW64" s="6">
        <f t="shared" si="229"/>
        <v>6602</v>
      </c>
      <c r="BX64" s="6">
        <f t="shared" si="229"/>
        <v>6944</v>
      </c>
      <c r="BY64" s="6">
        <f t="shared" si="229"/>
        <v>7336</v>
      </c>
      <c r="BZ64" s="6">
        <f t="shared" si="229"/>
        <v>7333</v>
      </c>
      <c r="CA64" s="6">
        <f t="shared" si="229"/>
        <v>7103</v>
      </c>
      <c r="CB64" s="6">
        <f t="shared" ref="CB64:CD64" si="230">CB60-CB63</f>
        <v>7720</v>
      </c>
      <c r="CC64" s="6">
        <f t="shared" si="230"/>
        <v>7949</v>
      </c>
      <c r="CD64" s="6">
        <f t="shared" si="230"/>
        <v>7696.8</v>
      </c>
      <c r="CE64" s="6">
        <f t="shared" ref="CE64:CH64" si="231">CE60-CE63</f>
        <v>5653</v>
      </c>
      <c r="CF64" s="6">
        <f t="shared" si="231"/>
        <v>6800</v>
      </c>
      <c r="CG64" s="6">
        <f t="shared" si="231"/>
        <v>6576</v>
      </c>
      <c r="CH64" s="6">
        <f t="shared" si="231"/>
        <v>6472</v>
      </c>
      <c r="CI64" s="6">
        <f>+CI60-CI63</f>
        <v>5359</v>
      </c>
      <c r="CJ64" s="6">
        <f t="shared" ref="CJ64:CK64" si="232">+CJ60-CJ63</f>
        <v>7095</v>
      </c>
      <c r="CK64" s="6">
        <f t="shared" si="232"/>
        <v>6828</v>
      </c>
      <c r="CL64" s="6">
        <f>+CL60-CL63</f>
        <v>6815</v>
      </c>
      <c r="CM64" s="6">
        <f t="shared" ref="CM64:CP64" si="233">+CM60-CM63</f>
        <v>5785.1</v>
      </c>
      <c r="CN64" s="6">
        <f t="shared" si="233"/>
        <v>7656</v>
      </c>
      <c r="CO64" s="6">
        <f t="shared" si="233"/>
        <v>7759.7794999999996</v>
      </c>
      <c r="CP64" s="6">
        <f t="shared" si="233"/>
        <v>7999.5999999999985</v>
      </c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>
        <f t="shared" ref="DD64" si="234">+DD60-DD63</f>
        <v>14593</v>
      </c>
      <c r="DE64" s="6">
        <f t="shared" ref="DE64:DF64" si="235">+DE60-DE63</f>
        <v>15730</v>
      </c>
      <c r="DF64" s="6">
        <f t="shared" si="235"/>
        <v>21976</v>
      </c>
      <c r="DG64" s="6">
        <f>+DG60-DG63</f>
        <v>28215</v>
      </c>
      <c r="DH64" s="6">
        <f>+DH60-DH63</f>
        <v>30468.799999999999</v>
      </c>
      <c r="DI64" s="6">
        <f t="shared" ref="DI64:DP64" si="236">+DI60-DI63</f>
        <v>25501</v>
      </c>
      <c r="DJ64" s="6">
        <f t="shared" si="236"/>
        <v>26097</v>
      </c>
      <c r="DK64" s="6">
        <f t="shared" si="236"/>
        <v>29180.479499999994</v>
      </c>
      <c r="DL64" s="6">
        <f t="shared" si="236"/>
        <v>40742.450774999998</v>
      </c>
      <c r="DM64" s="6">
        <f t="shared" si="236"/>
        <v>42465.23220875</v>
      </c>
      <c r="DN64" s="6">
        <f t="shared" si="236"/>
        <v>42713.699523787494</v>
      </c>
      <c r="DO64" s="6">
        <f t="shared" si="236"/>
        <v>43412.40149018987</v>
      </c>
      <c r="DP64" s="6">
        <f t="shared" si="236"/>
        <v>37967.289336294882</v>
      </c>
    </row>
    <row r="65" spans="2:247" s="5" customFormat="1" x14ac:dyDescent="0.25">
      <c r="B65" s="5" t="s">
        <v>19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f>-66-15+15</f>
        <v>-66</v>
      </c>
      <c r="AR65" s="6">
        <f>-75+4</f>
        <v>-71</v>
      </c>
      <c r="AS65" s="6">
        <f>-69-11-5</f>
        <v>-85</v>
      </c>
      <c r="AT65" s="6">
        <f>-68-13</f>
        <v>-81</v>
      </c>
      <c r="AU65" s="6">
        <f>-65+3</f>
        <v>-62</v>
      </c>
      <c r="AV65" s="6">
        <f>-69-5-8</f>
        <v>-82</v>
      </c>
      <c r="AW65" s="6">
        <f>-128-221</f>
        <v>-349</v>
      </c>
      <c r="AX65" s="6">
        <f>-129+3</f>
        <v>-126</v>
      </c>
      <c r="AY65" s="6">
        <f>-126-1</f>
        <v>-127</v>
      </c>
      <c r="AZ65" s="6">
        <f>-164+4</f>
        <v>-160</v>
      </c>
      <c r="BA65" s="6">
        <f>-197-28</f>
        <v>-225</v>
      </c>
      <c r="BB65" s="6">
        <f>-199+12</f>
        <v>-187</v>
      </c>
      <c r="BC65" s="6">
        <v>-200</v>
      </c>
      <c r="BD65" s="6">
        <f>-225-51</f>
        <v>-276</v>
      </c>
      <c r="BE65" s="6">
        <f>-250+3</f>
        <v>-247</v>
      </c>
      <c r="BF65" s="6">
        <f>-251+5</f>
        <v>-246</v>
      </c>
      <c r="BG65" s="6">
        <f>-247+25</f>
        <v>-222</v>
      </c>
      <c r="BH65" s="6">
        <v>-253</v>
      </c>
      <c r="BI65" s="6">
        <f>-252+52</f>
        <v>-200</v>
      </c>
      <c r="BJ65" s="6">
        <f>-252+50</f>
        <v>-202</v>
      </c>
      <c r="BK65" s="6">
        <f>5-251</f>
        <v>-246</v>
      </c>
      <c r="BL65" s="6">
        <f>-15-272</f>
        <v>-287</v>
      </c>
      <c r="BM65" s="6">
        <f>-302-2+1</f>
        <v>-303</v>
      </c>
      <c r="BN65" s="6">
        <f>-319-6+11</f>
        <v>-314</v>
      </c>
      <c r="BO65" s="6">
        <f>34-325</f>
        <v>-291</v>
      </c>
      <c r="BP65" s="6">
        <f>-302+26</f>
        <v>-276</v>
      </c>
      <c r="BQ65" s="6">
        <f>-288-19+3</f>
        <v>-304</v>
      </c>
      <c r="BR65" s="6">
        <f>-282-11+22</f>
        <v>-271</v>
      </c>
      <c r="BS65" s="6">
        <f>-284-5</f>
        <v>-289</v>
      </c>
      <c r="BT65" s="6">
        <f>-484+7-33</f>
        <v>-510</v>
      </c>
      <c r="BU65" s="31">
        <v>620</v>
      </c>
      <c r="BV65" s="31">
        <v>618</v>
      </c>
      <c r="BW65" s="6">
        <v>-622</v>
      </c>
      <c r="BX65" s="6">
        <v>-606</v>
      </c>
      <c r="BY65" s="6">
        <v>-585</v>
      </c>
      <c r="BZ65" s="6">
        <v>-571</v>
      </c>
      <c r="CA65" s="6">
        <f>-539+28</f>
        <v>-511</v>
      </c>
      <c r="CB65" s="6">
        <f>-497+210</f>
        <v>-287</v>
      </c>
      <c r="CC65" s="6">
        <f>120-497</f>
        <v>-377</v>
      </c>
      <c r="CD65" s="6">
        <f>+CC65</f>
        <v>-377</v>
      </c>
      <c r="CE65" s="6">
        <v>69</v>
      </c>
      <c r="CF65" s="6">
        <f>-119-454</f>
        <v>-573</v>
      </c>
      <c r="CG65" s="6">
        <f>146-398</f>
        <v>-252</v>
      </c>
      <c r="CH65" s="6">
        <f>-363+142</f>
        <v>-221</v>
      </c>
      <c r="CI65" s="6">
        <f>-429+76</f>
        <v>-353</v>
      </c>
      <c r="CJ65" s="6">
        <f>153-506-1</f>
        <v>-354</v>
      </c>
      <c r="CK65" s="6">
        <f>199-591</f>
        <v>-392</v>
      </c>
      <c r="CL65" s="6">
        <f>201-610</f>
        <v>-409</v>
      </c>
      <c r="CM65" s="6">
        <f>-627+82</f>
        <v>-545</v>
      </c>
      <c r="CN65" s="6">
        <f>-678+172</f>
        <v>-506</v>
      </c>
      <c r="CO65" s="6">
        <f>+CN65</f>
        <v>-506</v>
      </c>
      <c r="CP65" s="6">
        <f>+CO65</f>
        <v>-506</v>
      </c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>
        <f t="shared" ref="DD65:DD67" si="237">SUM(BK65:BN65)</f>
        <v>-1150</v>
      </c>
      <c r="DE65" s="6">
        <f t="shared" ref="DE65" si="238">SUM(BO65:BR65)</f>
        <v>-1142</v>
      </c>
      <c r="DF65" s="6">
        <f t="shared" ref="DF65" si="239">SUM(BS65:BV65)</f>
        <v>439</v>
      </c>
      <c r="DG65" s="6">
        <f t="shared" ref="DG65" si="240">SUM(BW65:BZ65)</f>
        <v>-2384</v>
      </c>
      <c r="DH65" s="6">
        <f t="shared" ref="DH65" si="241">SUM(CA65:CD65)</f>
        <v>-1552</v>
      </c>
      <c r="DI65" s="6">
        <f>SUM(CE65:CH65)</f>
        <v>-977</v>
      </c>
      <c r="DJ65" s="6">
        <f t="shared" ref="DJ65" si="242">SUM(CI65:CL65)</f>
        <v>-1508</v>
      </c>
      <c r="DK65" s="6">
        <f>SUM(CM65:CP65)</f>
        <v>-2063</v>
      </c>
      <c r="DL65" s="6">
        <f t="shared" ref="DL65:DM65" si="243">+DK65+300</f>
        <v>-1763</v>
      </c>
      <c r="DM65" s="6">
        <f t="shared" si="243"/>
        <v>-1463</v>
      </c>
      <c r="DN65" s="6">
        <f>+DM65+300</f>
        <v>-1163</v>
      </c>
      <c r="DO65" s="6">
        <f>+DN65+300</f>
        <v>-863</v>
      </c>
      <c r="DP65" s="6">
        <f>+DO65+300</f>
        <v>-563</v>
      </c>
    </row>
    <row r="66" spans="2:247" s="5" customFormat="1" x14ac:dyDescent="0.25">
      <c r="B66" s="5" t="s">
        <v>18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f>+AQ64+AQ65</f>
        <v>1239</v>
      </c>
      <c r="AR66" s="6">
        <f>+AR64+AR65</f>
        <v>1452</v>
      </c>
      <c r="AS66" s="6">
        <f>+AS64+AS65</f>
        <v>1506</v>
      </c>
      <c r="AT66" s="6">
        <f>+AT64+AT65</f>
        <v>1502</v>
      </c>
      <c r="AU66" s="6">
        <f>+AU64+AU65</f>
        <v>1289</v>
      </c>
      <c r="AV66" s="6">
        <f t="shared" ref="AV66:BB66" si="244">+AV65+AV64</f>
        <v>1670</v>
      </c>
      <c r="AW66" s="6">
        <f t="shared" si="244"/>
        <v>1169</v>
      </c>
      <c r="AX66" s="6">
        <f t="shared" si="244"/>
        <v>-13</v>
      </c>
      <c r="AY66" s="6">
        <f t="shared" si="244"/>
        <v>1687</v>
      </c>
      <c r="AZ66" s="6">
        <f t="shared" si="244"/>
        <v>1715</v>
      </c>
      <c r="BA66" s="6">
        <f t="shared" si="244"/>
        <v>1660</v>
      </c>
      <c r="BB66" s="6">
        <f t="shared" si="244"/>
        <v>1886</v>
      </c>
      <c r="BC66" s="6">
        <f t="shared" ref="BC66" si="245">+BC64+BC65</f>
        <v>2088</v>
      </c>
      <c r="BD66" s="6">
        <f t="shared" ref="BD66:BE66" si="246">+BD64+BD65</f>
        <v>2161</v>
      </c>
      <c r="BE66" s="6">
        <f t="shared" si="246"/>
        <v>2485</v>
      </c>
      <c r="BF66" s="6">
        <f t="shared" ref="BF66:BG66" si="247">+BF64+BF65</f>
        <v>2451</v>
      </c>
      <c r="BG66" s="6">
        <f t="shared" si="247"/>
        <v>2531</v>
      </c>
      <c r="BH66" s="6">
        <f t="shared" ref="BH66:BI66" si="248">+BH64+BH65</f>
        <v>2843</v>
      </c>
      <c r="BI66" s="6">
        <f t="shared" si="248"/>
        <v>2815</v>
      </c>
      <c r="BJ66" s="6">
        <f t="shared" ref="BJ66:BP66" si="249">+BJ64+BJ65</f>
        <v>2949</v>
      </c>
      <c r="BK66" s="6">
        <f t="shared" si="249"/>
        <v>3257</v>
      </c>
      <c r="BL66" s="6">
        <f t="shared" si="249"/>
        <v>3454</v>
      </c>
      <c r="BM66" s="6">
        <f t="shared" si="249"/>
        <v>3581</v>
      </c>
      <c r="BN66" s="6">
        <f t="shared" si="249"/>
        <v>3151</v>
      </c>
      <c r="BO66" s="6">
        <f t="shared" si="249"/>
        <v>3472</v>
      </c>
      <c r="BP66" s="6">
        <f t="shared" si="249"/>
        <v>3700</v>
      </c>
      <c r="BQ66" s="6">
        <f t="shared" ref="BQ66:BR66" si="250">BQ64+BQ65</f>
        <v>3802</v>
      </c>
      <c r="BR66" s="6">
        <f t="shared" si="250"/>
        <v>3614</v>
      </c>
      <c r="BS66" s="6">
        <f t="shared" ref="BS66:BT66" si="251">BS64+BS65</f>
        <v>4003</v>
      </c>
      <c r="BT66" s="6">
        <f t="shared" si="251"/>
        <v>4395</v>
      </c>
      <c r="BU66" s="6">
        <f t="shared" ref="BU66:CA66" si="252">BU64+BU65</f>
        <v>6904</v>
      </c>
      <c r="BV66" s="6">
        <f t="shared" si="252"/>
        <v>7113</v>
      </c>
      <c r="BW66" s="6">
        <f t="shared" si="252"/>
        <v>5980</v>
      </c>
      <c r="BX66" s="6">
        <f t="shared" si="252"/>
        <v>6338</v>
      </c>
      <c r="BY66" s="6">
        <f t="shared" si="252"/>
        <v>6751</v>
      </c>
      <c r="BZ66" s="6">
        <f t="shared" si="252"/>
        <v>6762</v>
      </c>
      <c r="CA66" s="6">
        <f t="shared" si="252"/>
        <v>6592</v>
      </c>
      <c r="CB66" s="6">
        <f t="shared" ref="CB66:CD66" si="253">CB64+CB65</f>
        <v>7433</v>
      </c>
      <c r="CC66" s="6">
        <f t="shared" si="253"/>
        <v>7572</v>
      </c>
      <c r="CD66" s="6">
        <f t="shared" si="253"/>
        <v>7319.8</v>
      </c>
      <c r="CE66" s="6">
        <f t="shared" ref="CE66:CH66" si="254">CE64+CE65</f>
        <v>5722</v>
      </c>
      <c r="CF66" s="6">
        <f t="shared" si="254"/>
        <v>6227</v>
      </c>
      <c r="CG66" s="6">
        <f t="shared" si="254"/>
        <v>6324</v>
      </c>
      <c r="CH66" s="6">
        <f t="shared" si="254"/>
        <v>6251</v>
      </c>
      <c r="CI66" s="6">
        <f>+CI64+CI65</f>
        <v>5006</v>
      </c>
      <c r="CJ66" s="6">
        <f>+CJ64+CJ65</f>
        <v>6741</v>
      </c>
      <c r="CK66" s="6">
        <f>+CK64+CK65</f>
        <v>6436</v>
      </c>
      <c r="CL66" s="6">
        <f>+CL64+CL65</f>
        <v>6406</v>
      </c>
      <c r="CM66" s="6">
        <f t="shared" ref="CM66:CP66" si="255">+CM64+CM65</f>
        <v>5240.1000000000004</v>
      </c>
      <c r="CN66" s="6">
        <f t="shared" si="255"/>
        <v>7150</v>
      </c>
      <c r="CO66" s="6">
        <f t="shared" si="255"/>
        <v>7253.7794999999996</v>
      </c>
      <c r="CP66" s="6">
        <f t="shared" si="255"/>
        <v>7493.5999999999985</v>
      </c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>
        <f t="shared" ref="DD66:DF66" si="256">+DD64+DD65</f>
        <v>13443</v>
      </c>
      <c r="DE66" s="6">
        <f t="shared" si="256"/>
        <v>14588</v>
      </c>
      <c r="DF66" s="6">
        <f t="shared" si="256"/>
        <v>22415</v>
      </c>
      <c r="DG66" s="6">
        <f>+DG64+DG65</f>
        <v>25831</v>
      </c>
      <c r="DH66" s="6">
        <f>+DH64+DH65</f>
        <v>28916.799999999999</v>
      </c>
      <c r="DI66" s="6">
        <f t="shared" ref="DI66:DP66" si="257">+DI64+DI65</f>
        <v>24524</v>
      </c>
      <c r="DJ66" s="6">
        <f t="shared" si="257"/>
        <v>24589</v>
      </c>
      <c r="DK66" s="6">
        <f t="shared" si="257"/>
        <v>27117.479499999994</v>
      </c>
      <c r="DL66" s="6">
        <f t="shared" si="257"/>
        <v>38979.450774999998</v>
      </c>
      <c r="DM66" s="6">
        <f t="shared" si="257"/>
        <v>41002.23220875</v>
      </c>
      <c r="DN66" s="6">
        <f>+DN64+DN65</f>
        <v>41550.699523787494</v>
      </c>
      <c r="DO66" s="6">
        <f t="shared" si="257"/>
        <v>42549.40149018987</v>
      </c>
      <c r="DP66" s="6">
        <f t="shared" si="257"/>
        <v>37404.289336294882</v>
      </c>
    </row>
    <row r="67" spans="2:247" s="5" customFormat="1" x14ac:dyDescent="0.25">
      <c r="B67" s="5" t="s">
        <v>17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271</v>
      </c>
      <c r="AR67" s="6">
        <v>300</v>
      </c>
      <c r="AS67" s="6">
        <v>322</v>
      </c>
      <c r="AT67" s="6">
        <v>311</v>
      </c>
      <c r="AU67" s="6">
        <v>306</v>
      </c>
      <c r="AV67" s="6">
        <v>335</v>
      </c>
      <c r="AW67" s="6">
        <v>181</v>
      </c>
      <c r="AX67" s="6">
        <v>0</v>
      </c>
      <c r="AY67" s="6">
        <v>374</v>
      </c>
      <c r="AZ67" s="6">
        <v>312</v>
      </c>
      <c r="BA67" s="6">
        <v>408</v>
      </c>
      <c r="BB67" s="6">
        <v>407</v>
      </c>
      <c r="BC67" s="6">
        <v>422</v>
      </c>
      <c r="BD67" s="6">
        <v>486</v>
      </c>
      <c r="BE67" s="6">
        <v>495</v>
      </c>
      <c r="BF67" s="6">
        <v>497</v>
      </c>
      <c r="BG67" s="6">
        <v>458</v>
      </c>
      <c r="BH67" s="6">
        <v>548</v>
      </c>
      <c r="BI67" s="6">
        <v>533</v>
      </c>
      <c r="BJ67" s="6">
        <v>556</v>
      </c>
      <c r="BK67" s="6">
        <v>249</v>
      </c>
      <c r="BL67" s="6">
        <v>311</v>
      </c>
      <c r="BM67" s="6">
        <v>326</v>
      </c>
      <c r="BN67" s="6">
        <v>289</v>
      </c>
      <c r="BO67" s="6">
        <v>274</v>
      </c>
      <c r="BP67" s="6">
        <v>324</v>
      </c>
      <c r="BQ67" s="6">
        <v>334</v>
      </c>
      <c r="BR67" s="6">
        <v>320</v>
      </c>
      <c r="BS67" s="6">
        <v>390</v>
      </c>
      <c r="BT67" s="6">
        <v>501</v>
      </c>
      <c r="BU67" s="6">
        <v>668</v>
      </c>
      <c r="BV67" s="6">
        <v>686</v>
      </c>
      <c r="BW67" s="6">
        <v>738</v>
      </c>
      <c r="BX67" s="6">
        <f>799+3</f>
        <v>802</v>
      </c>
      <c r="BY67" s="6">
        <f>862+1</f>
        <v>863</v>
      </c>
      <c r="BZ67" s="6">
        <f>6764-5919</f>
        <v>845</v>
      </c>
      <c r="CA67" s="6">
        <v>778</v>
      </c>
      <c r="CB67" s="6">
        <v>965</v>
      </c>
      <c r="CC67" s="6">
        <v>965</v>
      </c>
      <c r="CD67" s="6">
        <f>+CD66*0.15</f>
        <v>1097.97</v>
      </c>
      <c r="CE67" s="6">
        <f>6422-5641</f>
        <v>781</v>
      </c>
      <c r="CF67" s="51">
        <f>583+3</f>
        <v>586</v>
      </c>
      <c r="CG67" s="6">
        <v>980</v>
      </c>
      <c r="CH67" s="6">
        <f>388+2</f>
        <v>390</v>
      </c>
      <c r="CI67" s="6">
        <v>715</v>
      </c>
      <c r="CJ67" s="6">
        <v>1091</v>
      </c>
      <c r="CK67" s="6">
        <v>1027</v>
      </c>
      <c r="CL67" s="6">
        <v>970</v>
      </c>
      <c r="CM67" s="6">
        <v>726</v>
      </c>
      <c r="CN67" s="6">
        <v>1023</v>
      </c>
      <c r="CO67" s="6">
        <f t="shared" ref="CO67:CP67" si="258">+CO66*0.1</f>
        <v>725.37795000000006</v>
      </c>
      <c r="CP67" s="6">
        <f t="shared" si="258"/>
        <v>749.3599999999999</v>
      </c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>
        <f t="shared" si="237"/>
        <v>1175</v>
      </c>
      <c r="DE67" s="6">
        <f t="shared" ref="DE67" si="259">SUM(BO67:BR67)</f>
        <v>1252</v>
      </c>
      <c r="DF67" s="6">
        <f t="shared" ref="DF67" si="260">SUM(BS67:BV67)</f>
        <v>2245</v>
      </c>
      <c r="DG67" s="6">
        <f t="shared" ref="DG67" si="261">SUM(BW67:BZ67)</f>
        <v>3248</v>
      </c>
      <c r="DH67" s="6">
        <f t="shared" ref="DH67" si="262">SUM(CA67:CD67)</f>
        <v>3805.9700000000003</v>
      </c>
      <c r="DI67" s="6">
        <f>SUM(CE67:CH67)</f>
        <v>2737</v>
      </c>
      <c r="DJ67" s="6">
        <f t="shared" ref="DJ67" si="263">SUM(CI67:CL67)</f>
        <v>3803</v>
      </c>
      <c r="DK67" s="6">
        <f>SUM(CM67:CP67)</f>
        <v>3223.7379499999997</v>
      </c>
      <c r="DL67" s="6">
        <f t="shared" ref="DL67:DP67" si="264">+DL66*0.15</f>
        <v>5846.9176162499998</v>
      </c>
      <c r="DM67" s="6">
        <f t="shared" si="264"/>
        <v>6150.3348313124998</v>
      </c>
      <c r="DN67" s="6">
        <f t="shared" si="264"/>
        <v>6232.6049285681238</v>
      </c>
      <c r="DO67" s="6">
        <f t="shared" si="264"/>
        <v>6382.4102235284799</v>
      </c>
      <c r="DP67" s="6">
        <f t="shared" si="264"/>
        <v>5610.6434004442317</v>
      </c>
    </row>
    <row r="68" spans="2:247" s="5" customFormat="1" x14ac:dyDescent="0.25">
      <c r="B68" s="5" t="s">
        <v>16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f t="shared" ref="AQ68:BB68" si="265">+AQ66-AQ67</f>
        <v>968</v>
      </c>
      <c r="AR68" s="6">
        <f t="shared" si="265"/>
        <v>1152</v>
      </c>
      <c r="AS68" s="6">
        <f t="shared" si="265"/>
        <v>1184</v>
      </c>
      <c r="AT68" s="6">
        <f t="shared" si="265"/>
        <v>1191</v>
      </c>
      <c r="AU68" s="6">
        <f t="shared" si="265"/>
        <v>983</v>
      </c>
      <c r="AV68" s="6">
        <f t="shared" si="265"/>
        <v>1335</v>
      </c>
      <c r="AW68" s="6">
        <f t="shared" si="265"/>
        <v>988</v>
      </c>
      <c r="AX68" s="6">
        <f t="shared" si="265"/>
        <v>-13</v>
      </c>
      <c r="AY68" s="6">
        <f t="shared" si="265"/>
        <v>1313</v>
      </c>
      <c r="AZ68" s="6">
        <f t="shared" si="265"/>
        <v>1403</v>
      </c>
      <c r="BA68" s="6">
        <f t="shared" si="265"/>
        <v>1252</v>
      </c>
      <c r="BB68" s="6">
        <f t="shared" si="265"/>
        <v>1479</v>
      </c>
      <c r="BC68" s="6">
        <f t="shared" ref="BC68" si="266">+BC66-BC67</f>
        <v>1666</v>
      </c>
      <c r="BD68" s="6">
        <f t="shared" ref="BD68:BE68" si="267">+BD66-BD67</f>
        <v>1675</v>
      </c>
      <c r="BE68" s="6">
        <f t="shared" si="267"/>
        <v>1990</v>
      </c>
      <c r="BF68" s="6">
        <f t="shared" ref="BF68:BG68" si="268">+BF66-BF67</f>
        <v>1954</v>
      </c>
      <c r="BG68" s="6">
        <f t="shared" si="268"/>
        <v>2073</v>
      </c>
      <c r="BH68" s="6">
        <f t="shared" ref="BH68:BI68" si="269">+BH66-BH67</f>
        <v>2295</v>
      </c>
      <c r="BI68" s="6">
        <f t="shared" si="269"/>
        <v>2282</v>
      </c>
      <c r="BJ68" s="6">
        <f t="shared" ref="BJ68" si="270">+BJ66-BJ67</f>
        <v>2393</v>
      </c>
      <c r="BK68" s="6">
        <f t="shared" ref="BK68:BP68" si="271">+BK66-BK67</f>
        <v>3008</v>
      </c>
      <c r="BL68" s="6">
        <f t="shared" si="271"/>
        <v>3143</v>
      </c>
      <c r="BM68" s="6">
        <f t="shared" si="271"/>
        <v>3255</v>
      </c>
      <c r="BN68" s="6">
        <f t="shared" si="271"/>
        <v>2862</v>
      </c>
      <c r="BO68" s="6">
        <f t="shared" si="271"/>
        <v>3198</v>
      </c>
      <c r="BP68" s="6">
        <f t="shared" si="271"/>
        <v>3376</v>
      </c>
      <c r="BQ68" s="6">
        <f t="shared" ref="BQ68:BR68" si="272">BQ66-BQ67</f>
        <v>3468</v>
      </c>
      <c r="BR68" s="6">
        <f t="shared" si="272"/>
        <v>3294</v>
      </c>
      <c r="BS68" s="6">
        <f t="shared" ref="BS68:BT68" si="273">BS66-BS67</f>
        <v>3613</v>
      </c>
      <c r="BT68" s="6">
        <f t="shared" si="273"/>
        <v>3894</v>
      </c>
      <c r="BU68" s="6">
        <f t="shared" ref="BU68:CA68" si="274">BU66-BU67</f>
        <v>6236</v>
      </c>
      <c r="BV68" s="6">
        <f t="shared" si="274"/>
        <v>6427</v>
      </c>
      <c r="BW68" s="6">
        <f t="shared" si="274"/>
        <v>5242</v>
      </c>
      <c r="BX68" s="6">
        <f t="shared" si="274"/>
        <v>5536</v>
      </c>
      <c r="BY68" s="6">
        <f t="shared" si="274"/>
        <v>5888</v>
      </c>
      <c r="BZ68" s="6">
        <f t="shared" si="274"/>
        <v>5917</v>
      </c>
      <c r="CA68" s="6">
        <f t="shared" si="274"/>
        <v>5814</v>
      </c>
      <c r="CB68" s="6">
        <f t="shared" ref="CB68:CD68" si="275">CB66-CB67</f>
        <v>6468</v>
      </c>
      <c r="CC68" s="6">
        <f t="shared" si="275"/>
        <v>6607</v>
      </c>
      <c r="CD68" s="6">
        <f t="shared" si="275"/>
        <v>6221.83</v>
      </c>
      <c r="CE68" s="6">
        <f t="shared" ref="CE68:CJ68" si="276">CE66-CE67</f>
        <v>4941</v>
      </c>
      <c r="CF68" s="6">
        <f t="shared" si="276"/>
        <v>5641</v>
      </c>
      <c r="CG68" s="6">
        <f t="shared" si="276"/>
        <v>5344</v>
      </c>
      <c r="CH68" s="6">
        <f t="shared" si="276"/>
        <v>5861</v>
      </c>
      <c r="CI68" s="6">
        <f t="shared" si="276"/>
        <v>4291</v>
      </c>
      <c r="CJ68" s="6">
        <f t="shared" si="276"/>
        <v>5650</v>
      </c>
      <c r="CK68" s="6">
        <f t="shared" ref="CK68:CL68" si="277">CK66-CK67</f>
        <v>5409</v>
      </c>
      <c r="CL68" s="6">
        <f t="shared" si="277"/>
        <v>5436</v>
      </c>
      <c r="CM68" s="6">
        <f t="shared" ref="CM68:CP68" si="278">CM66-CM67</f>
        <v>4514.1000000000004</v>
      </c>
      <c r="CN68" s="6">
        <f t="shared" si="278"/>
        <v>6127</v>
      </c>
      <c r="CO68" s="6">
        <f t="shared" si="278"/>
        <v>6528.4015499999996</v>
      </c>
      <c r="CP68" s="6">
        <f t="shared" si="278"/>
        <v>6744.2399999999989</v>
      </c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>
        <f t="shared" ref="DD68:DF68" si="279">+DD66-DD67</f>
        <v>12268</v>
      </c>
      <c r="DE68" s="6">
        <f t="shared" si="279"/>
        <v>13336</v>
      </c>
      <c r="DF68" s="6">
        <f t="shared" si="279"/>
        <v>20170</v>
      </c>
      <c r="DG68" s="6">
        <f>+DG66-DG67</f>
        <v>22583</v>
      </c>
      <c r="DH68" s="6">
        <f>+DH66-DH67</f>
        <v>25110.829999999998</v>
      </c>
      <c r="DI68" s="6">
        <f>+DI66-DI67</f>
        <v>21787</v>
      </c>
      <c r="DJ68" s="6">
        <f t="shared" ref="DJ68:DP68" si="280">+DJ66-DJ67</f>
        <v>20786</v>
      </c>
      <c r="DK68" s="6">
        <f t="shared" si="280"/>
        <v>23893.741549999995</v>
      </c>
      <c r="DL68" s="6">
        <f t="shared" si="280"/>
        <v>33132.533158749997</v>
      </c>
      <c r="DM68" s="6">
        <f t="shared" si="280"/>
        <v>34851.897377437497</v>
      </c>
      <c r="DN68" s="6">
        <f t="shared" si="280"/>
        <v>35318.094595219372</v>
      </c>
      <c r="DO68" s="6">
        <f t="shared" si="280"/>
        <v>36166.991266661389</v>
      </c>
      <c r="DP68" s="6">
        <f t="shared" si="280"/>
        <v>31793.645935850651</v>
      </c>
      <c r="DQ68" s="5">
        <f t="shared" ref="DQ68:EV68" si="281">DP68*(1+$DX$76)</f>
        <v>31475.709476492146</v>
      </c>
      <c r="DR68" s="5">
        <f t="shared" si="281"/>
        <v>31160.952381727224</v>
      </c>
      <c r="DS68" s="5">
        <f t="shared" si="281"/>
        <v>30849.342857909953</v>
      </c>
      <c r="DT68" s="5">
        <f t="shared" si="281"/>
        <v>30540.849429330854</v>
      </c>
      <c r="DU68" s="5">
        <f t="shared" si="281"/>
        <v>30235.440935037546</v>
      </c>
      <c r="DV68" s="5">
        <f t="shared" si="281"/>
        <v>29933.086525687169</v>
      </c>
      <c r="DW68" s="5">
        <f t="shared" si="281"/>
        <v>29633.755660430299</v>
      </c>
      <c r="DX68" s="5">
        <f t="shared" si="281"/>
        <v>29337.418103825996</v>
      </c>
      <c r="DY68" s="5">
        <f t="shared" si="281"/>
        <v>29044.043922787736</v>
      </c>
      <c r="DZ68" s="5">
        <f t="shared" si="281"/>
        <v>28753.603483559858</v>
      </c>
      <c r="EA68" s="5">
        <f t="shared" si="281"/>
        <v>28466.067448724261</v>
      </c>
      <c r="EB68" s="5">
        <f t="shared" si="281"/>
        <v>28181.406774237017</v>
      </c>
      <c r="EC68" s="5">
        <f t="shared" si="281"/>
        <v>27899.592706494648</v>
      </c>
      <c r="ED68" s="5">
        <f t="shared" si="281"/>
        <v>27620.596779429703</v>
      </c>
      <c r="EE68" s="5">
        <f t="shared" si="281"/>
        <v>27344.390811635407</v>
      </c>
      <c r="EF68" s="5">
        <f t="shared" si="281"/>
        <v>27070.946903519052</v>
      </c>
      <c r="EG68" s="5">
        <f t="shared" si="281"/>
        <v>26800.237434483861</v>
      </c>
      <c r="EH68" s="5">
        <f t="shared" si="281"/>
        <v>26532.235060139021</v>
      </c>
      <c r="EI68" s="5">
        <f t="shared" si="281"/>
        <v>26266.912709537632</v>
      </c>
      <c r="EJ68" s="5">
        <f t="shared" si="281"/>
        <v>26004.243582442254</v>
      </c>
      <c r="EK68" s="5">
        <f t="shared" si="281"/>
        <v>25744.20114661783</v>
      </c>
      <c r="EL68" s="5">
        <f t="shared" si="281"/>
        <v>25486.759135151653</v>
      </c>
      <c r="EM68" s="5">
        <f t="shared" si="281"/>
        <v>25231.891543800135</v>
      </c>
      <c r="EN68" s="5">
        <f t="shared" si="281"/>
        <v>24979.572628362133</v>
      </c>
      <c r="EO68" s="5">
        <f t="shared" si="281"/>
        <v>24729.776902078513</v>
      </c>
      <c r="EP68" s="5">
        <f t="shared" si="281"/>
        <v>24482.479133057728</v>
      </c>
      <c r="EQ68" s="5">
        <f t="shared" si="281"/>
        <v>24237.65434172715</v>
      </c>
      <c r="ER68" s="5">
        <f t="shared" si="281"/>
        <v>23995.277798309879</v>
      </c>
      <c r="ES68" s="5">
        <f t="shared" si="281"/>
        <v>23755.325020326778</v>
      </c>
      <c r="ET68" s="5">
        <f t="shared" si="281"/>
        <v>23517.771770123509</v>
      </c>
      <c r="EU68" s="5">
        <f t="shared" si="281"/>
        <v>23282.594052422275</v>
      </c>
      <c r="EV68" s="5">
        <f t="shared" si="281"/>
        <v>23049.768111898051</v>
      </c>
      <c r="EW68" s="5">
        <f t="shared" ref="EW68:GB68" si="282">EV68*(1+$DX$76)</f>
        <v>22819.27043077907</v>
      </c>
      <c r="EX68" s="5">
        <f t="shared" si="282"/>
        <v>22591.077726471278</v>
      </c>
      <c r="EY68" s="5">
        <f t="shared" si="282"/>
        <v>22365.166949206567</v>
      </c>
      <c r="EZ68" s="5">
        <f t="shared" si="282"/>
        <v>22141.515279714502</v>
      </c>
      <c r="FA68" s="5">
        <f t="shared" si="282"/>
        <v>21920.100126917358</v>
      </c>
      <c r="FB68" s="5">
        <f t="shared" si="282"/>
        <v>21700.899125648182</v>
      </c>
      <c r="FC68" s="5">
        <f t="shared" si="282"/>
        <v>21483.890134391699</v>
      </c>
      <c r="FD68" s="5">
        <f t="shared" si="282"/>
        <v>21269.051233047783</v>
      </c>
      <c r="FE68" s="5">
        <f t="shared" si="282"/>
        <v>21056.360720717305</v>
      </c>
      <c r="FF68" s="5">
        <f t="shared" si="282"/>
        <v>20845.797113510132</v>
      </c>
      <c r="FG68" s="5">
        <f t="shared" si="282"/>
        <v>20637.339142375033</v>
      </c>
      <c r="FH68" s="5">
        <f t="shared" si="282"/>
        <v>20430.965750951284</v>
      </c>
      <c r="FI68" s="5">
        <f t="shared" si="282"/>
        <v>20226.656093441772</v>
      </c>
      <c r="FJ68" s="5">
        <f t="shared" si="282"/>
        <v>20024.389532507354</v>
      </c>
      <c r="FK68" s="5">
        <f t="shared" si="282"/>
        <v>19824.145637182279</v>
      </c>
      <c r="FL68" s="5">
        <f t="shared" si="282"/>
        <v>19625.904180810456</v>
      </c>
      <c r="FM68" s="5">
        <f t="shared" si="282"/>
        <v>19429.64513900235</v>
      </c>
      <c r="FN68" s="5">
        <f t="shared" si="282"/>
        <v>19235.348687612328</v>
      </c>
      <c r="FO68" s="5">
        <f t="shared" si="282"/>
        <v>19042.995200736204</v>
      </c>
      <c r="FP68" s="5">
        <f t="shared" si="282"/>
        <v>18852.565248728843</v>
      </c>
      <c r="FQ68" s="5">
        <f t="shared" si="282"/>
        <v>18664.039596241553</v>
      </c>
      <c r="FR68" s="5">
        <f t="shared" si="282"/>
        <v>18477.399200279138</v>
      </c>
      <c r="FS68" s="5">
        <f t="shared" si="282"/>
        <v>18292.625208276346</v>
      </c>
      <c r="FT68" s="5">
        <f t="shared" si="282"/>
        <v>18109.698956193581</v>
      </c>
      <c r="FU68" s="5">
        <f t="shared" si="282"/>
        <v>17928.601966631646</v>
      </c>
      <c r="FV68" s="5">
        <f t="shared" si="282"/>
        <v>17749.315946965329</v>
      </c>
      <c r="FW68" s="5">
        <f t="shared" si="282"/>
        <v>17571.822787495676</v>
      </c>
      <c r="FX68" s="5">
        <f t="shared" si="282"/>
        <v>17396.104559620719</v>
      </c>
      <c r="FY68" s="5">
        <f t="shared" si="282"/>
        <v>17222.143514024512</v>
      </c>
      <c r="FZ68" s="5">
        <f t="shared" si="282"/>
        <v>17049.922078884269</v>
      </c>
      <c r="GA68" s="5">
        <f t="shared" si="282"/>
        <v>16879.422858095426</v>
      </c>
      <c r="GB68" s="5">
        <f t="shared" si="282"/>
        <v>16710.628629514471</v>
      </c>
      <c r="GC68" s="5">
        <f t="shared" ref="GC68:HH68" si="283">GB68*(1+$DX$76)</f>
        <v>16543.522343219327</v>
      </c>
      <c r="GD68" s="5">
        <f t="shared" si="283"/>
        <v>16378.087119787133</v>
      </c>
      <c r="GE68" s="5">
        <f t="shared" si="283"/>
        <v>16214.306248589261</v>
      </c>
      <c r="GF68" s="5">
        <f t="shared" si="283"/>
        <v>16052.163186103367</v>
      </c>
      <c r="GG68" s="5">
        <f t="shared" si="283"/>
        <v>15891.641554242333</v>
      </c>
      <c r="GH68" s="5">
        <f t="shared" si="283"/>
        <v>15732.725138699909</v>
      </c>
      <c r="GI68" s="5">
        <f t="shared" si="283"/>
        <v>15575.397887312909</v>
      </c>
      <c r="GJ68" s="5">
        <f t="shared" si="283"/>
        <v>15419.643908439779</v>
      </c>
      <c r="GK68" s="5">
        <f t="shared" si="283"/>
        <v>15265.44746935538</v>
      </c>
      <c r="GL68" s="5">
        <f t="shared" si="283"/>
        <v>15112.792994661826</v>
      </c>
      <c r="GM68" s="5">
        <f t="shared" si="283"/>
        <v>14961.665064715207</v>
      </c>
      <c r="GN68" s="5">
        <f t="shared" si="283"/>
        <v>14812.048414068055</v>
      </c>
      <c r="GO68" s="5">
        <f t="shared" si="283"/>
        <v>14663.927929927373</v>
      </c>
      <c r="GP68" s="5">
        <f t="shared" si="283"/>
        <v>14517.288650628099</v>
      </c>
      <c r="GQ68" s="5">
        <f t="shared" si="283"/>
        <v>14372.115764121818</v>
      </c>
      <c r="GR68" s="5">
        <f t="shared" si="283"/>
        <v>14228.394606480599</v>
      </c>
      <c r="GS68" s="5">
        <f t="shared" si="283"/>
        <v>14086.110660415792</v>
      </c>
      <c r="GT68" s="5">
        <f t="shared" si="283"/>
        <v>13945.249553811635</v>
      </c>
      <c r="GU68" s="5">
        <f t="shared" si="283"/>
        <v>13805.797058273518</v>
      </c>
      <c r="GV68" s="5">
        <f t="shared" si="283"/>
        <v>13667.739087690783</v>
      </c>
      <c r="GW68" s="5">
        <f t="shared" si="283"/>
        <v>13531.061696813875</v>
      </c>
      <c r="GX68" s="5">
        <f t="shared" si="283"/>
        <v>13395.751079845735</v>
      </c>
      <c r="GY68" s="5">
        <f t="shared" si="283"/>
        <v>13261.793569047277</v>
      </c>
      <c r="GZ68" s="5">
        <f t="shared" si="283"/>
        <v>13129.175633356805</v>
      </c>
      <c r="HA68" s="5">
        <f t="shared" si="283"/>
        <v>12997.883877023236</v>
      </c>
      <c r="HB68" s="5">
        <f t="shared" si="283"/>
        <v>12867.905038253004</v>
      </c>
      <c r="HC68" s="5">
        <f t="shared" si="283"/>
        <v>12739.225987870474</v>
      </c>
      <c r="HD68" s="5">
        <f t="shared" si="283"/>
        <v>12611.833727991769</v>
      </c>
      <c r="HE68" s="5">
        <f t="shared" si="283"/>
        <v>12485.71539071185</v>
      </c>
      <c r="HF68" s="5">
        <f t="shared" si="283"/>
        <v>12360.858236804732</v>
      </c>
      <c r="HG68" s="5">
        <f t="shared" si="283"/>
        <v>12237.249654436684</v>
      </c>
      <c r="HH68" s="5">
        <f t="shared" si="283"/>
        <v>12114.877157892317</v>
      </c>
      <c r="HI68" s="5">
        <f t="shared" ref="HI68:IM68" si="284">HH68*(1+$DX$76)</f>
        <v>11993.728386313394</v>
      </c>
      <c r="HJ68" s="5">
        <f t="shared" si="284"/>
        <v>11873.791102450261</v>
      </c>
      <c r="HK68" s="5">
        <f t="shared" si="284"/>
        <v>11755.053191425759</v>
      </c>
      <c r="HL68" s="5">
        <f t="shared" si="284"/>
        <v>11637.502659511501</v>
      </c>
      <c r="HM68" s="5">
        <f t="shared" si="284"/>
        <v>11521.127632916387</v>
      </c>
      <c r="HN68" s="5">
        <f t="shared" si="284"/>
        <v>11405.916356587222</v>
      </c>
      <c r="HO68" s="5">
        <f t="shared" si="284"/>
        <v>11291.857193021349</v>
      </c>
      <c r="HP68" s="5">
        <f t="shared" si="284"/>
        <v>11178.938621091136</v>
      </c>
      <c r="HQ68" s="5">
        <f t="shared" si="284"/>
        <v>11067.149234880224</v>
      </c>
      <c r="HR68" s="5">
        <f t="shared" si="284"/>
        <v>10956.477742531422</v>
      </c>
      <c r="HS68" s="5">
        <f t="shared" si="284"/>
        <v>10846.912965106108</v>
      </c>
      <c r="HT68" s="5">
        <f t="shared" si="284"/>
        <v>10738.443835455048</v>
      </c>
      <c r="HU68" s="5">
        <f t="shared" si="284"/>
        <v>10631.059397100496</v>
      </c>
      <c r="HV68" s="5">
        <f t="shared" si="284"/>
        <v>10524.748803129491</v>
      </c>
      <c r="HW68" s="5">
        <f t="shared" si="284"/>
        <v>10419.501315098196</v>
      </c>
      <c r="HX68" s="5">
        <f t="shared" si="284"/>
        <v>10315.306301947214</v>
      </c>
      <c r="HY68" s="5">
        <f t="shared" si="284"/>
        <v>10212.153238927742</v>
      </c>
      <c r="HZ68" s="5">
        <f t="shared" si="284"/>
        <v>10110.031706538464</v>
      </c>
      <c r="IA68" s="5">
        <f t="shared" si="284"/>
        <v>10008.93138947308</v>
      </c>
      <c r="IB68" s="5">
        <f t="shared" si="284"/>
        <v>9908.84207557835</v>
      </c>
      <c r="IC68" s="5">
        <f t="shared" si="284"/>
        <v>9809.7536548225671</v>
      </c>
      <c r="ID68" s="5">
        <f t="shared" si="284"/>
        <v>9711.6561182743408</v>
      </c>
      <c r="IE68" s="5">
        <f t="shared" si="284"/>
        <v>9614.5395570915971</v>
      </c>
      <c r="IF68" s="5">
        <f t="shared" si="284"/>
        <v>9518.3941615206804</v>
      </c>
      <c r="IG68" s="5">
        <f t="shared" si="284"/>
        <v>9423.2102199054734</v>
      </c>
      <c r="IH68" s="5">
        <f t="shared" si="284"/>
        <v>9328.9781177064178</v>
      </c>
      <c r="II68" s="5">
        <f t="shared" si="284"/>
        <v>9235.6883365293543</v>
      </c>
      <c r="IJ68" s="5">
        <f t="shared" si="284"/>
        <v>9143.3314531640608</v>
      </c>
      <c r="IK68" s="5">
        <f t="shared" si="284"/>
        <v>9051.8981386324194</v>
      </c>
      <c r="IL68" s="5">
        <f t="shared" si="284"/>
        <v>8961.3791572460959</v>
      </c>
      <c r="IM68" s="5">
        <f t="shared" si="284"/>
        <v>8871.7653656736347</v>
      </c>
    </row>
    <row r="69" spans="2:247" s="4" customFormat="1" x14ac:dyDescent="0.25">
      <c r="B69" s="4" t="s">
        <v>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f t="shared" ref="AQ69:BB69" si="285">AQ68/AQ70</f>
        <v>0.60311526479750777</v>
      </c>
      <c r="AR69" s="3">
        <f t="shared" si="285"/>
        <v>0.71597265382224984</v>
      </c>
      <c r="AS69" s="3">
        <f t="shared" si="285"/>
        <v>0.74465408805031441</v>
      </c>
      <c r="AT69" s="3">
        <f t="shared" si="285"/>
        <v>0.74067164179104472</v>
      </c>
      <c r="AU69" s="3">
        <f t="shared" si="285"/>
        <v>0.61093847110006216</v>
      </c>
      <c r="AV69" s="3">
        <f t="shared" si="285"/>
        <v>0.83022388059701491</v>
      </c>
      <c r="AW69" s="3">
        <f t="shared" si="285"/>
        <v>0.61366459627329195</v>
      </c>
      <c r="AX69" s="3">
        <f t="shared" si="285"/>
        <v>-8.1402629931120844E-3</v>
      </c>
      <c r="AY69" s="3">
        <f t="shared" si="285"/>
        <v>0.81654228855721389</v>
      </c>
      <c r="AZ69" s="3">
        <f t="shared" si="285"/>
        <v>0.85915492957746475</v>
      </c>
      <c r="BA69" s="3">
        <f t="shared" si="285"/>
        <v>0.75240384615384615</v>
      </c>
      <c r="BB69" s="3">
        <f t="shared" si="285"/>
        <v>0.90182926829268295</v>
      </c>
      <c r="BC69" s="3">
        <f t="shared" ref="BC69:BD69" si="286">BC68/BC70</f>
        <v>1.0252307692307692</v>
      </c>
      <c r="BD69" s="3">
        <f t="shared" si="286"/>
        <v>1.0263480392156863</v>
      </c>
      <c r="BE69" s="3">
        <f t="shared" ref="BE69:BF69" si="287">BE68/BE70</f>
        <v>1.2134146341463414</v>
      </c>
      <c r="BF69" s="3">
        <f t="shared" si="287"/>
        <v>1.219725343320849</v>
      </c>
      <c r="BG69" s="3">
        <f t="shared" ref="BG69:BH69" si="288">BG68/BG70</f>
        <v>1.2932002495321273</v>
      </c>
      <c r="BH69" s="3">
        <f t="shared" si="288"/>
        <v>1.434375</v>
      </c>
      <c r="BI69" s="3">
        <f t="shared" ref="BI69" si="289">BI68/BI70</f>
        <v>1.4235807860262009</v>
      </c>
      <c r="BJ69" s="3">
        <f t="shared" ref="BJ69:BK69" si="290">BJ68/BJ70</f>
        <v>1.4937578027465668</v>
      </c>
      <c r="BK69" s="3">
        <f t="shared" si="290"/>
        <v>1.8847117794486214</v>
      </c>
      <c r="BL69" s="3">
        <f t="shared" ref="BL69:BM69" si="291">BL68/BL70</f>
        <v>1.9993638676844783</v>
      </c>
      <c r="BM69" s="3">
        <f t="shared" si="291"/>
        <v>2.1485148514851486</v>
      </c>
      <c r="BN69" s="3">
        <f t="shared" ref="BN69:BR69" si="292">BN68/BN70</f>
        <v>1.9067288474350432</v>
      </c>
      <c r="BO69" s="3">
        <f t="shared" si="292"/>
        <v>2.1564396493594065</v>
      </c>
      <c r="BP69" s="3">
        <f t="shared" si="292"/>
        <v>2.2749326145552562</v>
      </c>
      <c r="BQ69" s="3">
        <f t="shared" ref="BQ69" si="293">BQ68/BQ70</f>
        <v>2.3385030343897504</v>
      </c>
      <c r="BR69" s="3">
        <f t="shared" si="292"/>
        <v>2.2181818181818183</v>
      </c>
      <c r="BS69" s="3">
        <f t="shared" ref="BS69:BT69" si="294">BS68/BS70</f>
        <v>2.4346361185983829</v>
      </c>
      <c r="BT69" s="3">
        <f t="shared" si="294"/>
        <v>2.3642987249544625</v>
      </c>
      <c r="BU69" s="3">
        <f t="shared" ref="BU69:CA69" si="295">BU68/BU70</f>
        <v>3.5152198421645999</v>
      </c>
      <c r="BV69" s="3">
        <f t="shared" si="295"/>
        <v>3.6188063063063063</v>
      </c>
      <c r="BW69" s="3">
        <f t="shared" si="295"/>
        <v>2.9532394366197181</v>
      </c>
      <c r="BX69" s="3">
        <f t="shared" si="295"/>
        <v>3.1171171171171173</v>
      </c>
      <c r="BY69" s="3">
        <f t="shared" si="295"/>
        <v>3.3134496342149689</v>
      </c>
      <c r="BZ69" s="3">
        <f t="shared" si="295"/>
        <v>3.3278965129358831</v>
      </c>
      <c r="CA69" s="3">
        <f t="shared" si="295"/>
        <v>3.2699662542182226</v>
      </c>
      <c r="CB69" s="3">
        <f t="shared" ref="CB69:CD69" si="296">CB68/CB70</f>
        <v>3.6418918918918921</v>
      </c>
      <c r="CC69" s="3">
        <f t="shared" si="296"/>
        <v>3.7201576576576576</v>
      </c>
      <c r="CD69" s="3">
        <f t="shared" si="296"/>
        <v>3.5032826576576577</v>
      </c>
      <c r="CE69" s="3">
        <f t="shared" ref="CE69:CJ69" si="297">CE68/CE70</f>
        <v>2.7820945945945947</v>
      </c>
      <c r="CF69" s="3">
        <f t="shared" si="297"/>
        <v>3.1852060982495765</v>
      </c>
      <c r="CG69" s="3">
        <f t="shared" si="297"/>
        <v>3.0175042348955392</v>
      </c>
      <c r="CH69" s="3">
        <f t="shared" si="297"/>
        <v>3.3075620767494356</v>
      </c>
      <c r="CI69" s="3">
        <f t="shared" si="297"/>
        <v>2.4215575620767495</v>
      </c>
      <c r="CJ69" s="3">
        <f t="shared" si="297"/>
        <v>3.1902879728966687</v>
      </c>
      <c r="CK69" s="3">
        <f t="shared" ref="CK69:CL69" si="298">CK68/CK70</f>
        <v>3.0524830699774266</v>
      </c>
      <c r="CL69" s="3">
        <f t="shared" si="298"/>
        <v>3.0659898477157359</v>
      </c>
      <c r="CM69" s="3">
        <f t="shared" ref="CM69:CP69" si="299">CM68/CM70</f>
        <v>2.5474604966139958</v>
      </c>
      <c r="CN69" s="3">
        <f t="shared" si="299"/>
        <v>3.4596273291925468</v>
      </c>
      <c r="CO69" s="3">
        <f t="shared" si="299"/>
        <v>3.686279813664596</v>
      </c>
      <c r="CP69" s="3">
        <f t="shared" si="299"/>
        <v>3.8081535855448894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>
        <f t="shared" ref="DD69:DF69" si="300">+DD68/DD70</f>
        <v>7.9353169469598965</v>
      </c>
      <c r="DE69" s="3">
        <f t="shared" si="300"/>
        <v>8.9880370682392581</v>
      </c>
      <c r="DF69" s="3">
        <f t="shared" si="300"/>
        <v>12.076036521478821</v>
      </c>
      <c r="DG69" s="3">
        <f>+DG68/DG70</f>
        <v>12.712074303405572</v>
      </c>
      <c r="DH69" s="3">
        <f>+DH68/DH70</f>
        <v>14.135001407261468</v>
      </c>
      <c r="DI69" s="3">
        <f>+DI68/DI70</f>
        <v>12.291678420310296</v>
      </c>
      <c r="DJ69" s="3">
        <f t="shared" ref="DJ69:DP69" si="301">+DJ68/DJ70</f>
        <v>11.730248306997742</v>
      </c>
      <c r="DK69" s="3">
        <f t="shared" si="301"/>
        <v>13.489762342978119</v>
      </c>
      <c r="DL69" s="3">
        <f t="shared" si="301"/>
        <v>18.705735022582921</v>
      </c>
      <c r="DM69" s="3">
        <f t="shared" si="301"/>
        <v>19.676441709209595</v>
      </c>
      <c r="DN69" s="3">
        <f t="shared" si="301"/>
        <v>19.939644090455538</v>
      </c>
      <c r="DO69" s="3">
        <f t="shared" si="301"/>
        <v>20.418908266287303</v>
      </c>
      <c r="DP69" s="3">
        <f t="shared" si="301"/>
        <v>17.94983539074137</v>
      </c>
    </row>
    <row r="70" spans="2:247" s="5" customFormat="1" x14ac:dyDescent="0.25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1605</v>
      </c>
      <c r="AR70" s="6">
        <v>1609</v>
      </c>
      <c r="AS70" s="6">
        <v>1590</v>
      </c>
      <c r="AT70" s="6">
        <v>1608</v>
      </c>
      <c r="AU70" s="6">
        <v>1609</v>
      </c>
      <c r="AV70" s="6">
        <v>1608</v>
      </c>
      <c r="AW70" s="6">
        <v>1610</v>
      </c>
      <c r="AX70" s="6">
        <v>1597</v>
      </c>
      <c r="AY70" s="6">
        <v>1608</v>
      </c>
      <c r="AZ70" s="6">
        <v>1633</v>
      </c>
      <c r="BA70" s="6">
        <v>1664</v>
      </c>
      <c r="BB70" s="6">
        <v>1640</v>
      </c>
      <c r="BC70" s="6">
        <v>1625</v>
      </c>
      <c r="BD70" s="6">
        <v>1632</v>
      </c>
      <c r="BE70" s="6">
        <v>1640</v>
      </c>
      <c r="BF70" s="6">
        <v>1602</v>
      </c>
      <c r="BG70" s="6">
        <v>1603</v>
      </c>
      <c r="BH70" s="6">
        <v>1600</v>
      </c>
      <c r="BI70" s="6">
        <v>1603</v>
      </c>
      <c r="BJ70" s="6">
        <v>1602</v>
      </c>
      <c r="BK70" s="6">
        <v>1596</v>
      </c>
      <c r="BL70" s="6">
        <v>1572</v>
      </c>
      <c r="BM70" s="6">
        <v>1515</v>
      </c>
      <c r="BN70" s="6">
        <v>1501</v>
      </c>
      <c r="BO70" s="6">
        <v>1483</v>
      </c>
      <c r="BP70" s="6">
        <v>1484</v>
      </c>
      <c r="BQ70" s="6">
        <v>1483</v>
      </c>
      <c r="BR70" s="6">
        <v>1485</v>
      </c>
      <c r="BS70" s="6">
        <v>1484</v>
      </c>
      <c r="BT70" s="6">
        <v>1647</v>
      </c>
      <c r="BU70" s="6">
        <v>1774</v>
      </c>
      <c r="BV70" s="6">
        <v>1776</v>
      </c>
      <c r="BW70" s="6">
        <v>1775</v>
      </c>
      <c r="BX70" s="6">
        <v>1776</v>
      </c>
      <c r="BY70" s="6">
        <v>1777</v>
      </c>
      <c r="BZ70" s="6">
        <v>1778</v>
      </c>
      <c r="CA70" s="6">
        <v>1778</v>
      </c>
      <c r="CB70" s="6">
        <v>1776</v>
      </c>
      <c r="CC70" s="6">
        <v>1776</v>
      </c>
      <c r="CD70" s="6">
        <f>+CC70</f>
        <v>1776</v>
      </c>
      <c r="CE70" s="6">
        <v>1776</v>
      </c>
      <c r="CF70" s="6">
        <v>1771</v>
      </c>
      <c r="CG70" s="6">
        <v>1771</v>
      </c>
      <c r="CH70" s="6">
        <v>1772</v>
      </c>
      <c r="CI70" s="6">
        <v>1772</v>
      </c>
      <c r="CJ70" s="6">
        <v>1771</v>
      </c>
      <c r="CK70" s="6">
        <v>1772</v>
      </c>
      <c r="CL70" s="6">
        <v>1773</v>
      </c>
      <c r="CM70" s="6">
        <v>1772</v>
      </c>
      <c r="CN70" s="6">
        <v>1771</v>
      </c>
      <c r="CO70" s="6">
        <f t="shared" ref="CO70" si="302">+CN70</f>
        <v>1771</v>
      </c>
      <c r="CP70" s="6">
        <f t="shared" ref="CP70" si="303">+CO70</f>
        <v>1771</v>
      </c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>
        <f>AVERAGE(BK70:BN70)</f>
        <v>1546</v>
      </c>
      <c r="DE70" s="6">
        <f>AVERAGE(BO70:BR70)</f>
        <v>1483.75</v>
      </c>
      <c r="DF70" s="6">
        <f>AVERAGE(BS70:BV70)</f>
        <v>1670.25</v>
      </c>
      <c r="DG70" s="6">
        <f>AVERAGE(BW70:BZ70)</f>
        <v>1776.5</v>
      </c>
      <c r="DH70" s="6">
        <f>AVERAGE(CA70:CD70)</f>
        <v>1776.5</v>
      </c>
      <c r="DI70" s="6">
        <f>AVERAGE(CE70:CH70)</f>
        <v>1772.5</v>
      </c>
      <c r="DJ70" s="6">
        <f>AVERAGE(CI70:CL70)</f>
        <v>1772</v>
      </c>
      <c r="DK70" s="6">
        <f>AVERAGE(CM70:CP70)</f>
        <v>1771.25</v>
      </c>
      <c r="DL70" s="6">
        <f t="shared" ref="DL70:DP70" si="304">DK70</f>
        <v>1771.25</v>
      </c>
      <c r="DM70" s="6">
        <f t="shared" si="304"/>
        <v>1771.25</v>
      </c>
      <c r="DN70" s="6">
        <f t="shared" si="304"/>
        <v>1771.25</v>
      </c>
      <c r="DO70" s="6">
        <f t="shared" si="304"/>
        <v>1771.25</v>
      </c>
      <c r="DP70" s="6">
        <f t="shared" si="304"/>
        <v>1771.25</v>
      </c>
    </row>
    <row r="72" spans="2:247" s="21" customFormat="1" ht="13" x14ac:dyDescent="0.3">
      <c r="B72" s="21" t="s">
        <v>156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>
        <f t="shared" ref="BG72:BU72" si="305">+BG58/BC58-1</f>
        <v>9.7348103390399565E-2</v>
      </c>
      <c r="BH72" s="22">
        <f t="shared" si="305"/>
        <v>7.9601990049751326E-2</v>
      </c>
      <c r="BI72" s="22">
        <f t="shared" si="305"/>
        <v>9.536486063263383E-2</v>
      </c>
      <c r="BJ72" s="22">
        <f t="shared" si="305"/>
        <v>0.14077240566037741</v>
      </c>
      <c r="BK72" s="22">
        <f t="shared" si="305"/>
        <v>0.21352095442031205</v>
      </c>
      <c r="BL72" s="22">
        <f t="shared" si="305"/>
        <v>0.18922811059907829</v>
      </c>
      <c r="BM72" s="22">
        <f t="shared" si="305"/>
        <v>0.1774124374553252</v>
      </c>
      <c r="BN72" s="22">
        <f t="shared" si="305"/>
        <v>7.3136064090967734E-2</v>
      </c>
      <c r="BO72" s="22">
        <f t="shared" si="305"/>
        <v>-1.3360221830098329E-2</v>
      </c>
      <c r="BP72" s="22">
        <f t="shared" si="305"/>
        <v>-3.6328408815688995E-4</v>
      </c>
      <c r="BQ72" s="22">
        <f t="shared" si="305"/>
        <v>2.9504613890237952E-2</v>
      </c>
      <c r="BR72" s="22">
        <f t="shared" si="305"/>
        <v>4.8043347381095725E-2</v>
      </c>
      <c r="BS72" s="22">
        <f t="shared" si="305"/>
        <v>0.10104752171691356</v>
      </c>
      <c r="BT72" s="22">
        <f t="shared" si="305"/>
        <v>0.26287098728043601</v>
      </c>
      <c r="BU72" s="22">
        <f t="shared" si="305"/>
        <v>0.51928293430829098</v>
      </c>
      <c r="BV72" s="22">
        <f t="shared" ref="BV72:BZ72" si="306">+BV58/BR58-1</f>
        <v>0.59214154411764697</v>
      </c>
      <c r="BW72" s="22">
        <f t="shared" si="306"/>
        <v>0.50075414781297134</v>
      </c>
      <c r="BX72" s="22">
        <f t="shared" si="306"/>
        <v>0.3389928057553957</v>
      </c>
      <c r="BY72" s="22">
        <f t="shared" si="306"/>
        <v>0.11333643844123586</v>
      </c>
      <c r="BZ72" s="22">
        <f t="shared" si="306"/>
        <v>7.4180978496175554E-2</v>
      </c>
      <c r="CA72" s="22">
        <f>+CA58/BW58-1</f>
        <v>4.6617703904135999E-2</v>
      </c>
      <c r="CB72" s="22">
        <f t="shared" ref="CB72" si="307">+CB58/BX58-1</f>
        <v>4.4702342574683085E-2</v>
      </c>
      <c r="CC72" s="22">
        <f>+CC58/BY58-1</f>
        <v>3.2770882722074957E-2</v>
      </c>
      <c r="CD72" s="22">
        <f t="shared" ref="CD72" si="308">+CD58/BZ58-1</f>
        <v>1.5786645169958424E-2</v>
      </c>
      <c r="CE72" s="22">
        <f t="shared" ref="CE72" si="309">+CE58/CA58-1</f>
        <v>-9.6986260895257748E-2</v>
      </c>
      <c r="CF72" s="22">
        <f t="shared" ref="CF72" si="310">+CF58/CB58-1</f>
        <v>-4.9235411095110759E-2</v>
      </c>
      <c r="CG72" s="22">
        <f t="shared" ref="CG72" si="311">+CG58/CC58-1</f>
        <v>-5.9748852281933607E-2</v>
      </c>
      <c r="CH72" s="22">
        <f t="shared" ref="CH72:CL72" si="312">+CH58/CD58-1</f>
        <v>-5.4229217644335637E-2</v>
      </c>
      <c r="CI72" s="22">
        <f t="shared" si="312"/>
        <v>6.952965235173858E-3</v>
      </c>
      <c r="CJ72" s="22">
        <f t="shared" si="312"/>
        <v>4.3058059862964404E-2</v>
      </c>
      <c r="CK72" s="22">
        <f t="shared" si="312"/>
        <v>3.8270984418754983E-2</v>
      </c>
      <c r="CL72" s="22">
        <f t="shared" si="312"/>
        <v>5.6010069225928216E-2</v>
      </c>
      <c r="CM72" s="22">
        <f t="shared" ref="CM72" si="313">+CM58/CI58-1</f>
        <v>7.4906580016246949E-2</v>
      </c>
      <c r="CN72" s="22">
        <f>+CN58/CJ58-1</f>
        <v>6.6450006914672954E-2</v>
      </c>
      <c r="CO72" s="22">
        <f t="shared" ref="CO72" si="314">+CO58/CK58-1</f>
        <v>9.1028354080221252E-2</v>
      </c>
      <c r="CP72" s="22">
        <f t="shared" ref="CP72" si="315">+CP58/CL58-1</f>
        <v>0.10038405509204074</v>
      </c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>
        <f>+DE58/DD58-1</f>
        <v>1.6283261540341654E-2</v>
      </c>
      <c r="DF72" s="22">
        <f>+DF58/DE58-1</f>
        <v>0.37630012625503517</v>
      </c>
      <c r="DG72" s="22">
        <f>+DG58/DF58-1</f>
        <v>0.22579940590599334</v>
      </c>
      <c r="DH72" s="22">
        <f>+DH58/DG58-1</f>
        <v>3.4425002672748617E-2</v>
      </c>
      <c r="DI72" s="22">
        <f t="shared" ref="DI72:DU72" si="316">+DI58/DH58-1</f>
        <v>-6.4353877424466854E-2</v>
      </c>
      <c r="DJ72" s="22">
        <f t="shared" si="316"/>
        <v>3.7114768584999513E-2</v>
      </c>
      <c r="DK72" s="22">
        <f t="shared" si="316"/>
        <v>8.3348776937550939E-2</v>
      </c>
      <c r="DL72" s="22">
        <f t="shared" si="316"/>
        <v>2.7057849360070607E-2</v>
      </c>
      <c r="DM72" s="22">
        <f t="shared" si="316"/>
        <v>4.2284678535026154E-2</v>
      </c>
      <c r="DN72" s="22">
        <f t="shared" si="316"/>
        <v>5.85107633030435E-3</v>
      </c>
      <c r="DO72" s="22">
        <f t="shared" si="316"/>
        <v>1.6357795606378289E-2</v>
      </c>
      <c r="DP72" s="22">
        <f t="shared" si="316"/>
        <v>-0.12542757292810547</v>
      </c>
      <c r="DQ72" s="22">
        <f t="shared" si="316"/>
        <v>-0.19985841530681359</v>
      </c>
      <c r="DR72" s="22">
        <f t="shared" si="316"/>
        <v>-1.0520004482865719E-3</v>
      </c>
      <c r="DS72" s="22">
        <f t="shared" si="316"/>
        <v>2.7098978767254867E-2</v>
      </c>
      <c r="DT72" s="22">
        <f t="shared" si="316"/>
        <v>2.959176121601681E-2</v>
      </c>
      <c r="DU72" s="22">
        <f t="shared" si="316"/>
        <v>2.5542055817289189E-2</v>
      </c>
    </row>
    <row r="73" spans="2:247" s="21" customFormat="1" ht="13" x14ac:dyDescent="0.3">
      <c r="B73" s="21" t="s">
        <v>250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>
        <v>0.17599999999999999</v>
      </c>
      <c r="BL73" s="22">
        <v>0.17100000000000001</v>
      </c>
      <c r="BM73" s="22">
        <v>0.185</v>
      </c>
      <c r="BN73" s="22">
        <v>8.3000000000000004E-2</v>
      </c>
      <c r="BO73" s="22">
        <v>4.0000000000000001E-3</v>
      </c>
      <c r="BP73" s="22">
        <v>1.4999999999999999E-2</v>
      </c>
      <c r="BQ73" s="22"/>
      <c r="BR73" s="22"/>
      <c r="BS73" s="22"/>
      <c r="BT73" s="22"/>
      <c r="BU73" s="22"/>
      <c r="BV73" s="22"/>
      <c r="BW73" s="22"/>
      <c r="BX73" s="22"/>
      <c r="BY73" s="22"/>
      <c r="BZ73" s="22">
        <v>7.3999999999999996E-2</v>
      </c>
      <c r="CA73" s="22">
        <v>5.3999999999999999E-2</v>
      </c>
      <c r="CB73" s="22">
        <v>6.0999999999999999E-2</v>
      </c>
      <c r="CC73" s="22">
        <v>5.3999999999999999E-2</v>
      </c>
      <c r="CD73" s="22">
        <v>3.7999999999999999E-2</v>
      </c>
      <c r="CE73" s="22">
        <v>-8.3000000000000004E-2</v>
      </c>
      <c r="CF73" s="22"/>
      <c r="CG73" s="22">
        <v>-5.8000000000000003E-2</v>
      </c>
      <c r="CH73" s="22">
        <v>-5.3999999999999999E-2</v>
      </c>
      <c r="CI73" s="22">
        <v>1.6E-2</v>
      </c>
      <c r="CJ73" s="22">
        <v>5.6000000000000001E-2</v>
      </c>
      <c r="CK73" s="22">
        <v>4.9000000000000002E-2</v>
      </c>
      <c r="CL73" s="22">
        <v>0.06</v>
      </c>
      <c r="CM73" s="22">
        <v>9.8000000000000004E-2</v>
      </c>
      <c r="CN73" s="22">
        <v>6.5000000000000002E-2</v>
      </c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</row>
    <row r="74" spans="2:247" s="18" customFormat="1" x14ac:dyDescent="0.25">
      <c r="B74" s="20" t="s">
        <v>155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>
        <f t="shared" ref="BK74:CL74" si="317">+BK5/BG5-1</f>
        <v>0.14351627003399714</v>
      </c>
      <c r="BL74" s="19">
        <f t="shared" si="317"/>
        <v>9.9448685326547936E-2</v>
      </c>
      <c r="BM74" s="19">
        <f t="shared" si="317"/>
        <v>8.9980855137204774E-2</v>
      </c>
      <c r="BN74" s="19">
        <f t="shared" si="317"/>
        <v>5.3147996729354663E-3</v>
      </c>
      <c r="BO74" s="19">
        <f t="shared" si="317"/>
        <v>-5.5850499044383106E-2</v>
      </c>
      <c r="BP74" s="19">
        <f t="shared" si="317"/>
        <v>-6.0752169720347138E-2</v>
      </c>
      <c r="BQ74" s="19">
        <f t="shared" si="317"/>
        <v>-3.669008587041378E-2</v>
      </c>
      <c r="BR74" s="19">
        <f t="shared" si="317"/>
        <v>-2.0333468889788264E-4</v>
      </c>
      <c r="BS74" s="19">
        <f t="shared" si="317"/>
        <v>5.7804768331084055E-2</v>
      </c>
      <c r="BT74" s="19">
        <f t="shared" si="317"/>
        <v>-6.7761806981520012E-3</v>
      </c>
      <c r="BU74" s="19">
        <f t="shared" si="317"/>
        <v>4.1329011345218714E-2</v>
      </c>
      <c r="BV74" s="19">
        <f t="shared" si="317"/>
        <v>4.7793369941020902E-2</v>
      </c>
      <c r="BW74" s="19">
        <f t="shared" si="317"/>
        <v>3.4871358707208255E-2</v>
      </c>
      <c r="BX74" s="19">
        <f t="shared" si="317"/>
        <v>4.7756874095513657E-2</v>
      </c>
      <c r="BY74" s="19">
        <f t="shared" si="317"/>
        <v>5.5447470817120648E-2</v>
      </c>
      <c r="BZ74" s="19">
        <f t="shared" si="317"/>
        <v>3.5326086956521729E-2</v>
      </c>
      <c r="CA74" s="19">
        <f t="shared" si="317"/>
        <v>-2.6915964659954827E-2</v>
      </c>
      <c r="CB74" s="19">
        <f t="shared" si="317"/>
        <v>5.8208366219415941E-2</v>
      </c>
      <c r="CC74" s="19">
        <f t="shared" si="317"/>
        <v>2.4700460829493176E-2</v>
      </c>
      <c r="CD74" s="19">
        <f t="shared" si="317"/>
        <v>4.5931758530183719E-2</v>
      </c>
      <c r="CE74" s="19">
        <f t="shared" si="317"/>
        <v>-0.25232263513513509</v>
      </c>
      <c r="CF74" s="19">
        <f t="shared" si="317"/>
        <v>-0.25191124370688045</v>
      </c>
      <c r="CG74" s="19">
        <f t="shared" si="317"/>
        <v>-0.36193559992804458</v>
      </c>
      <c r="CH74" s="19">
        <f t="shared" si="317"/>
        <v>-0.40777917189460477</v>
      </c>
      <c r="CI74" s="19">
        <f t="shared" si="317"/>
        <v>-0.35893815306410615</v>
      </c>
      <c r="CJ74" s="19">
        <f t="shared" si="317"/>
        <v>-0.29860418743768691</v>
      </c>
      <c r="CK74" s="19">
        <f t="shared" si="317"/>
        <v>-0.37214547504933748</v>
      </c>
      <c r="CL74" s="19">
        <f t="shared" si="317"/>
        <v>-0.4909200968523002</v>
      </c>
      <c r="CM74" s="19">
        <f t="shared" ref="CM74:CP74" si="318">+CM5/CI5-1</f>
        <v>-0.50616740088105727</v>
      </c>
      <c r="CN74" s="19">
        <f t="shared" si="318"/>
        <v>-0.58066808813077464</v>
      </c>
      <c r="CO74" s="19">
        <f t="shared" si="318"/>
        <v>-0.55410866636731027</v>
      </c>
      <c r="CP74" s="19">
        <f t="shared" si="318"/>
        <v>-0.25921521997621877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>
        <f t="shared" ref="DE74:DP74" si="319">+DE5/DD5-1</f>
        <v>-3.8473113964687E-2</v>
      </c>
      <c r="DF74" s="19">
        <f t="shared" si="319"/>
        <v>3.4587093745109376E-2</v>
      </c>
      <c r="DG74" s="19">
        <f t="shared" si="319"/>
        <v>4.3465106897942807E-2</v>
      </c>
      <c r="DH74" s="19">
        <f t="shared" si="319"/>
        <v>2.623948970716139E-2</v>
      </c>
      <c r="DI74" s="19">
        <f t="shared" si="319"/>
        <v>-0.32174977633375712</v>
      </c>
      <c r="DJ74" s="19">
        <f t="shared" si="319"/>
        <v>-0.37565953901693971</v>
      </c>
      <c r="DK74" s="19">
        <f t="shared" si="319"/>
        <v>-0.49516290448126321</v>
      </c>
      <c r="DL74" s="19">
        <f t="shared" si="319"/>
        <v>-0.19999999999999996</v>
      </c>
      <c r="DM74" s="19">
        <f t="shared" si="319"/>
        <v>-0.19999999999999984</v>
      </c>
      <c r="DN74" s="19">
        <f t="shared" si="319"/>
        <v>-0.5</v>
      </c>
      <c r="DO74" s="19">
        <f t="shared" si="319"/>
        <v>-0.5</v>
      </c>
      <c r="DP74" s="19">
        <f t="shared" si="319"/>
        <v>-0.5</v>
      </c>
    </row>
    <row r="75" spans="2:247" s="18" customFormat="1" x14ac:dyDescent="0.25">
      <c r="B75" s="20" t="s">
        <v>157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>
        <f t="shared" ref="BK75:CL75" si="320">+BK7/BG7-1</f>
        <v>0.38294010889292207</v>
      </c>
      <c r="BL75" s="19">
        <f t="shared" si="320"/>
        <v>0.35782747603833864</v>
      </c>
      <c r="BM75" s="19">
        <f t="shared" si="320"/>
        <v>0.41279069767441867</v>
      </c>
      <c r="BN75" s="19">
        <f t="shared" si="320"/>
        <v>0.42090395480225995</v>
      </c>
      <c r="BO75" s="19">
        <f t="shared" si="320"/>
        <v>0.34120734908136474</v>
      </c>
      <c r="BP75" s="19">
        <f t="shared" si="320"/>
        <v>0.29294117647058826</v>
      </c>
      <c r="BQ75" s="19">
        <f t="shared" si="320"/>
        <v>0.29320987654320985</v>
      </c>
      <c r="BR75" s="19">
        <f t="shared" si="320"/>
        <v>0.28827037773359843</v>
      </c>
      <c r="BS75" s="19">
        <f t="shared" si="320"/>
        <v>0.20547945205479445</v>
      </c>
      <c r="BT75" s="19">
        <f t="shared" si="320"/>
        <v>0.17197452229299359</v>
      </c>
      <c r="BU75" s="19">
        <f t="shared" si="320"/>
        <v>8.9896579156722334E-2</v>
      </c>
      <c r="BV75" s="19">
        <f t="shared" si="320"/>
        <v>9.8765432098765427E-2</v>
      </c>
      <c r="BW75" s="19">
        <f t="shared" si="320"/>
        <v>2.9220779220779258E-2</v>
      </c>
      <c r="BX75" s="19">
        <f t="shared" si="320"/>
        <v>7.2204968944099335E-2</v>
      </c>
      <c r="BY75" s="19">
        <f t="shared" si="320"/>
        <v>2.9197080291971655E-3</v>
      </c>
      <c r="BZ75" s="19">
        <f t="shared" si="320"/>
        <v>-2.73876404494382E-2</v>
      </c>
      <c r="CA75" s="19">
        <f t="shared" si="320"/>
        <v>-7.4921135646687675E-2</v>
      </c>
      <c r="CB75" s="19">
        <f t="shared" si="320"/>
        <v>-0.17089065894279509</v>
      </c>
      <c r="CC75" s="19">
        <f t="shared" si="320"/>
        <v>-0.17394468704512378</v>
      </c>
      <c r="CD75" s="19">
        <f t="shared" si="320"/>
        <v>-0.19494584837545126</v>
      </c>
      <c r="CE75" s="19">
        <f t="shared" si="320"/>
        <v>-0.25149190110826936</v>
      </c>
      <c r="CF75" s="19">
        <f t="shared" si="320"/>
        <v>-0.20786026200873364</v>
      </c>
      <c r="CG75" s="19">
        <f t="shared" si="320"/>
        <v>-0.19999999999999996</v>
      </c>
      <c r="CH75" s="19">
        <f t="shared" si="320"/>
        <v>-0.19013452914798201</v>
      </c>
      <c r="CI75" s="19">
        <f t="shared" si="320"/>
        <v>-4.5558086560364419E-2</v>
      </c>
      <c r="CJ75" s="19">
        <f t="shared" si="320"/>
        <v>-8.158765159867698E-2</v>
      </c>
      <c r="CK75" s="19">
        <f t="shared" si="320"/>
        <v>-8.8105726872246715E-2</v>
      </c>
      <c r="CL75" s="19">
        <f t="shared" si="320"/>
        <v>-6.0908084163898146E-2</v>
      </c>
      <c r="CM75" s="19">
        <f t="shared" ref="CM75:CP75" si="321">+CM7/CI7-1</f>
        <v>-5.0000000000000155E-2</v>
      </c>
      <c r="CN75" s="19">
        <f t="shared" si="321"/>
        <v>-9.4837935174069576E-2</v>
      </c>
      <c r="CO75" s="19">
        <f t="shared" si="321"/>
        <v>-5.0000000000000155E-2</v>
      </c>
      <c r="CP75" s="19">
        <f t="shared" si="321"/>
        <v>-0.20872641509433965</v>
      </c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>
        <f t="shared" ref="DE75:DP75" si="322">+DE7/DD7-1</f>
        <v>0.30194986072423391</v>
      </c>
      <c r="DF75" s="19">
        <f t="shared" si="322"/>
        <v>0.13692768506632436</v>
      </c>
      <c r="DG75" s="19">
        <f t="shared" si="322"/>
        <v>1.7689123071132906E-2</v>
      </c>
      <c r="DH75" s="19">
        <f t="shared" si="322"/>
        <v>-0.15532544378698221</v>
      </c>
      <c r="DI75" s="19">
        <f t="shared" si="322"/>
        <v>-0.21278458844133097</v>
      </c>
      <c r="DJ75" s="19">
        <f t="shared" si="322"/>
        <v>-6.9243604004449399E-2</v>
      </c>
      <c r="DK75" s="19">
        <f t="shared" si="322"/>
        <v>-0.1013743651030774</v>
      </c>
      <c r="DL75" s="19">
        <f t="shared" si="322"/>
        <v>-9.9999999999999978E-2</v>
      </c>
      <c r="DM75" s="19">
        <f t="shared" si="322"/>
        <v>-9.9999999999999867E-2</v>
      </c>
      <c r="DN75" s="19">
        <f t="shared" si="322"/>
        <v>-0.10000000000000009</v>
      </c>
      <c r="DO75" s="19">
        <f t="shared" si="322"/>
        <v>-9.9999999999999978E-2</v>
      </c>
      <c r="DP75" s="19">
        <f t="shared" si="322"/>
        <v>-9.9999999999999978E-2</v>
      </c>
      <c r="DW75" s="30" t="s">
        <v>242</v>
      </c>
      <c r="DX75" s="18">
        <v>0.06</v>
      </c>
    </row>
    <row r="76" spans="2:247" s="18" customFormat="1" x14ac:dyDescent="0.25">
      <c r="B76" s="20" t="s">
        <v>154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41" t="s">
        <v>202</v>
      </c>
      <c r="BG76" s="41" t="s">
        <v>202</v>
      </c>
      <c r="BH76" s="41" t="s">
        <v>202</v>
      </c>
      <c r="BI76" s="41" t="s">
        <v>202</v>
      </c>
      <c r="BJ76" s="41" t="s">
        <v>202</v>
      </c>
      <c r="BK76" s="41" t="s">
        <v>202</v>
      </c>
      <c r="BL76" s="41" t="s">
        <v>202</v>
      </c>
      <c r="BM76" s="41" t="s">
        <v>202</v>
      </c>
      <c r="BN76" s="41" t="s">
        <v>202</v>
      </c>
      <c r="BO76" s="41" t="s">
        <v>202</v>
      </c>
      <c r="BP76" s="41" t="s">
        <v>202</v>
      </c>
      <c r="BQ76" s="41" t="s">
        <v>202</v>
      </c>
      <c r="BR76" s="41" t="s">
        <v>202</v>
      </c>
      <c r="BS76" s="41" t="s">
        <v>202</v>
      </c>
      <c r="BT76" s="19">
        <f t="shared" ref="BT76:CL76" si="323">+BT8/BP8-1</f>
        <v>5.875</v>
      </c>
      <c r="BU76" s="19">
        <f t="shared" si="323"/>
        <v>3.7802197802197801</v>
      </c>
      <c r="BV76" s="19">
        <f t="shared" si="323"/>
        <v>1.4305555555555554</v>
      </c>
      <c r="BW76" s="19">
        <f t="shared" si="323"/>
        <v>0.91333333333333333</v>
      </c>
      <c r="BX76" s="19">
        <f t="shared" si="323"/>
        <v>1.0424242424242425</v>
      </c>
      <c r="BY76" s="19">
        <f t="shared" si="323"/>
        <v>0.8298850574712644</v>
      </c>
      <c r="BZ76" s="19">
        <f t="shared" si="323"/>
        <v>0.7047619047619047</v>
      </c>
      <c r="CA76" s="19">
        <f t="shared" si="323"/>
        <v>0.63763066202090601</v>
      </c>
      <c r="CB76" s="19">
        <f t="shared" si="323"/>
        <v>0.85756676557863498</v>
      </c>
      <c r="CC76" s="19">
        <f t="shared" si="323"/>
        <v>0.75502512562814061</v>
      </c>
      <c r="CD76" s="19">
        <f t="shared" si="323"/>
        <v>0.76089385474860327</v>
      </c>
      <c r="CE76" s="19">
        <f t="shared" si="323"/>
        <v>0.44680851063829796</v>
      </c>
      <c r="CF76" s="19">
        <f t="shared" si="323"/>
        <v>0.5039936102236422</v>
      </c>
      <c r="CG76" s="19">
        <f t="shared" si="323"/>
        <v>0.52183249821045097</v>
      </c>
      <c r="CH76" s="19">
        <f t="shared" si="323"/>
        <v>0.51903553299492389</v>
      </c>
      <c r="CI76" s="19">
        <f t="shared" si="323"/>
        <v>0.4764705882352942</v>
      </c>
      <c r="CJ76" s="19">
        <f t="shared" si="323"/>
        <v>0.44822092405735536</v>
      </c>
      <c r="CK76" s="19">
        <f t="shared" si="323"/>
        <v>0.50752587017873951</v>
      </c>
      <c r="CL76" s="19">
        <f t="shared" si="323"/>
        <v>0.57811194653299913</v>
      </c>
      <c r="CM76" s="19">
        <f t="shared" ref="CM76:CP76" si="324">+CM8/CI8-1</f>
        <v>0.70567729083665331</v>
      </c>
      <c r="CN76" s="19">
        <f t="shared" si="324"/>
        <v>0.621928859552622</v>
      </c>
      <c r="CO76" s="19">
        <f t="shared" si="324"/>
        <v>0.4689547581903275</v>
      </c>
      <c r="CP76" s="19">
        <f t="shared" si="324"/>
        <v>0.32503970354685019</v>
      </c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41" t="s">
        <v>202</v>
      </c>
      <c r="DF76" s="19">
        <f t="shared" ref="DF76:DP76" si="325">+DF8/DE8-1</f>
        <v>3.47887323943662</v>
      </c>
      <c r="DG76" s="19">
        <f t="shared" si="325"/>
        <v>0.84842767295597477</v>
      </c>
      <c r="DH76" s="19">
        <f t="shared" si="325"/>
        <v>0.75740047635250085</v>
      </c>
      <c r="DI76" s="19">
        <f t="shared" si="325"/>
        <v>0.50300096805421113</v>
      </c>
      <c r="DJ76" s="19">
        <f t="shared" si="325"/>
        <v>0.50946798917944092</v>
      </c>
      <c r="DK76" s="19">
        <f t="shared" si="325"/>
        <v>0.4987199180747568</v>
      </c>
      <c r="DL76" s="19">
        <f t="shared" si="325"/>
        <v>3.0000000000000027E-2</v>
      </c>
      <c r="DM76" s="19">
        <f t="shared" si="325"/>
        <v>3.0000000000000027E-2</v>
      </c>
      <c r="DN76" s="19">
        <f t="shared" si="325"/>
        <v>3.0000000000000027E-2</v>
      </c>
      <c r="DO76" s="19">
        <f t="shared" si="325"/>
        <v>3.0000000000000027E-2</v>
      </c>
      <c r="DP76" s="19">
        <f t="shared" si="325"/>
        <v>3.0000000000000027E-2</v>
      </c>
      <c r="DW76" s="28" t="s">
        <v>243</v>
      </c>
      <c r="DX76" s="18">
        <v>-0.01</v>
      </c>
    </row>
    <row r="77" spans="2:247" s="18" customFormat="1" ht="13" x14ac:dyDescent="0.3">
      <c r="B77" s="42" t="s">
        <v>314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>
        <f t="shared" ref="BO77:CL77" si="326">+BO3/BK3-1</f>
        <v>-5.5850499044383106E-2</v>
      </c>
      <c r="BP77" s="19">
        <f t="shared" si="326"/>
        <v>-5.1494696239151372E-2</v>
      </c>
      <c r="BQ77" s="19">
        <f t="shared" si="326"/>
        <v>-1.6198282591725177E-2</v>
      </c>
      <c r="BR77" s="19">
        <f t="shared" si="326"/>
        <v>5.0427002846685554E-2</v>
      </c>
      <c r="BS77" s="19">
        <f t="shared" si="326"/>
        <v>0.14462438146648671</v>
      </c>
      <c r="BT77" s="19">
        <f t="shared" si="326"/>
        <v>8.0927206181374611E-2</v>
      </c>
      <c r="BU77" s="19">
        <f t="shared" si="326"/>
        <v>0.14858163062884344</v>
      </c>
      <c r="BV77" s="19">
        <f t="shared" si="326"/>
        <v>0.1533101045296168</v>
      </c>
      <c r="BW77" s="19">
        <f t="shared" si="326"/>
        <v>0.1287089801532717</v>
      </c>
      <c r="BX77" s="19">
        <f t="shared" si="326"/>
        <v>0.15124153498871329</v>
      </c>
      <c r="BY77" s="19">
        <f t="shared" si="326"/>
        <v>0.15267702936096716</v>
      </c>
      <c r="BZ77" s="19">
        <f t="shared" si="326"/>
        <v>0.13225914736488753</v>
      </c>
      <c r="CA77" s="19">
        <f t="shared" si="326"/>
        <v>6.9115598885793883E-2</v>
      </c>
      <c r="CB77" s="19">
        <f t="shared" si="326"/>
        <v>0.17761437908496736</v>
      </c>
      <c r="CC77" s="19">
        <f t="shared" si="326"/>
        <v>0.14638897213065638</v>
      </c>
      <c r="CD77" s="19">
        <f t="shared" si="326"/>
        <v>0.17477023421286697</v>
      </c>
      <c r="CE77" s="19">
        <f t="shared" si="326"/>
        <v>-9.0213320306139044E-2</v>
      </c>
      <c r="CF77" s="19">
        <f t="shared" si="326"/>
        <v>-5.4669071735812369E-2</v>
      </c>
      <c r="CG77" s="19">
        <f t="shared" si="326"/>
        <v>-0.11344922232387922</v>
      </c>
      <c r="CH77" s="19">
        <f t="shared" si="326"/>
        <v>-0.12264984227129339</v>
      </c>
      <c r="CI77" s="19">
        <f t="shared" si="326"/>
        <v>-3.8661177734025443E-2</v>
      </c>
      <c r="CJ77" s="19">
        <f t="shared" si="326"/>
        <v>2.3190958461764222E-2</v>
      </c>
      <c r="CK77" s="19">
        <f t="shared" si="326"/>
        <v>3.8773404098481512E-2</v>
      </c>
      <c r="CL77" s="19">
        <f t="shared" si="326"/>
        <v>4.9043578311520175E-2</v>
      </c>
      <c r="CM77" s="19">
        <f t="shared" ref="CM77:CP77" si="327">+CM3/CI3-1</f>
        <v>0.16626326568609207</v>
      </c>
      <c r="CN77" s="19">
        <f t="shared" si="327"/>
        <v>9.4677951513412628E-2</v>
      </c>
      <c r="CO77" s="19">
        <f t="shared" si="327"/>
        <v>0.11907465228498437</v>
      </c>
      <c r="CP77" s="19">
        <f t="shared" si="327"/>
        <v>0.18261584864272007</v>
      </c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>
        <f>+Model!DE3/Model!DD3-1</f>
        <v>-1.8308587479935801E-2</v>
      </c>
      <c r="DF77" s="19">
        <f>+Model!DF3/Model!DE3-1</f>
        <v>0.13192989627510099</v>
      </c>
      <c r="DG77" s="19">
        <f>+Model!DG3/Model!DF3-1</f>
        <v>0.14133525933282165</v>
      </c>
      <c r="DH77" s="19">
        <f>+Model!DH3/Model!DG3-1</f>
        <v>0.14396456256921364</v>
      </c>
      <c r="DI77" s="19">
        <f>+Model!DI3/Model!DH3-1</f>
        <v>-9.639054072742359E-2</v>
      </c>
      <c r="DJ77" s="19">
        <f>+Model!DJ3/Model!DI3-1</f>
        <v>2.0890725436180091E-2</v>
      </c>
      <c r="DK77" s="19">
        <f>+Model!DK3/Model!DJ3-1</f>
        <v>0.13956974739524775</v>
      </c>
      <c r="DL77" s="19">
        <f>+Model!DL3/Model!DK3-1</f>
        <v>4.208577254489243E-2</v>
      </c>
      <c r="DM77" s="19">
        <f>+Model!DM3/Model!DL3-1</f>
        <v>5.7099198817383234E-2</v>
      </c>
      <c r="DN77" s="19">
        <f>+Model!DN3/Model!DM3-1</f>
        <v>-1.5976212882027663E-2</v>
      </c>
      <c r="DO77" s="19">
        <f>+Model!DO3/Model!DN3-1</f>
        <v>6.6386679448657837E-3</v>
      </c>
      <c r="DP77" s="19">
        <f>+Model!DP3/Model!DO3-1</f>
        <v>1.8396366641255435E-2</v>
      </c>
      <c r="DW77" s="33" t="s">
        <v>245</v>
      </c>
      <c r="DX77" s="22">
        <v>0</v>
      </c>
    </row>
    <row r="78" spans="2:247" s="18" customFormat="1" ht="13" x14ac:dyDescent="0.3">
      <c r="B78" s="26" t="s">
        <v>118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32" t="s">
        <v>202</v>
      </c>
      <c r="BG78" s="32" t="s">
        <v>202</v>
      </c>
      <c r="BH78" s="32" t="s">
        <v>202</v>
      </c>
      <c r="BI78" s="32" t="s">
        <v>202</v>
      </c>
      <c r="BJ78" s="32" t="s">
        <v>202</v>
      </c>
      <c r="BK78" s="32" t="s">
        <v>202</v>
      </c>
      <c r="BL78" s="32" t="s">
        <v>202</v>
      </c>
      <c r="BM78" s="32" t="s">
        <v>202</v>
      </c>
      <c r="BN78" s="32" t="s">
        <v>202</v>
      </c>
      <c r="BO78" s="32" t="s">
        <v>202</v>
      </c>
      <c r="BP78" s="32" t="s">
        <v>202</v>
      </c>
      <c r="BQ78" s="32" t="s">
        <v>202</v>
      </c>
      <c r="BR78" s="32" t="s">
        <v>202</v>
      </c>
      <c r="BS78" s="32" t="s">
        <v>202</v>
      </c>
      <c r="BT78" s="32" t="s">
        <v>202</v>
      </c>
      <c r="BU78" s="32" t="s">
        <v>202</v>
      </c>
      <c r="BV78" s="32" t="s">
        <v>202</v>
      </c>
      <c r="BW78" s="32" t="s">
        <v>202</v>
      </c>
      <c r="BX78" s="19">
        <f>BX9/BT9-1</f>
        <v>1.584070796460177</v>
      </c>
      <c r="BY78" s="19">
        <f>BY9/BU9-1</f>
        <v>0.38676844783715003</v>
      </c>
      <c r="BZ78" s="19">
        <f>BZ9/BV9-1</f>
        <v>0.26977687626774838</v>
      </c>
      <c r="CA78" s="19">
        <f>CA9/BW9-1</f>
        <v>0.34381551362683438</v>
      </c>
      <c r="CB78" s="19">
        <f>CB9/BX9-1</f>
        <v>0.19006849315068486</v>
      </c>
      <c r="CC78" s="19">
        <f>CC9/BY9-1</f>
        <v>0.16880733944954129</v>
      </c>
      <c r="CD78" s="19">
        <f>CD9/BZ9-1</f>
        <v>2.5559105431310014E-2</v>
      </c>
      <c r="CE78" s="19">
        <f>CE9/CA9-1</f>
        <v>2.808112324492984E-2</v>
      </c>
      <c r="CF78" s="19">
        <f>CF9/CB9-1</f>
        <v>-1.4388489208633115E-2</v>
      </c>
      <c r="CG78" s="19">
        <f>CG9/CC9-1</f>
        <v>-2.6687598116169498E-2</v>
      </c>
      <c r="CH78" s="19">
        <f>CH9/CD9-1</f>
        <v>0.11838006230529596</v>
      </c>
      <c r="CI78" s="19">
        <f>CI9/CE9-1</f>
        <v>-3.9453717754172946E-2</v>
      </c>
      <c r="CJ78" s="19">
        <f>CJ9/CF9-1</f>
        <v>6.4233576642335866E-2</v>
      </c>
      <c r="CK78" s="19">
        <f>CK9/CG9-1</f>
        <v>8.2258064516129048E-2</v>
      </c>
      <c r="CL78" s="19">
        <f>CL9/CH9-1</f>
        <v>-4.3175487465181073E-2</v>
      </c>
      <c r="CM78" s="19">
        <f t="shared" ref="CM78:CP78" si="328">CM9/CI9-1</f>
        <v>-0.12164296998420221</v>
      </c>
      <c r="CN78" s="19">
        <f t="shared" si="328"/>
        <v>-5.0754458161865523E-2</v>
      </c>
      <c r="CO78" s="19">
        <f t="shared" si="328"/>
        <v>-3.0000000000000027E-2</v>
      </c>
      <c r="CP78" s="19">
        <f t="shared" si="328"/>
        <v>4.366812227074246E-2</v>
      </c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>
        <f t="shared" ref="DG78:DP78" si="329">+DG9/DF9-1</f>
        <v>1.0071942446043165</v>
      </c>
      <c r="DH78" s="19">
        <f t="shared" si="329"/>
        <v>0.17159498207885315</v>
      </c>
      <c r="DI78" s="19">
        <f t="shared" si="329"/>
        <v>2.5621414913957974E-2</v>
      </c>
      <c r="DJ78" s="19">
        <f t="shared" si="329"/>
        <v>1.4168530947054503E-2</v>
      </c>
      <c r="DK78" s="19">
        <f t="shared" si="329"/>
        <v>-3.8283088235294138E-2</v>
      </c>
      <c r="DL78" s="19">
        <f t="shared" si="329"/>
        <v>5.0000000000000044E-2</v>
      </c>
      <c r="DM78" s="19">
        <f t="shared" si="329"/>
        <v>5.0000000000000044E-2</v>
      </c>
      <c r="DN78" s="19">
        <f t="shared" si="329"/>
        <v>5.0000000000000044E-2</v>
      </c>
      <c r="DO78" s="19">
        <f t="shared" si="329"/>
        <v>5.0000000000000044E-2</v>
      </c>
      <c r="DP78" s="19">
        <f t="shared" si="329"/>
        <v>5.0000000000000044E-2</v>
      </c>
      <c r="DW78" s="21" t="s">
        <v>244</v>
      </c>
      <c r="DX78" s="7">
        <f>NPV(DX75,DI68:IM68)+Main!K5-Main!K6</f>
        <v>398666.76321637852</v>
      </c>
    </row>
    <row r="79" spans="2:247" s="18" customFormat="1" x14ac:dyDescent="0.25">
      <c r="B79" s="26" t="s">
        <v>121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32" t="s">
        <v>202</v>
      </c>
      <c r="BG79" s="32" t="s">
        <v>202</v>
      </c>
      <c r="BH79" s="32" t="s">
        <v>202</v>
      </c>
      <c r="BI79" s="32" t="s">
        <v>202</v>
      </c>
      <c r="BJ79" s="32" t="s">
        <v>202</v>
      </c>
      <c r="BK79" s="32" t="s">
        <v>202</v>
      </c>
      <c r="BL79" s="32" t="s">
        <v>202</v>
      </c>
      <c r="BM79" s="32" t="s">
        <v>202</v>
      </c>
      <c r="BN79" s="32" t="s">
        <v>202</v>
      </c>
      <c r="BO79" s="32" t="s">
        <v>202</v>
      </c>
      <c r="BP79" s="32" t="s">
        <v>202</v>
      </c>
      <c r="BQ79" s="32" t="s">
        <v>202</v>
      </c>
      <c r="BR79" s="32" t="s">
        <v>202</v>
      </c>
      <c r="BS79" s="32" t="s">
        <v>202</v>
      </c>
      <c r="BT79" s="32" t="s">
        <v>202</v>
      </c>
      <c r="BU79" s="32" t="s">
        <v>202</v>
      </c>
      <c r="BV79" s="32" t="s">
        <v>202</v>
      </c>
      <c r="BW79" s="32" t="s">
        <v>202</v>
      </c>
      <c r="BX79" s="19">
        <f>BX10/BT10-1</f>
        <v>1.0303030303030303</v>
      </c>
      <c r="BY79" s="19">
        <f>BY10/BU10-1</f>
        <v>0.23326959847036322</v>
      </c>
      <c r="BZ79" s="19">
        <f>BZ10/BV10-1</f>
        <v>0.18342151675485008</v>
      </c>
      <c r="CA79" s="19">
        <f>CA10/BW10-1</f>
        <v>0.15413533834586457</v>
      </c>
      <c r="CB79" s="19">
        <f>CB10/BX10-1</f>
        <v>0.12437810945273631</v>
      </c>
      <c r="CC79" s="19">
        <f>CC10/BY10-1</f>
        <v>8.3720930232558111E-2</v>
      </c>
      <c r="CD79" s="19">
        <f>CD10/BZ10-1</f>
        <v>8.4947839046199736E-2</v>
      </c>
      <c r="CE79" s="19">
        <f>CE10/CA10-1</f>
        <v>0.17100977198697076</v>
      </c>
      <c r="CF79" s="19">
        <f>CF10/CB10-1</f>
        <v>0.10324483775811211</v>
      </c>
      <c r="CG79" s="19">
        <f>CG10/CC10-1</f>
        <v>7.0100143061516462E-2</v>
      </c>
      <c r="CH79" s="19">
        <f>CH10/CD10-1</f>
        <v>6.5934065934065922E-2</v>
      </c>
      <c r="CI79" s="19">
        <f>CI10/CE10-1</f>
        <v>4.0333796940194677E-2</v>
      </c>
      <c r="CJ79" s="19">
        <f>CJ10/CF10-1</f>
        <v>8.8235294117646967E-2</v>
      </c>
      <c r="CK79" s="19">
        <f>CK10/CG10-1</f>
        <v>0.1336898395721926</v>
      </c>
      <c r="CL79" s="19">
        <f>CL10/CH10-1</f>
        <v>0.125</v>
      </c>
      <c r="CM79" s="19">
        <f t="shared" ref="CM79:CP79" si="330">CM10/CI10-1</f>
        <v>0.15775401069518713</v>
      </c>
      <c r="CN79" s="19">
        <f t="shared" si="330"/>
        <v>0.14004914004914015</v>
      </c>
      <c r="CO79" s="19">
        <f t="shared" si="330"/>
        <v>0.10000000000000009</v>
      </c>
      <c r="CP79" s="19">
        <f t="shared" si="330"/>
        <v>0.134020618556701</v>
      </c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>
        <f t="shared" ref="DG79:DP79" si="331">+DG10/DF10-1</f>
        <v>0.76712328767123283</v>
      </c>
      <c r="DH79" s="19">
        <f t="shared" si="331"/>
        <v>0.1093431252549979</v>
      </c>
      <c r="DI79" s="19">
        <f t="shared" si="331"/>
        <v>0.10003677822728951</v>
      </c>
      <c r="DJ79" s="19">
        <f t="shared" si="331"/>
        <v>9.7626211969241039E-2</v>
      </c>
      <c r="DK79" s="19">
        <f t="shared" si="331"/>
        <v>0.13213524215656425</v>
      </c>
      <c r="DL79" s="19">
        <f t="shared" si="331"/>
        <v>5.0000000000000044E-2</v>
      </c>
      <c r="DM79" s="19">
        <f t="shared" si="331"/>
        <v>5.0000000000000044E-2</v>
      </c>
      <c r="DN79" s="19">
        <f t="shared" si="331"/>
        <v>5.0000000000000044E-2</v>
      </c>
      <c r="DO79" s="19">
        <f t="shared" si="331"/>
        <v>5.0000000000000044E-2</v>
      </c>
      <c r="DP79" s="19">
        <f t="shared" si="331"/>
        <v>5.0000000000000044E-2</v>
      </c>
      <c r="DW79" s="33" t="s">
        <v>246</v>
      </c>
      <c r="DX79" s="4">
        <f>DX78/Main!K3</f>
        <v>225.10827962528433</v>
      </c>
    </row>
    <row r="80" spans="2:247" s="18" customFormat="1" x14ac:dyDescent="0.25">
      <c r="B80" s="35" t="s">
        <v>248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36" t="s">
        <v>202</v>
      </c>
      <c r="BG80" s="36" t="s">
        <v>202</v>
      </c>
      <c r="BH80" s="36" t="s">
        <v>202</v>
      </c>
      <c r="BI80" s="36" t="s">
        <v>202</v>
      </c>
      <c r="BJ80" s="36" t="s">
        <v>202</v>
      </c>
      <c r="BK80" s="36" t="s">
        <v>202</v>
      </c>
      <c r="BL80" s="36" t="s">
        <v>202</v>
      </c>
      <c r="BM80" s="36" t="s">
        <v>202</v>
      </c>
      <c r="BN80" s="36" t="s">
        <v>202</v>
      </c>
      <c r="BO80" s="36" t="s">
        <v>202</v>
      </c>
      <c r="BP80" s="36" t="s">
        <v>202</v>
      </c>
      <c r="BQ80" s="36" t="s">
        <v>202</v>
      </c>
      <c r="BR80" s="36" t="s">
        <v>202</v>
      </c>
      <c r="BS80" s="36" t="s">
        <v>202</v>
      </c>
      <c r="BT80" s="36" t="s">
        <v>202</v>
      </c>
      <c r="BU80" s="19">
        <f t="shared" ref="BU80:CL80" si="332">BU13/BQ13-1</f>
        <v>14.357142857142858</v>
      </c>
      <c r="BV80" s="19">
        <f t="shared" si="332"/>
        <v>7.5151515151515156</v>
      </c>
      <c r="BW80" s="19">
        <f t="shared" si="332"/>
        <v>2.5232558139534884</v>
      </c>
      <c r="BX80" s="19">
        <f t="shared" si="332"/>
        <v>1.5369127516778525</v>
      </c>
      <c r="BY80" s="19">
        <f t="shared" si="332"/>
        <v>1.1069767441860465</v>
      </c>
      <c r="BZ80" s="19">
        <f t="shared" si="332"/>
        <v>0.83985765124555156</v>
      </c>
      <c r="CA80" s="19">
        <f t="shared" si="332"/>
        <v>0.53465346534653468</v>
      </c>
      <c r="CB80" s="19">
        <f t="shared" si="332"/>
        <v>0.56613756613756605</v>
      </c>
      <c r="CC80" s="19">
        <f t="shared" si="332"/>
        <v>0.53421633554083892</v>
      </c>
      <c r="CD80" s="19">
        <f t="shared" si="332"/>
        <v>0.4893617021276595</v>
      </c>
      <c r="CE80" s="19">
        <f t="shared" si="332"/>
        <v>0.47526881720430114</v>
      </c>
      <c r="CF80" s="19">
        <f t="shared" si="332"/>
        <v>0.55067567567567566</v>
      </c>
      <c r="CG80" s="19">
        <f t="shared" si="332"/>
        <v>0.59712230215827344</v>
      </c>
      <c r="CH80" s="19">
        <f t="shared" si="332"/>
        <v>0.62987012987012991</v>
      </c>
      <c r="CI80" s="19">
        <f t="shared" si="332"/>
        <v>0.59329446064139946</v>
      </c>
      <c r="CJ80" s="19">
        <f t="shared" si="332"/>
        <v>0.55773420479302827</v>
      </c>
      <c r="CK80" s="19">
        <f t="shared" si="332"/>
        <v>0.45405405405405408</v>
      </c>
      <c r="CL80" s="19">
        <f t="shared" si="332"/>
        <v>0.46135458167330667</v>
      </c>
      <c r="CM80" s="19">
        <f t="shared" ref="CM80:CP80" si="333">CM13/CI13-1</f>
        <v>0.57182067703568151</v>
      </c>
      <c r="CN80" s="19">
        <f t="shared" si="333"/>
        <v>0.41818181818181821</v>
      </c>
      <c r="CO80" s="19">
        <f t="shared" si="333"/>
        <v>0.35315985130111516</v>
      </c>
      <c r="CP80" s="19">
        <f t="shared" si="333"/>
        <v>0.29443838604143946</v>
      </c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>
        <f t="shared" ref="DG80:DP80" si="334">+DG13/DF13-1</f>
        <v>1.2585499316005473</v>
      </c>
      <c r="DH80" s="19">
        <f t="shared" si="334"/>
        <v>0.52755905511811019</v>
      </c>
      <c r="DI80" s="19">
        <f t="shared" si="334"/>
        <v>0.57375099127676443</v>
      </c>
      <c r="DJ80" s="19">
        <f t="shared" si="334"/>
        <v>0.50440917107583783</v>
      </c>
      <c r="DK80" s="19">
        <f t="shared" si="334"/>
        <v>0.39072182214034501</v>
      </c>
      <c r="DL80" s="19">
        <f t="shared" si="334"/>
        <v>0.19999999999999996</v>
      </c>
      <c r="DM80" s="19">
        <f t="shared" si="334"/>
        <v>0.19999999999999996</v>
      </c>
      <c r="DN80" s="19">
        <f t="shared" si="334"/>
        <v>3.0000000000000027E-2</v>
      </c>
      <c r="DO80" s="19">
        <f t="shared" si="334"/>
        <v>3.0000000000000027E-2</v>
      </c>
      <c r="DP80" s="19">
        <f t="shared" si="334"/>
        <v>3.0000000000000027E-2</v>
      </c>
    </row>
    <row r="81" spans="2:120" s="18" customFormat="1" x14ac:dyDescent="0.25">
      <c r="B81" s="71" t="s">
        <v>501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19"/>
      <c r="BT81" s="19"/>
      <c r="BU81" s="19"/>
      <c r="BV81" s="19"/>
      <c r="BW81" s="19"/>
      <c r="BX81" s="19">
        <f t="shared" ref="BX81" si="335">BX14/BT14-1</f>
        <v>1.25</v>
      </c>
      <c r="BY81" s="19">
        <f t="shared" ref="BY81" si="336">BY14/BU14-1</f>
        <v>0.2877094972067038</v>
      </c>
      <c r="BZ81" s="19">
        <f t="shared" ref="BZ81" si="337">BZ14/BV14-1</f>
        <v>0.21945137157107242</v>
      </c>
      <c r="CA81" s="19">
        <f t="shared" ref="CA81" si="338">CA14/BW14-1</f>
        <v>0.23410404624277459</v>
      </c>
      <c r="CB81" s="19">
        <f t="shared" ref="CB81" si="339">CB14/BX14-1</f>
        <v>0.13888888888888884</v>
      </c>
      <c r="CC81" s="19">
        <f t="shared" ref="CC81" si="340">CC14/BY14-1</f>
        <v>0.20173535791757047</v>
      </c>
      <c r="CD81" s="19">
        <f t="shared" ref="CD81" si="341">CD14/BZ14-1</f>
        <v>0.15541922290388555</v>
      </c>
      <c r="CE81" s="19">
        <f t="shared" ref="CE81:CJ81" si="342">CE14/CA14-1</f>
        <v>0.31381733021077274</v>
      </c>
      <c r="CF81" s="19">
        <f t="shared" si="342"/>
        <v>0.33739837398373984</v>
      </c>
      <c r="CG81" s="19">
        <f t="shared" si="342"/>
        <v>0.35559566787003605</v>
      </c>
      <c r="CH81" s="19">
        <f t="shared" si="342"/>
        <v>0.39646017699115044</v>
      </c>
      <c r="CI81" s="19">
        <f t="shared" si="342"/>
        <v>0.23707664884135471</v>
      </c>
      <c r="CJ81" s="19">
        <f t="shared" si="342"/>
        <v>0.17629179331306988</v>
      </c>
      <c r="CK81" s="19">
        <f>CK14/CG14-1</f>
        <v>0.16511318242343531</v>
      </c>
      <c r="CL81" s="19">
        <f t="shared" ref="CL81:CP81" si="343">CL14/CH14-1</f>
        <v>0.17110266159695819</v>
      </c>
      <c r="CM81" s="19">
        <f t="shared" si="343"/>
        <v>0.10230547550432267</v>
      </c>
      <c r="CN81" s="19">
        <f t="shared" si="343"/>
        <v>0.16279069767441867</v>
      </c>
      <c r="CO81" s="19">
        <f t="shared" si="343"/>
        <v>6.7428571428571393E-2</v>
      </c>
      <c r="CP81" s="19">
        <f t="shared" si="343"/>
        <v>0.10606060606060597</v>
      </c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>
        <f t="shared" ref="DG81:DJ81" si="344">+DG14/DF14-1</f>
        <v>0.81703470031545744</v>
      </c>
      <c r="DH81" s="19">
        <f t="shared" si="344"/>
        <v>0.17939814814814814</v>
      </c>
      <c r="DI81" s="19">
        <f t="shared" si="344"/>
        <v>0.35377821393523057</v>
      </c>
      <c r="DJ81" s="19">
        <f t="shared" si="344"/>
        <v>0.18412468285610739</v>
      </c>
      <c r="DK81" s="19">
        <f>+DK14/DJ14-1</f>
        <v>0.1083562901744719</v>
      </c>
      <c r="DL81" s="19">
        <f t="shared" ref="DL81:DP81" si="345">+DL14/DK14-1</f>
        <v>3.0000000000000027E-2</v>
      </c>
      <c r="DM81" s="19">
        <f t="shared" si="345"/>
        <v>3.0000000000000027E-2</v>
      </c>
      <c r="DN81" s="19">
        <f t="shared" si="345"/>
        <v>3.0000000000000027E-2</v>
      </c>
      <c r="DO81" s="19">
        <f t="shared" si="345"/>
        <v>3.0000000000000027E-2</v>
      </c>
      <c r="DP81" s="19">
        <f t="shared" si="345"/>
        <v>-0.9</v>
      </c>
    </row>
    <row r="82" spans="2:120" s="18" customFormat="1" x14ac:dyDescent="0.25">
      <c r="B82" s="35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</row>
    <row r="83" spans="2:120" s="18" customFormat="1" x14ac:dyDescent="0.25">
      <c r="B83" s="26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</row>
    <row r="84" spans="2:120" s="18" customFormat="1" x14ac:dyDescent="0.25">
      <c r="B84" s="26" t="s">
        <v>203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>
        <f t="shared" ref="BI84" si="346">+BI60/BI58</f>
        <v>0.80814867762687637</v>
      </c>
      <c r="BJ84" s="19">
        <f t="shared" ref="BJ84" si="347">+BJ60/BJ58</f>
        <v>0.79002455097557822</v>
      </c>
      <c r="BK84" s="19">
        <f t="shared" ref="BK84" si="348">+BK60/BK58</f>
        <v>0.80186538946307029</v>
      </c>
      <c r="BL84" s="19">
        <f t="shared" ref="BL84:BQ84" si="349">+BL60/BL58</f>
        <v>0.80540082344393316</v>
      </c>
      <c r="BM84" s="19">
        <f t="shared" si="349"/>
        <v>0.81677999028654691</v>
      </c>
      <c r="BN84" s="19">
        <f t="shared" si="349"/>
        <v>0.79843467790487654</v>
      </c>
      <c r="BO84" s="19">
        <f t="shared" si="349"/>
        <v>0.83354624425140522</v>
      </c>
      <c r="BP84" s="19">
        <f t="shared" si="349"/>
        <v>0.8271350696547547</v>
      </c>
      <c r="BQ84" s="19">
        <f t="shared" si="349"/>
        <v>0.82014388489208634</v>
      </c>
      <c r="BR84" s="19">
        <f>+BR60/BR58</f>
        <v>0.81560202205882348</v>
      </c>
      <c r="BS84" s="19">
        <f>+BS60/BS58</f>
        <v>0.82666202575704839</v>
      </c>
      <c r="BT84" s="19">
        <f>+BT60/BT58</f>
        <v>0.82772182254196647</v>
      </c>
      <c r="BU84" s="19">
        <f>+BU60/BU58</f>
        <v>0.81664337835739786</v>
      </c>
      <c r="BV84" s="19">
        <f t="shared" ref="BV84:CD84" si="350">+BV60/BV58</f>
        <v>0.81793909655072883</v>
      </c>
      <c r="BW84" s="19">
        <f t="shared" si="350"/>
        <v>0.83880943177425593</v>
      </c>
      <c r="BX84" s="19">
        <f t="shared" si="350"/>
        <v>0.82240848198295002</v>
      </c>
      <c r="BY84" s="19">
        <f t="shared" si="350"/>
        <v>0.83175289359921911</v>
      </c>
      <c r="BZ84" s="19">
        <f t="shared" si="350"/>
        <v>0.83555018137847648</v>
      </c>
      <c r="CA84" s="19">
        <f t="shared" si="350"/>
        <v>0.84465947702762589</v>
      </c>
      <c r="CB84" s="19">
        <f t="shared" si="350"/>
        <v>0.85140231776726327</v>
      </c>
      <c r="CC84" s="19">
        <f>+CC60/CC58</f>
        <v>0.85369970294355924</v>
      </c>
      <c r="CD84" s="19">
        <f t="shared" si="350"/>
        <v>0.85</v>
      </c>
      <c r="CE84" s="19">
        <f t="shared" ref="CE84:CH84" si="351">+CE60/CE58</f>
        <v>0.84204498977505116</v>
      </c>
      <c r="CF84" s="19">
        <f t="shared" si="351"/>
        <v>0.84731337901190051</v>
      </c>
      <c r="CG84" s="19">
        <f t="shared" si="351"/>
        <v>0.83478135994830183</v>
      </c>
      <c r="CH84" s="19">
        <f t="shared" si="351"/>
        <v>0.83938186140829307</v>
      </c>
      <c r="CI84" s="19">
        <f t="shared" ref="CI84:CL84" si="352">+CI60/CI58</f>
        <v>0.82875710804224212</v>
      </c>
      <c r="CJ84" s="19">
        <f t="shared" si="352"/>
        <v>0.85237173281703771</v>
      </c>
      <c r="CK84" s="19">
        <f t="shared" si="352"/>
        <v>0.84432918395573997</v>
      </c>
      <c r="CL84" s="19">
        <f t="shared" si="352"/>
        <v>0.83757118262481789</v>
      </c>
      <c r="CM84" s="19">
        <f t="shared" ref="CM84:CP84" si="353">+CM60/CM58</f>
        <v>0.84008585183001938</v>
      </c>
      <c r="CN84" s="19">
        <f t="shared" si="353"/>
        <v>0.84354535434091937</v>
      </c>
      <c r="CO84" s="19">
        <f t="shared" si="353"/>
        <v>0.85</v>
      </c>
      <c r="CP84" s="19">
        <f t="shared" si="353"/>
        <v>0.85</v>
      </c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>
        <f>+DD60/DD58</f>
        <v>0.80563956863104513</v>
      </c>
      <c r="DE84" s="19">
        <f>+DE60/DE58</f>
        <v>0.82384416521373172</v>
      </c>
      <c r="DF84" s="19">
        <f>+DF60/DF58</f>
        <v>0.82144417263672898</v>
      </c>
      <c r="DG84" s="19">
        <f>+DG60/DG58</f>
        <v>0.8320622928619793</v>
      </c>
      <c r="DH84" s="19">
        <f>+DH60/DH58</f>
        <v>0.85005081475867295</v>
      </c>
      <c r="DI84" s="19">
        <f t="shared" ref="DI84:DM84" si="354">+DI60/DI58</f>
        <v>0.84082624544349938</v>
      </c>
      <c r="DJ84" s="19">
        <f t="shared" si="354"/>
        <v>0.84117939432669431</v>
      </c>
      <c r="DK84" s="19">
        <f t="shared" si="354"/>
        <v>0.84617012268027669</v>
      </c>
      <c r="DL84" s="19">
        <f t="shared" si="354"/>
        <v>0.85</v>
      </c>
      <c r="DM84" s="19">
        <f t="shared" si="354"/>
        <v>0.85</v>
      </c>
      <c r="DN84" s="19">
        <f t="shared" ref="DN84:DP84" si="355">+DN60/DN58</f>
        <v>0.85</v>
      </c>
      <c r="DO84" s="19">
        <f t="shared" si="355"/>
        <v>0.85</v>
      </c>
      <c r="DP84" s="19">
        <f t="shared" si="355"/>
        <v>0.85</v>
      </c>
    </row>
    <row r="85" spans="2:120" s="18" customFormat="1" x14ac:dyDescent="0.25">
      <c r="B85" s="26" t="s">
        <v>204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>
        <f t="shared" ref="BI85" si="356">+BI67/BI66</f>
        <v>0.18934280639431617</v>
      </c>
      <c r="BJ85" s="19">
        <f t="shared" ref="BJ85" si="357">+BJ67/BJ66</f>
        <v>0.18853848762292302</v>
      </c>
      <c r="BK85" s="19">
        <f t="shared" ref="BK85" si="358">+BK67/BK66</f>
        <v>7.6450721522873813E-2</v>
      </c>
      <c r="BL85" s="19">
        <f t="shared" ref="BL85:BQ85" si="359">+BL67/BL66</f>
        <v>9.0040532715691957E-2</v>
      </c>
      <c r="BM85" s="19">
        <f t="shared" si="359"/>
        <v>9.1036023457134879E-2</v>
      </c>
      <c r="BN85" s="19">
        <f t="shared" si="359"/>
        <v>9.1716915264995244E-2</v>
      </c>
      <c r="BO85" s="19">
        <f t="shared" si="359"/>
        <v>7.8917050691244245E-2</v>
      </c>
      <c r="BP85" s="19">
        <f t="shared" si="359"/>
        <v>8.7567567567567561E-2</v>
      </c>
      <c r="BQ85" s="19">
        <f t="shared" si="359"/>
        <v>8.7848500789058384E-2</v>
      </c>
      <c r="BR85" s="19">
        <f>+BR67/BR66</f>
        <v>8.8544548976203646E-2</v>
      </c>
      <c r="BS85" s="19">
        <f>+BS67/BS66</f>
        <v>9.7426929802648013E-2</v>
      </c>
      <c r="BT85" s="19">
        <f>+BT67/BT66</f>
        <v>0.11399317406143344</v>
      </c>
      <c r="BU85" s="19">
        <f>+BU67/BU66</f>
        <v>9.6755504055619931E-2</v>
      </c>
      <c r="BV85" s="19">
        <f t="shared" ref="BV85:CD85" si="360">+BV67/BV66</f>
        <v>9.6443132292984679E-2</v>
      </c>
      <c r="BW85" s="19">
        <f t="shared" si="360"/>
        <v>0.1234113712374582</v>
      </c>
      <c r="BX85" s="19">
        <f t="shared" si="360"/>
        <v>0.12653834017040075</v>
      </c>
      <c r="BY85" s="19">
        <f t="shared" si="360"/>
        <v>0.12783291364242336</v>
      </c>
      <c r="BZ85" s="19">
        <f t="shared" si="360"/>
        <v>0.12496302868973676</v>
      </c>
      <c r="CA85" s="19">
        <f t="shared" si="360"/>
        <v>0.11802184466019418</v>
      </c>
      <c r="CB85" s="19">
        <f t="shared" si="360"/>
        <v>0.12982644961657475</v>
      </c>
      <c r="CC85" s="19">
        <f>+CC67/CC66</f>
        <v>0.1274432118330692</v>
      </c>
      <c r="CD85" s="19">
        <f t="shared" si="360"/>
        <v>0.15</v>
      </c>
      <c r="CE85" s="19">
        <f t="shared" ref="CE85:CH85" si="361">+CE67/CE66</f>
        <v>0.1364907375043691</v>
      </c>
      <c r="CF85" s="19">
        <f t="shared" si="361"/>
        <v>9.4106311225309144E-2</v>
      </c>
      <c r="CG85" s="19">
        <f t="shared" si="361"/>
        <v>0.1549652118912081</v>
      </c>
      <c r="CH85" s="19">
        <f t="shared" si="361"/>
        <v>6.2390017597184454E-2</v>
      </c>
      <c r="CI85" s="19">
        <f t="shared" ref="CI85:CL85" si="362">+CI67/CI66</f>
        <v>0.14282860567319217</v>
      </c>
      <c r="CJ85" s="19">
        <f t="shared" si="362"/>
        <v>0.16184542352766651</v>
      </c>
      <c r="CK85" s="19">
        <f t="shared" si="362"/>
        <v>0.15957116221255438</v>
      </c>
      <c r="CL85" s="19">
        <f t="shared" si="362"/>
        <v>0.15142054324071183</v>
      </c>
      <c r="CM85" s="19">
        <f t="shared" ref="CM85:CP85" si="363">+CM67/CM66</f>
        <v>0.13854697429438367</v>
      </c>
      <c r="CN85" s="19">
        <f t="shared" si="363"/>
        <v>0.14307692307692307</v>
      </c>
      <c r="CO85" s="19">
        <f t="shared" si="363"/>
        <v>0.10000000000000002</v>
      </c>
      <c r="CP85" s="19">
        <f t="shared" si="363"/>
        <v>0.1</v>
      </c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>
        <f t="shared" ref="DD85" si="364">+DD67/DD66</f>
        <v>8.7406084951275761E-2</v>
      </c>
      <c r="DE85" s="19">
        <f t="shared" ref="DE85:DM85" si="365">+DE67/DE66</f>
        <v>8.5823964902659713E-2</v>
      </c>
      <c r="DF85" s="19">
        <f t="shared" si="365"/>
        <v>0.10015614543832255</v>
      </c>
      <c r="DG85" s="19">
        <f t="shared" si="365"/>
        <v>0.12574038945453136</v>
      </c>
      <c r="DH85" s="19">
        <f t="shared" si="365"/>
        <v>0.13161795219388039</v>
      </c>
      <c r="DI85" s="19">
        <f t="shared" si="365"/>
        <v>0.11160495840809004</v>
      </c>
      <c r="DJ85" s="19">
        <f t="shared" si="365"/>
        <v>0.15466265403229087</v>
      </c>
      <c r="DK85" s="19">
        <f t="shared" si="365"/>
        <v>0.11888044204108278</v>
      </c>
      <c r="DL85" s="19">
        <f t="shared" si="365"/>
        <v>0.15</v>
      </c>
      <c r="DM85" s="19">
        <f t="shared" si="365"/>
        <v>0.15</v>
      </c>
      <c r="DN85" s="19">
        <f t="shared" ref="DN85:DP85" si="366">+DN67/DN66</f>
        <v>0.15</v>
      </c>
      <c r="DO85" s="19">
        <f t="shared" si="366"/>
        <v>0.15</v>
      </c>
      <c r="DP85" s="19">
        <f t="shared" si="366"/>
        <v>0.15</v>
      </c>
    </row>
    <row r="87" spans="2:120" x14ac:dyDescent="0.25">
      <c r="B87" s="14" t="s">
        <v>145</v>
      </c>
      <c r="CA87" s="6">
        <f t="shared" ref="CA87:CG87" si="367">CA88-CA97</f>
        <v>-65642</v>
      </c>
      <c r="CB87" s="6">
        <f t="shared" si="367"/>
        <v>-62727</v>
      </c>
      <c r="CC87" s="6">
        <f t="shared" si="367"/>
        <v>-57492</v>
      </c>
      <c r="CD87" s="6">
        <f t="shared" si="367"/>
        <v>0</v>
      </c>
      <c r="CE87" s="6">
        <f t="shared" si="367"/>
        <v>-55114</v>
      </c>
      <c r="CF87" s="6">
        <f t="shared" si="367"/>
        <v>-51961</v>
      </c>
      <c r="CG87" s="6">
        <f t="shared" si="367"/>
        <v>-47181</v>
      </c>
      <c r="CH87" s="6">
        <f t="shared" ref="CH87:CN87" si="368">CH88-CH97</f>
        <v>-46265</v>
      </c>
      <c r="CI87" s="6">
        <f t="shared" si="368"/>
        <v>-55627</v>
      </c>
      <c r="CJ87" s="6">
        <f t="shared" si="368"/>
        <v>-57205</v>
      </c>
      <c r="CK87" s="6">
        <f t="shared" si="368"/>
        <v>-63527</v>
      </c>
      <c r="CL87" s="6">
        <f t="shared" si="368"/>
        <v>-61310</v>
      </c>
      <c r="CM87" s="6">
        <f t="shared" si="368"/>
        <v>-64426</v>
      </c>
      <c r="CN87" s="6">
        <f t="shared" si="368"/>
        <v>-63704</v>
      </c>
      <c r="CO87" s="6"/>
    </row>
    <row r="88" spans="2:120" s="5" customFormat="1" x14ac:dyDescent="0.25">
      <c r="B88" s="12" t="s">
        <v>50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>
        <f>6098+1474+260</f>
        <v>7832</v>
      </c>
      <c r="CB88" s="6">
        <f>8521+1440+244</f>
        <v>10205</v>
      </c>
      <c r="CC88" s="6">
        <f>11832+47+235</f>
        <v>12114</v>
      </c>
      <c r="CD88" s="6"/>
      <c r="CE88" s="6">
        <f>6711+11+257</f>
        <v>6979</v>
      </c>
      <c r="CF88" s="6">
        <f>8759+7+288</f>
        <v>9054</v>
      </c>
      <c r="CG88" s="6">
        <f>13287+3+275</f>
        <v>13565</v>
      </c>
      <c r="CH88" s="6">
        <f>12814+2+304</f>
        <v>13120</v>
      </c>
      <c r="CI88" s="6">
        <f>18069+305</f>
        <v>18374</v>
      </c>
      <c r="CJ88" s="6">
        <f>13130+27+272</f>
        <v>13429</v>
      </c>
      <c r="CK88" s="6">
        <f>7257+28+267</f>
        <v>7552</v>
      </c>
      <c r="CL88" s="6">
        <f>5524+31+279</f>
        <v>5834</v>
      </c>
      <c r="CM88" s="6">
        <f>5175+1+287</f>
        <v>5463</v>
      </c>
      <c r="CN88" s="6">
        <f>6467+310</f>
        <v>6777</v>
      </c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</row>
    <row r="89" spans="2:120" s="5" customFormat="1" x14ac:dyDescent="0.25">
      <c r="B89" s="12" t="s">
        <v>135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>
        <v>10733</v>
      </c>
      <c r="CB89" s="6">
        <v>11237</v>
      </c>
      <c r="CC89" s="6">
        <v>10743</v>
      </c>
      <c r="CD89" s="6"/>
      <c r="CE89" s="6">
        <v>11473</v>
      </c>
      <c r="CF89" s="6">
        <v>11491</v>
      </c>
      <c r="CG89" s="6">
        <v>11412</v>
      </c>
      <c r="CH89" s="6">
        <v>11155</v>
      </c>
      <c r="CI89" s="6">
        <v>11949</v>
      </c>
      <c r="CJ89" s="6">
        <v>11724</v>
      </c>
      <c r="CK89" s="6">
        <v>11472</v>
      </c>
      <c r="CL89" s="6">
        <v>10919</v>
      </c>
      <c r="CM89" s="6">
        <v>12477</v>
      </c>
      <c r="CN89" s="6">
        <v>12637</v>
      </c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</row>
    <row r="90" spans="2:120" s="5" customFormat="1" x14ac:dyDescent="0.25">
      <c r="B90" s="12" t="s">
        <v>136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>
        <v>3483</v>
      </c>
      <c r="CB90" s="6">
        <v>3396</v>
      </c>
      <c r="CC90" s="6">
        <v>3172</v>
      </c>
      <c r="CD90" s="6"/>
      <c r="CE90" s="6">
        <v>3833</v>
      </c>
      <c r="CF90" s="6">
        <v>4055</v>
      </c>
      <c r="CG90" s="6">
        <v>3981</v>
      </c>
      <c r="CH90" s="6">
        <v>4099</v>
      </c>
      <c r="CI90" s="6">
        <v>4245</v>
      </c>
      <c r="CJ90" s="6">
        <v>4218</v>
      </c>
      <c r="CK90" s="6">
        <v>4450</v>
      </c>
      <c r="CL90" s="6">
        <v>4181</v>
      </c>
      <c r="CM90" s="6">
        <v>4526</v>
      </c>
      <c r="CN90" s="6">
        <v>4960</v>
      </c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</row>
    <row r="91" spans="2:120" s="5" customFormat="1" x14ac:dyDescent="0.25">
      <c r="B91" s="12" t="s">
        <v>137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>
        <v>4721</v>
      </c>
      <c r="CB91" s="6">
        <v>4506</v>
      </c>
      <c r="CC91" s="6">
        <v>4570</v>
      </c>
      <c r="CD91" s="6"/>
      <c r="CE91" s="6">
        <v>4460</v>
      </c>
      <c r="CF91" s="6">
        <v>4540</v>
      </c>
      <c r="CG91" s="6">
        <v>4541</v>
      </c>
      <c r="CH91" s="6">
        <v>4932</v>
      </c>
      <c r="CI91" s="6">
        <v>4608</v>
      </c>
      <c r="CJ91" s="6">
        <v>4717</v>
      </c>
      <c r="CK91" s="6">
        <v>4578</v>
      </c>
      <c r="CL91" s="6">
        <v>4927</v>
      </c>
      <c r="CM91" s="6">
        <v>5496</v>
      </c>
      <c r="CN91" s="6">
        <v>5197</v>
      </c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</row>
    <row r="92" spans="2:120" s="5" customFormat="1" x14ac:dyDescent="0.25">
      <c r="B92" s="12" t="s">
        <v>138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>
        <v>5075</v>
      </c>
      <c r="CB92" s="6">
        <v>4958</v>
      </c>
      <c r="CC92" s="6">
        <v>4893</v>
      </c>
      <c r="CD92" s="6"/>
      <c r="CE92" s="6">
        <v>4931</v>
      </c>
      <c r="CF92" s="6">
        <v>4943</v>
      </c>
      <c r="CG92" s="6">
        <v>4934</v>
      </c>
      <c r="CH92" s="6">
        <v>4989</v>
      </c>
      <c r="CI92" s="6">
        <v>4980</v>
      </c>
      <c r="CJ92" s="6">
        <v>5023</v>
      </c>
      <c r="CK92" s="6">
        <v>5141</v>
      </c>
      <c r="CL92" s="6">
        <v>5134</v>
      </c>
      <c r="CM92" s="6">
        <v>5237</v>
      </c>
      <c r="CN92" s="6">
        <v>5283</v>
      </c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</row>
    <row r="93" spans="2:120" s="5" customFormat="1" x14ac:dyDescent="0.25">
      <c r="B93" s="12" t="s">
        <v>139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>
        <f>73986+32298</f>
        <v>106284</v>
      </c>
      <c r="CB93" s="6">
        <f>71823+32028</f>
        <v>103851</v>
      </c>
      <c r="CC93" s="6">
        <f>68725+31726</f>
        <v>100451</v>
      </c>
      <c r="CD93" s="6"/>
      <c r="CE93" s="6">
        <f>64848+32220</f>
        <v>97068</v>
      </c>
      <c r="CF93" s="6">
        <f>62862+32224</f>
        <v>95086</v>
      </c>
      <c r="CG93" s="6">
        <f>58603+32091</f>
        <v>90694</v>
      </c>
      <c r="CH93" s="6">
        <f>55610+32293</f>
        <v>87903</v>
      </c>
      <c r="CI93" s="6">
        <f>62225+33426</f>
        <v>95651</v>
      </c>
      <c r="CJ93" s="6">
        <f>60243+33386</f>
        <v>93629</v>
      </c>
      <c r="CK93" s="6">
        <f>66646+35295</f>
        <v>101941</v>
      </c>
      <c r="CL93" s="6">
        <f>60068+34956</f>
        <v>95024</v>
      </c>
      <c r="CM93" s="6">
        <f>58489+35285</f>
        <v>93774</v>
      </c>
      <c r="CN93" s="6">
        <f>57031+35638</f>
        <v>92669</v>
      </c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</row>
    <row r="94" spans="2:120" s="5" customFormat="1" x14ac:dyDescent="0.25">
      <c r="B94" s="12" t="s">
        <v>12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>
        <v>5083</v>
      </c>
      <c r="CB94" s="6">
        <v>5033</v>
      </c>
      <c r="CC94" s="6">
        <v>5382</v>
      </c>
      <c r="CD94" s="6"/>
      <c r="CE94" s="6">
        <v>5800</v>
      </c>
      <c r="CF94" s="6">
        <v>6198</v>
      </c>
      <c r="CG94" s="6">
        <v>7094</v>
      </c>
      <c r="CH94" s="6">
        <v>8513</v>
      </c>
      <c r="CI94" s="6">
        <v>9067</v>
      </c>
      <c r="CJ94" s="6">
        <v>9197</v>
      </c>
      <c r="CK94" s="6">
        <v>8288</v>
      </c>
      <c r="CL94" s="6">
        <v>9142</v>
      </c>
      <c r="CM94" s="6">
        <v>9192</v>
      </c>
      <c r="CN94" s="6">
        <v>9659</v>
      </c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</row>
    <row r="95" spans="2:120" s="5" customFormat="1" x14ac:dyDescent="0.25">
      <c r="B95" s="12" t="s">
        <v>134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>
        <f>SUM(CA88:CA94)</f>
        <v>143211</v>
      </c>
      <c r="CB95" s="6">
        <f>SUM(CB88:CB94)</f>
        <v>143186</v>
      </c>
      <c r="CC95" s="6">
        <f>SUM(CC88:CC94)</f>
        <v>141325</v>
      </c>
      <c r="CD95" s="6"/>
      <c r="CE95" s="6">
        <f t="shared" ref="CE95:CK95" si="369">SUM(CE88:CE94)</f>
        <v>134544</v>
      </c>
      <c r="CF95" s="6">
        <f t="shared" si="369"/>
        <v>135367</v>
      </c>
      <c r="CG95" s="6">
        <f t="shared" si="369"/>
        <v>136221</v>
      </c>
      <c r="CH95" s="6">
        <f t="shared" si="369"/>
        <v>134711</v>
      </c>
      <c r="CI95" s="6">
        <f t="shared" si="369"/>
        <v>148874</v>
      </c>
      <c r="CJ95" s="6">
        <f t="shared" si="369"/>
        <v>141937</v>
      </c>
      <c r="CK95" s="6">
        <f t="shared" si="369"/>
        <v>143422</v>
      </c>
      <c r="CL95" s="6">
        <f t="shared" ref="CL95:CN95" si="370">SUM(CL88:CL94)</f>
        <v>135161</v>
      </c>
      <c r="CM95" s="6">
        <f t="shared" si="370"/>
        <v>136165</v>
      </c>
      <c r="CN95" s="6">
        <f t="shared" si="370"/>
        <v>137182</v>
      </c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</row>
    <row r="97" spans="2:119" s="5" customFormat="1" x14ac:dyDescent="0.25">
      <c r="B97" s="12" t="s">
        <v>51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>
        <f>12+9940+63522</f>
        <v>73474</v>
      </c>
      <c r="CB97" s="6">
        <f>17+61002+11913</f>
        <v>72932</v>
      </c>
      <c r="CC97" s="6">
        <f>10+9197+60399</f>
        <v>69606</v>
      </c>
      <c r="CD97" s="6"/>
      <c r="CE97" s="6">
        <f>1+59292+2800</f>
        <v>62093</v>
      </c>
      <c r="CF97" s="6">
        <f>5203+55812</f>
        <v>61015</v>
      </c>
      <c r="CG97" s="6">
        <f>2+55631+5113</f>
        <v>60746</v>
      </c>
      <c r="CH97" s="6">
        <f>7191+52194</f>
        <v>59385</v>
      </c>
      <c r="CI97" s="6">
        <f>3+63805+10193</f>
        <v>74001</v>
      </c>
      <c r="CJ97" s="6">
        <f>12586+58048</f>
        <v>70634</v>
      </c>
      <c r="CK97" s="6">
        <f>12570+58509</f>
        <v>71079</v>
      </c>
      <c r="CL97" s="6">
        <f>6804+60340</f>
        <v>67144</v>
      </c>
      <c r="CM97" s="6">
        <f>1593+64527+3769</f>
        <v>69889</v>
      </c>
      <c r="CN97" s="6">
        <f>5556+62959+1966</f>
        <v>70481</v>
      </c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</row>
    <row r="98" spans="2:119" s="5" customFormat="1" x14ac:dyDescent="0.25">
      <c r="B98" s="12" t="s">
        <v>140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22569</v>
      </c>
      <c r="CB98" s="6">
        <v>22543</v>
      </c>
      <c r="CC98" s="6">
        <v>23505</v>
      </c>
      <c r="CD98" s="6"/>
      <c r="CE98" s="6">
        <v>24789</v>
      </c>
      <c r="CF98" s="6">
        <v>27036</v>
      </c>
      <c r="CG98" s="6">
        <v>29658</v>
      </c>
      <c r="CH98" s="6">
        <v>30650</v>
      </c>
      <c r="CI98" s="6">
        <v>31326</v>
      </c>
      <c r="CJ98" s="6">
        <v>29329</v>
      </c>
      <c r="CK98" s="6">
        <v>30492</v>
      </c>
      <c r="CL98" s="6">
        <v>31945</v>
      </c>
      <c r="CM98" s="6">
        <v>31041</v>
      </c>
      <c r="CN98" s="6">
        <v>32245</v>
      </c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</row>
    <row r="99" spans="2:119" s="5" customFormat="1" x14ac:dyDescent="0.25">
      <c r="B99" s="12" t="s">
        <v>141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>
        <v>2831</v>
      </c>
      <c r="CB99" s="6">
        <v>2255</v>
      </c>
      <c r="CC99" s="6">
        <v>1972</v>
      </c>
      <c r="CD99" s="6"/>
      <c r="CE99" s="6">
        <v>2110</v>
      </c>
      <c r="CF99" s="6">
        <v>2124</v>
      </c>
      <c r="CG99" s="6">
        <v>2044</v>
      </c>
      <c r="CH99" s="6">
        <v>1952</v>
      </c>
      <c r="CI99" s="6">
        <v>2722</v>
      </c>
      <c r="CJ99" s="6">
        <v>2726</v>
      </c>
      <c r="CK99" s="6">
        <v>2749</v>
      </c>
      <c r="CL99" s="6">
        <v>2579</v>
      </c>
      <c r="CM99" s="6">
        <v>2582</v>
      </c>
      <c r="CN99" s="6">
        <v>2554</v>
      </c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</row>
    <row r="100" spans="2:119" s="5" customFormat="1" x14ac:dyDescent="0.25">
      <c r="B100" s="12" t="s">
        <v>142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>
        <v>28023</v>
      </c>
      <c r="CB100" s="6">
        <v>30768</v>
      </c>
      <c r="CC100" s="6">
        <v>30215</v>
      </c>
      <c r="CD100" s="6"/>
      <c r="CE100" s="6">
        <v>32249</v>
      </c>
      <c r="CF100" s="6">
        <v>32294</v>
      </c>
      <c r="CG100" s="6">
        <v>31644</v>
      </c>
      <c r="CH100" s="6">
        <v>32327</v>
      </c>
      <c r="CI100" s="6">
        <v>32778</v>
      </c>
      <c r="CJ100" s="6">
        <v>32427</v>
      </c>
      <c r="CK100" s="6">
        <v>33031</v>
      </c>
      <c r="CL100" s="6">
        <v>30129</v>
      </c>
      <c r="CM100" s="6">
        <v>31191</v>
      </c>
      <c r="CN100" s="6">
        <v>32040</v>
      </c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</row>
    <row r="101" spans="2:119" s="5" customFormat="1" x14ac:dyDescent="0.25">
      <c r="B101" s="12" t="s">
        <v>143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>
        <v>16314</v>
      </c>
      <c r="CB101" s="6">
        <v>14688</v>
      </c>
      <c r="CC101" s="6">
        <v>16027</v>
      </c>
      <c r="CD101" s="6"/>
      <c r="CE101" s="6">
        <v>13303</v>
      </c>
      <c r="CF101" s="6">
        <v>12898</v>
      </c>
      <c r="CG101" s="6">
        <v>12129</v>
      </c>
      <c r="CH101" s="6">
        <v>10397</v>
      </c>
      <c r="CI101" s="6">
        <v>8047</v>
      </c>
      <c r="CJ101" s="6">
        <v>6821</v>
      </c>
      <c r="CK101" s="6">
        <v>6071</v>
      </c>
      <c r="CL101" s="6">
        <f>3364</f>
        <v>3364</v>
      </c>
      <c r="CM101" s="6">
        <v>1462</v>
      </c>
      <c r="CN101" s="6">
        <v>-138</v>
      </c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</row>
    <row r="102" spans="2:119" s="5" customFormat="1" x14ac:dyDescent="0.25">
      <c r="B102" s="12" t="s">
        <v>144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>
        <f>SUM(CA97:CA101)</f>
        <v>143211</v>
      </c>
      <c r="CB102" s="6">
        <f>SUM(CB97:CB101)</f>
        <v>143186</v>
      </c>
      <c r="CC102" s="6">
        <f>SUM(CC97:CC101)</f>
        <v>141325</v>
      </c>
      <c r="CD102" s="6"/>
      <c r="CE102" s="6">
        <f t="shared" ref="CE102:CL102" si="371">SUM(CE97:CE101)</f>
        <v>134544</v>
      </c>
      <c r="CF102" s="6">
        <f t="shared" si="371"/>
        <v>135367</v>
      </c>
      <c r="CG102" s="6">
        <f t="shared" si="371"/>
        <v>136221</v>
      </c>
      <c r="CH102" s="6">
        <f t="shared" si="371"/>
        <v>134711</v>
      </c>
      <c r="CI102" s="6">
        <f t="shared" si="371"/>
        <v>148874</v>
      </c>
      <c r="CJ102" s="6">
        <f t="shared" si="371"/>
        <v>141937</v>
      </c>
      <c r="CK102" s="6">
        <f t="shared" si="371"/>
        <v>143422</v>
      </c>
      <c r="CL102" s="6">
        <f t="shared" si="371"/>
        <v>135161</v>
      </c>
      <c r="CM102" s="6">
        <f>SUM(CM97:CM101)</f>
        <v>136165</v>
      </c>
      <c r="CN102" s="6">
        <f>SUM(CN97:CN101)</f>
        <v>137182</v>
      </c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</row>
    <row r="104" spans="2:119" s="5" customFormat="1" x14ac:dyDescent="0.25">
      <c r="B104" s="40" t="s">
        <v>289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>
        <f>+CA68</f>
        <v>5814</v>
      </c>
      <c r="CB104" s="6"/>
      <c r="CC104" s="6"/>
      <c r="CD104" s="6"/>
      <c r="CE104" s="6">
        <f t="shared" ref="CE104:CK104" si="372">+CE68</f>
        <v>4941</v>
      </c>
      <c r="CF104" s="6">
        <f t="shared" si="372"/>
        <v>5641</v>
      </c>
      <c r="CG104" s="6">
        <f t="shared" si="372"/>
        <v>5344</v>
      </c>
      <c r="CH104" s="6">
        <f t="shared" si="372"/>
        <v>5861</v>
      </c>
      <c r="CI104" s="6">
        <f t="shared" si="372"/>
        <v>4291</v>
      </c>
      <c r="CJ104" s="6">
        <f t="shared" si="372"/>
        <v>5650</v>
      </c>
      <c r="CK104" s="6">
        <f t="shared" si="372"/>
        <v>5409</v>
      </c>
      <c r="CL104" s="6">
        <f>+CL68</f>
        <v>5436</v>
      </c>
      <c r="CM104" s="6">
        <f>+CM68</f>
        <v>4514.1000000000004</v>
      </c>
      <c r="CN104" s="6">
        <f>+CN68</f>
        <v>6127</v>
      </c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</row>
    <row r="105" spans="2:119" s="5" customFormat="1" x14ac:dyDescent="0.25">
      <c r="B105" s="40" t="s">
        <v>290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>
        <v>4493</v>
      </c>
      <c r="CB105" s="6"/>
      <c r="CC105" s="6"/>
      <c r="CD105" s="6"/>
      <c r="CE105" s="6">
        <v>241</v>
      </c>
      <c r="CF105" s="6">
        <f>2268-CE105</f>
        <v>2027</v>
      </c>
      <c r="CG105" s="6">
        <f>4049-CF105-CE105</f>
        <v>1781</v>
      </c>
      <c r="CH105" s="6">
        <f>4873-CG105-CF105-CE105</f>
        <v>824</v>
      </c>
      <c r="CI105" s="6">
        <v>1372</v>
      </c>
      <c r="CJ105" s="6">
        <f>2745-CI105</f>
        <v>1373</v>
      </c>
      <c r="CK105" s="6">
        <f>4309-CJ105-CI105</f>
        <v>1564</v>
      </c>
      <c r="CL105" s="6">
        <f>4286-CK105-CJ105-CI105</f>
        <v>-23</v>
      </c>
      <c r="CM105" s="6">
        <v>1289</v>
      </c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</row>
    <row r="106" spans="2:119" s="5" customFormat="1" x14ac:dyDescent="0.25">
      <c r="B106" s="40" t="s">
        <v>291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>
        <v>198</v>
      </c>
      <c r="CB106" s="6"/>
      <c r="CC106" s="6"/>
      <c r="CD106" s="6"/>
      <c r="CE106" s="6">
        <v>179</v>
      </c>
      <c r="CF106" s="6">
        <f>369-CE106</f>
        <v>190</v>
      </c>
      <c r="CG106" s="6">
        <f>565-CF106-CE106</f>
        <v>196</v>
      </c>
      <c r="CH106" s="6">
        <f>752-CG106-CF106-CE106</f>
        <v>187</v>
      </c>
      <c r="CI106" s="6">
        <v>183</v>
      </c>
      <c r="CJ106" s="6">
        <f>367-CI106</f>
        <v>184</v>
      </c>
      <c r="CK106" s="6">
        <f>558-CJ106-CI106</f>
        <v>191</v>
      </c>
      <c r="CL106" s="6">
        <f>764-CK106-CJ106-CI106</f>
        <v>206</v>
      </c>
      <c r="CM106" s="6">
        <v>181</v>
      </c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</row>
    <row r="107" spans="2:119" s="5" customFormat="1" x14ac:dyDescent="0.25">
      <c r="B107" s="40" t="s">
        <v>292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>
        <v>1855</v>
      </c>
      <c r="CB107" s="6"/>
      <c r="CC107" s="6"/>
      <c r="CD107" s="6"/>
      <c r="CE107" s="6">
        <v>1948</v>
      </c>
      <c r="CF107" s="6">
        <f>4018-CE107</f>
        <v>2070</v>
      </c>
      <c r="CG107" s="6">
        <f>6057-CF107-CE107</f>
        <v>2039</v>
      </c>
      <c r="CH107" s="6">
        <f>7946-CG107-CF107-CE107</f>
        <v>1889</v>
      </c>
      <c r="CI107" s="6">
        <v>1891</v>
      </c>
      <c r="CJ107" s="6">
        <f>3838-CI107</f>
        <v>1947</v>
      </c>
      <c r="CK107" s="6">
        <f>5726-CJ107-CI107</f>
        <v>1888</v>
      </c>
      <c r="CL107" s="6">
        <f>7622-CK107-CJ107-CI107</f>
        <v>1896</v>
      </c>
      <c r="CM107" s="6">
        <v>1858</v>
      </c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</row>
    <row r="108" spans="2:119" s="5" customFormat="1" x14ac:dyDescent="0.25">
      <c r="B108" s="40" t="s">
        <v>141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>
        <v>-194</v>
      </c>
      <c r="CB108" s="6"/>
      <c r="CC108" s="6"/>
      <c r="CD108" s="6"/>
      <c r="CE108" s="6">
        <v>-267</v>
      </c>
      <c r="CF108" s="6">
        <f>-635-CE108</f>
        <v>-368</v>
      </c>
      <c r="CG108" s="6">
        <f>-1498-CF108-CE108</f>
        <v>-863</v>
      </c>
      <c r="CH108" s="6">
        <f>-2889-CG108-CF108-CE108</f>
        <v>-1391</v>
      </c>
      <c r="CI108" s="6">
        <v>-389</v>
      </c>
      <c r="CJ108" s="6">
        <f>-405-CI108</f>
        <v>-16</v>
      </c>
      <c r="CK108" s="6">
        <f>-682-CJ108-CI108</f>
        <v>-277</v>
      </c>
      <c r="CL108" s="6">
        <f>-1449-CK108-CJ108-CI108</f>
        <v>-767</v>
      </c>
      <c r="CM108" s="6">
        <v>-28</v>
      </c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</row>
    <row r="109" spans="2:119" s="5" customFormat="1" x14ac:dyDescent="0.25">
      <c r="B109" s="40" t="s">
        <v>293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>
        <v>-748</v>
      </c>
      <c r="CB109" s="6"/>
      <c r="CC109" s="6"/>
      <c r="CD109" s="6"/>
      <c r="CE109" s="6">
        <v>1872</v>
      </c>
      <c r="CF109" s="6">
        <f>3424-CE109</f>
        <v>1552</v>
      </c>
      <c r="CG109" s="6">
        <f>3432-CF109-CE109-407</f>
        <v>-399</v>
      </c>
      <c r="CH109" s="6">
        <f>5128-870-CG109-CF109-CE109</f>
        <v>1233</v>
      </c>
      <c r="CI109" s="6">
        <f>660-391</f>
        <v>269</v>
      </c>
      <c r="CJ109" s="6">
        <f>2136-876-CI109</f>
        <v>991</v>
      </c>
      <c r="CK109" s="6">
        <f>3492-CJ109-CI109-1456</f>
        <v>776</v>
      </c>
      <c r="CL109" s="6">
        <f>-1995-CK109-CJ109-CI109+3771</f>
        <v>-260</v>
      </c>
      <c r="CM109" s="6">
        <f>1518-549</f>
        <v>969</v>
      </c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</row>
    <row r="110" spans="2:119" s="5" customFormat="1" x14ac:dyDescent="0.25">
      <c r="B110" s="40" t="s">
        <v>294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>
        <v>306</v>
      </c>
      <c r="CB110" s="6"/>
      <c r="CC110" s="6"/>
      <c r="CD110" s="6"/>
      <c r="CE110" s="6">
        <v>313</v>
      </c>
      <c r="CF110" s="6">
        <f>492-CE110</f>
        <v>179</v>
      </c>
      <c r="CG110" s="6">
        <f>622-CF110-CE110</f>
        <v>130</v>
      </c>
      <c r="CH110" s="6">
        <f>747-CG110-CF110-CE110</f>
        <v>125</v>
      </c>
      <c r="CI110" s="6">
        <v>348</v>
      </c>
      <c r="CJ110" s="6">
        <f>566-CI110</f>
        <v>218</v>
      </c>
      <c r="CK110" s="6">
        <f>747-CJ110-CI110</f>
        <v>181</v>
      </c>
      <c r="CL110" s="6">
        <f>911-CK110-CJ110-CI110</f>
        <v>164</v>
      </c>
      <c r="CM110" s="6">
        <v>410</v>
      </c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</row>
    <row r="111" spans="2:119" x14ac:dyDescent="0.25">
      <c r="B111" s="38" t="s">
        <v>297</v>
      </c>
      <c r="CA111" s="6">
        <v>145</v>
      </c>
      <c r="CE111" s="2">
        <f>150+710</f>
        <v>860</v>
      </c>
      <c r="CF111" s="2">
        <f>430-CE111</f>
        <v>-430</v>
      </c>
      <c r="CG111" s="6">
        <f>496-CF111-CE111</f>
        <v>66</v>
      </c>
      <c r="CH111" s="6">
        <f>778-CG111-CF111-CE111</f>
        <v>282</v>
      </c>
      <c r="CI111" s="2">
        <v>164</v>
      </c>
      <c r="CJ111" s="6">
        <f>1101-CI111</f>
        <v>937</v>
      </c>
      <c r="CK111" s="6">
        <f>1183-CJ111-CI111</f>
        <v>82</v>
      </c>
      <c r="CL111" s="6">
        <f>2757-CK111-CJ111-CI111+4476</f>
        <v>6050</v>
      </c>
      <c r="CM111" s="6">
        <v>248</v>
      </c>
      <c r="CN111" s="6"/>
      <c r="CO111" s="6"/>
      <c r="CP111" s="6"/>
      <c r="CQ111" s="6"/>
      <c r="CR111" s="6"/>
      <c r="CS111" s="6"/>
      <c r="CT111" s="6"/>
    </row>
    <row r="112" spans="2:119" x14ac:dyDescent="0.25">
      <c r="B112" s="38" t="s">
        <v>12</v>
      </c>
      <c r="CA112" s="6">
        <v>128</v>
      </c>
      <c r="CE112" s="2">
        <v>-128</v>
      </c>
      <c r="CF112" s="2">
        <f>-118+710-173-CE112</f>
        <v>547</v>
      </c>
      <c r="CG112" s="6">
        <f>-205-CF112-CE112</f>
        <v>-624</v>
      </c>
      <c r="CH112" s="6">
        <f>-443+4229-225-CG112-CF112-CE112</f>
        <v>3766</v>
      </c>
      <c r="CI112" s="2">
        <v>-45</v>
      </c>
      <c r="CJ112" s="6">
        <f>27-53-CI112</f>
        <v>19</v>
      </c>
      <c r="CK112" s="6">
        <f>341-CJ112-CI112-75</f>
        <v>292</v>
      </c>
      <c r="CL112" s="6">
        <f>-63-CK112-CJ112-CI112+508</f>
        <v>179</v>
      </c>
      <c r="CM112" s="6">
        <f>-729+17</f>
        <v>-712</v>
      </c>
      <c r="CN112" s="6"/>
      <c r="CO112" s="6"/>
      <c r="CP112" s="6"/>
      <c r="CQ112" s="6"/>
      <c r="CR112" s="6"/>
      <c r="CS112" s="6"/>
      <c r="CT112" s="6"/>
    </row>
    <row r="113" spans="2:119" x14ac:dyDescent="0.25">
      <c r="B113" s="38" t="s">
        <v>296</v>
      </c>
      <c r="CA113" s="6">
        <f>-785-385-285-258+438</f>
        <v>-1275</v>
      </c>
      <c r="CE113" s="2">
        <f>-195-185-167-465+187</f>
        <v>-825</v>
      </c>
      <c r="CF113" s="2">
        <f>-275-458+285+1107-932-CE113</f>
        <v>552</v>
      </c>
      <c r="CG113" s="6">
        <f>2824-219-273-513+394+3661-899-CF113-CE113</f>
        <v>5248</v>
      </c>
      <c r="CH113" s="6">
        <f>66-417-188+3840-488-CG113-CF113-CE113</f>
        <v>-2162</v>
      </c>
      <c r="CI113" s="2">
        <f>-702-75+284+362+378</f>
        <v>247</v>
      </c>
      <c r="CJ113" s="6">
        <f>-524-127+309-1337-1456-CI113</f>
        <v>-3382</v>
      </c>
      <c r="CK113" s="6">
        <f>-180-191+461-1070-1405-CJ113-CI113</f>
        <v>750</v>
      </c>
      <c r="CL113" s="6">
        <f>207-319+361+177-3208-CK113-CJ113-CI113</f>
        <v>-397</v>
      </c>
      <c r="CM113" s="6">
        <f>-1479-155-628-696+378</f>
        <v>-2580</v>
      </c>
      <c r="CN113" s="6"/>
      <c r="CO113" s="6"/>
      <c r="CP113" s="6"/>
      <c r="CQ113" s="6"/>
      <c r="CR113" s="6"/>
      <c r="CS113" s="6"/>
      <c r="CT113" s="6"/>
    </row>
    <row r="114" spans="2:119" x14ac:dyDescent="0.25">
      <c r="B114" s="38" t="s">
        <v>295</v>
      </c>
      <c r="CA114" s="6">
        <f>SUM(CA105:CA113)</f>
        <v>4908</v>
      </c>
      <c r="CE114" s="6">
        <f t="shared" ref="CE114:CK114" si="373">SUM(CE105:CE113)</f>
        <v>4193</v>
      </c>
      <c r="CF114" s="6">
        <f t="shared" si="373"/>
        <v>6319</v>
      </c>
      <c r="CG114" s="6">
        <f t="shared" si="373"/>
        <v>7574</v>
      </c>
      <c r="CH114" s="6">
        <f t="shared" si="373"/>
        <v>4753</v>
      </c>
      <c r="CI114" s="6">
        <f t="shared" si="373"/>
        <v>4040</v>
      </c>
      <c r="CJ114" s="6">
        <f t="shared" si="373"/>
        <v>2271</v>
      </c>
      <c r="CK114" s="6">
        <f t="shared" si="373"/>
        <v>5447</v>
      </c>
      <c r="CL114" s="6">
        <f>SUM(CL105:CL113)</f>
        <v>7048</v>
      </c>
      <c r="CM114" s="6">
        <f>SUM(CM105:CM113)</f>
        <v>1635</v>
      </c>
      <c r="CN114" s="6"/>
      <c r="CO114" s="6"/>
      <c r="CP114" s="6"/>
      <c r="CQ114" s="6"/>
      <c r="CR114" s="6"/>
      <c r="CS114" s="6"/>
      <c r="CT114" s="6"/>
    </row>
    <row r="115" spans="2:119" x14ac:dyDescent="0.25">
      <c r="CM115" s="6"/>
      <c r="CN115" s="6"/>
      <c r="CO115" s="6"/>
      <c r="CP115" s="6"/>
      <c r="CQ115" s="6"/>
      <c r="CR115" s="6"/>
      <c r="CS115" s="6"/>
      <c r="CT115" s="6"/>
    </row>
    <row r="116" spans="2:119" s="5" customFormat="1" x14ac:dyDescent="0.25">
      <c r="B116" s="40" t="s">
        <v>299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>
        <f>-185-1406+8+154</f>
        <v>-1429</v>
      </c>
      <c r="CB116" s="6"/>
      <c r="CC116" s="6"/>
      <c r="CD116" s="6"/>
      <c r="CE116" s="6">
        <f>-353-19+22+26</f>
        <v>-324</v>
      </c>
      <c r="CF116" s="6">
        <f>-513-35+36-CE116+25</f>
        <v>-163</v>
      </c>
      <c r="CG116" s="6">
        <f>-670-43+41-CF116-CE116+35</f>
        <v>-150</v>
      </c>
      <c r="CH116" s="6">
        <f>-1223-77+55+13-CG116-CF116-CE116</f>
        <v>-595</v>
      </c>
      <c r="CI116" s="6">
        <f>-190-6+6-6</f>
        <v>-196</v>
      </c>
      <c r="CJ116" s="6">
        <f>-1033-22+9-11-CI116</f>
        <v>-861</v>
      </c>
      <c r="CK116" s="6">
        <f>-1232-CJ116-CI116-46+516-8</f>
        <v>287</v>
      </c>
      <c r="CL116" s="6">
        <f>-3024-73+555+189-CK116-CJ116-CI116</f>
        <v>-1583</v>
      </c>
      <c r="CM116" s="6">
        <f>-334-10+32+16</f>
        <v>-296</v>
      </c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</row>
    <row r="117" spans="2:119" s="5" customFormat="1" x14ac:dyDescent="0.25">
      <c r="B117" s="70" t="s">
        <v>500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>
        <v>0</v>
      </c>
      <c r="CF117" s="6">
        <v>0</v>
      </c>
      <c r="CG117" s="6">
        <v>0</v>
      </c>
      <c r="CH117" s="6">
        <v>0</v>
      </c>
      <c r="CI117" s="6">
        <v>-9199</v>
      </c>
      <c r="CJ117" s="6">
        <f>-9199-CI117</f>
        <v>0</v>
      </c>
      <c r="CK117" s="6">
        <f>-17493-CJ117-CI117</f>
        <v>-8294</v>
      </c>
      <c r="CL117" s="6">
        <f>-17493-CK117-CJ117-CI117</f>
        <v>0</v>
      </c>
      <c r="CM117" s="6">
        <v>-204</v>
      </c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</row>
    <row r="118" spans="2:119" s="5" customFormat="1" x14ac:dyDescent="0.25">
      <c r="B118" s="40" t="s">
        <v>300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>
        <v>-162</v>
      </c>
      <c r="CB118" s="6"/>
      <c r="CC118" s="6"/>
      <c r="CD118" s="6"/>
      <c r="CE118" s="6">
        <v>-175</v>
      </c>
      <c r="CF118" s="6">
        <f>-353-CE118</f>
        <v>-178</v>
      </c>
      <c r="CG118" s="6">
        <f>-572-CF118-CE118</f>
        <v>-219</v>
      </c>
      <c r="CH118" s="6">
        <f>-777-CG118-CF118-CE118</f>
        <v>-205</v>
      </c>
      <c r="CI118" s="6">
        <v>-193</v>
      </c>
      <c r="CJ118" s="6">
        <f>-434-CI118</f>
        <v>-241</v>
      </c>
      <c r="CK118" s="6">
        <f>-683-CJ118-CI118</f>
        <v>-249</v>
      </c>
      <c r="CL118" s="6">
        <f>-974-CK118-CJ118-CI118</f>
        <v>-291</v>
      </c>
      <c r="CM118" s="6">
        <v>-235</v>
      </c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</row>
    <row r="119" spans="2:119" s="5" customFormat="1" x14ac:dyDescent="0.25">
      <c r="B119" s="40" t="s">
        <v>298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>
        <f>CA116+CA118</f>
        <v>-1591</v>
      </c>
      <c r="CB119" s="6"/>
      <c r="CC119" s="6"/>
      <c r="CD119" s="6"/>
      <c r="CE119" s="6">
        <f t="shared" ref="CE119:CM119" si="374">SUM(CE116:CE118)</f>
        <v>-499</v>
      </c>
      <c r="CF119" s="6">
        <f t="shared" si="374"/>
        <v>-341</v>
      </c>
      <c r="CG119" s="6">
        <f t="shared" si="374"/>
        <v>-369</v>
      </c>
      <c r="CH119" s="6">
        <f t="shared" si="374"/>
        <v>-800</v>
      </c>
      <c r="CI119" s="6">
        <f t="shared" si="374"/>
        <v>-9588</v>
      </c>
      <c r="CJ119" s="6">
        <f t="shared" si="374"/>
        <v>-1102</v>
      </c>
      <c r="CK119" s="6">
        <f t="shared" si="374"/>
        <v>-8256</v>
      </c>
      <c r="CL119" s="6">
        <f t="shared" si="374"/>
        <v>-1874</v>
      </c>
      <c r="CM119" s="6">
        <f t="shared" si="374"/>
        <v>-735</v>
      </c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</row>
    <row r="120" spans="2:119" x14ac:dyDescent="0.25">
      <c r="CI120" s="6"/>
      <c r="CM120" s="6"/>
      <c r="CN120" s="6"/>
      <c r="CO120" s="6"/>
      <c r="CP120" s="6"/>
      <c r="CQ120" s="6"/>
      <c r="CR120" s="6"/>
      <c r="CS120" s="6"/>
      <c r="CT120" s="6"/>
    </row>
    <row r="121" spans="2:119" x14ac:dyDescent="0.25">
      <c r="B121" s="38" t="s">
        <v>51</v>
      </c>
      <c r="CA121" s="6">
        <f>2000-4879</f>
        <v>-2879</v>
      </c>
      <c r="CE121" s="6">
        <v>-1351</v>
      </c>
      <c r="CF121" s="6">
        <f>-2353-CE121</f>
        <v>-1002</v>
      </c>
      <c r="CG121" s="6">
        <f>-2355-CF121-CE121</f>
        <v>-2</v>
      </c>
      <c r="CH121" s="6">
        <f>-4149-38-CG121-CF121-CE121</f>
        <v>-1832</v>
      </c>
      <c r="CI121" s="6">
        <f>5008-5005+14963-103-99</f>
        <v>14764</v>
      </c>
      <c r="CJ121" s="6">
        <f>14963-3448-99-CI121</f>
        <v>-3348</v>
      </c>
      <c r="CK121" s="6">
        <f>14963-3851-99-CJ121-CI121</f>
        <v>-403</v>
      </c>
      <c r="CL121" s="6">
        <f>16963-9613-99-CK121-CJ121-CI121</f>
        <v>-3762</v>
      </c>
      <c r="CM121" s="6">
        <f>1593+3994-3026-20</f>
        <v>2541</v>
      </c>
      <c r="CN121" s="6"/>
      <c r="CO121" s="6"/>
      <c r="CP121" s="6"/>
      <c r="CQ121" s="6"/>
      <c r="CR121" s="6"/>
      <c r="CS121" s="6"/>
      <c r="CT121" s="6"/>
    </row>
    <row r="122" spans="2:119" x14ac:dyDescent="0.25">
      <c r="B122" s="38" t="s">
        <v>301</v>
      </c>
      <c r="CA122" s="6">
        <v>-2526</v>
      </c>
      <c r="CE122" s="6">
        <v>-2661</v>
      </c>
      <c r="CF122" s="6">
        <f>-5286-CE122</f>
        <v>-2625</v>
      </c>
      <c r="CG122" s="6">
        <f>-7913-CF122-CE122</f>
        <v>-2627</v>
      </c>
      <c r="CH122" s="6">
        <f>-10539-CG122-CF122-CE122</f>
        <v>-2626</v>
      </c>
      <c r="CI122" s="6">
        <v>-2772</v>
      </c>
      <c r="CJ122" s="6">
        <f>-5522-CI122</f>
        <v>-2750</v>
      </c>
      <c r="CK122" s="6">
        <f>-8273-CJ122-CI122</f>
        <v>-2751</v>
      </c>
      <c r="CL122" s="6">
        <f>-11025-CK122-CJ122-CI122</f>
        <v>-2752</v>
      </c>
      <c r="CM122" s="6">
        <v>-2925</v>
      </c>
      <c r="CN122" s="6"/>
      <c r="CO122" s="6"/>
      <c r="CP122" s="6"/>
      <c r="CQ122" s="6"/>
      <c r="CR122" s="6"/>
      <c r="CS122" s="6"/>
      <c r="CT122" s="6"/>
    </row>
    <row r="123" spans="2:119" x14ac:dyDescent="0.25">
      <c r="B123" s="38" t="s">
        <v>305</v>
      </c>
      <c r="CA123" s="6">
        <v>-1470</v>
      </c>
      <c r="CE123" s="6">
        <v>-1955</v>
      </c>
      <c r="CF123" s="6">
        <f>-1965-CE123</f>
        <v>-10</v>
      </c>
      <c r="CG123" s="6">
        <f>-1969-CF123-CE123</f>
        <v>-4</v>
      </c>
      <c r="CH123" s="6">
        <f>-1972-CG123-CF123-CE123</f>
        <v>-3</v>
      </c>
      <c r="CI123" s="6">
        <v>-1324</v>
      </c>
      <c r="CJ123" s="6">
        <f>-1333-CI123</f>
        <v>-9</v>
      </c>
      <c r="CK123" s="6">
        <f>-1350-CJ123-CI123</f>
        <v>-17</v>
      </c>
      <c r="CL123" s="6">
        <f>-1708-CK123-CJ123-CI123</f>
        <v>-358</v>
      </c>
      <c r="CM123" s="6">
        <v>-961</v>
      </c>
      <c r="CN123" s="6"/>
      <c r="CO123" s="6"/>
      <c r="CP123" s="6"/>
      <c r="CQ123" s="6"/>
      <c r="CR123" s="6"/>
      <c r="CS123" s="6"/>
      <c r="CT123" s="6"/>
    </row>
    <row r="124" spans="2:119" x14ac:dyDescent="0.25">
      <c r="B124" s="38" t="s">
        <v>306</v>
      </c>
      <c r="CA124" s="6">
        <v>128</v>
      </c>
      <c r="CE124" s="6">
        <v>65</v>
      </c>
      <c r="CF124" s="6">
        <f>113-CE124</f>
        <v>48</v>
      </c>
      <c r="CG124" s="6">
        <f>149-CF124-CE124</f>
        <v>36</v>
      </c>
      <c r="CH124" s="6">
        <f>180-CG124-CF124-CE124</f>
        <v>31</v>
      </c>
      <c r="CI124" s="6">
        <v>127</v>
      </c>
      <c r="CJ124" s="6">
        <f>137-CI124</f>
        <v>10</v>
      </c>
      <c r="CK124" s="6">
        <f>204-CJ124-CI124</f>
        <v>67</v>
      </c>
      <c r="CL124" s="6">
        <f>214-CK124-CJ124-CI124</f>
        <v>10</v>
      </c>
      <c r="CM124" s="6">
        <v>56</v>
      </c>
      <c r="CN124" s="6"/>
      <c r="CO124" s="6"/>
      <c r="CP124" s="6"/>
      <c r="CQ124" s="6"/>
      <c r="CR124" s="6"/>
      <c r="CS124" s="6"/>
      <c r="CT124" s="6"/>
    </row>
    <row r="125" spans="2:119" x14ac:dyDescent="0.25">
      <c r="B125" s="38" t="s">
        <v>293</v>
      </c>
      <c r="CA125" s="6">
        <v>-246</v>
      </c>
      <c r="CE125" s="6">
        <v>-311</v>
      </c>
      <c r="CF125" s="6">
        <f>-641-CE125</f>
        <v>-330</v>
      </c>
      <c r="CG125" s="6">
        <f>-735-CF125-CE125</f>
        <v>-94</v>
      </c>
      <c r="CH125" s="6">
        <f>-752-CG125-CF125-CE125</f>
        <v>-17</v>
      </c>
      <c r="CI125" s="6">
        <v>0</v>
      </c>
      <c r="CJ125" s="2">
        <v>0</v>
      </c>
      <c r="CK125" s="2">
        <v>0</v>
      </c>
      <c r="CL125" s="2">
        <v>0</v>
      </c>
      <c r="CM125" s="6">
        <v>0</v>
      </c>
      <c r="CN125" s="6"/>
      <c r="CO125" s="6"/>
      <c r="CP125" s="6"/>
      <c r="CQ125" s="6"/>
      <c r="CR125" s="6"/>
      <c r="CS125" s="6"/>
      <c r="CT125" s="6"/>
    </row>
    <row r="126" spans="2:119" x14ac:dyDescent="0.25">
      <c r="B126" s="38" t="s">
        <v>12</v>
      </c>
      <c r="CA126" s="6">
        <v>21</v>
      </c>
      <c r="CE126" s="6">
        <v>21</v>
      </c>
      <c r="CF126" s="6">
        <f>20-CE126</f>
        <v>-1</v>
      </c>
      <c r="CG126" s="6">
        <f>50-CF126-CE126</f>
        <v>30</v>
      </c>
      <c r="CH126" s="6">
        <f>48-CG126-CF126-CE126</f>
        <v>-2</v>
      </c>
      <c r="CI126" s="6">
        <v>24</v>
      </c>
      <c r="CJ126" s="6">
        <f>24-CI126</f>
        <v>0</v>
      </c>
      <c r="CK126" s="6">
        <f>56-CJ126-CI126</f>
        <v>32</v>
      </c>
      <c r="CL126" s="6">
        <f>57-CK126-CJ126-CI126</f>
        <v>1</v>
      </c>
      <c r="CM126" s="6">
        <v>31</v>
      </c>
      <c r="CN126" s="6"/>
      <c r="CO126" s="6"/>
      <c r="CP126" s="6"/>
      <c r="CQ126" s="6"/>
      <c r="CR126" s="6"/>
      <c r="CS126" s="6"/>
      <c r="CT126" s="6"/>
    </row>
    <row r="127" spans="2:119" x14ac:dyDescent="0.25">
      <c r="B127" s="38" t="s">
        <v>304</v>
      </c>
      <c r="CA127" s="6">
        <f>SUM(CA121:CA126)</f>
        <v>-6972</v>
      </c>
      <c r="CE127" s="6">
        <f t="shared" ref="CE127:CM127" si="375">SUM(CE121:CE126)</f>
        <v>-6192</v>
      </c>
      <c r="CF127" s="6">
        <f t="shared" si="375"/>
        <v>-3920</v>
      </c>
      <c r="CG127" s="6">
        <f t="shared" si="375"/>
        <v>-2661</v>
      </c>
      <c r="CH127" s="6">
        <f t="shared" si="375"/>
        <v>-4449</v>
      </c>
      <c r="CI127" s="6">
        <f t="shared" si="375"/>
        <v>10819</v>
      </c>
      <c r="CJ127" s="6">
        <f t="shared" si="375"/>
        <v>-6097</v>
      </c>
      <c r="CK127" s="6">
        <f t="shared" si="375"/>
        <v>-3072</v>
      </c>
      <c r="CL127" s="6">
        <f t="shared" si="375"/>
        <v>-6861</v>
      </c>
      <c r="CM127" s="6">
        <f t="shared" si="375"/>
        <v>-1258</v>
      </c>
      <c r="CN127" s="6"/>
      <c r="CO127" s="6"/>
      <c r="CP127" s="6"/>
      <c r="CQ127" s="6"/>
      <c r="CR127" s="6"/>
      <c r="CS127" s="6"/>
      <c r="CT127" s="6"/>
    </row>
    <row r="128" spans="2:119" x14ac:dyDescent="0.25">
      <c r="B128" s="38" t="s">
        <v>303</v>
      </c>
      <c r="CA128" s="6">
        <v>7</v>
      </c>
      <c r="CE128" s="6">
        <v>8</v>
      </c>
      <c r="CF128" s="6">
        <f>-2-CE128</f>
        <v>-10</v>
      </c>
      <c r="CG128" s="6">
        <f>-18-CF128-CE128</f>
        <v>-16</v>
      </c>
      <c r="CH128" s="6">
        <f>5-CG128-CF128-CE128</f>
        <v>23</v>
      </c>
      <c r="CI128" s="2">
        <v>-18</v>
      </c>
      <c r="CJ128" s="2">
        <f>-27-CI128</f>
        <v>-9</v>
      </c>
      <c r="CK128" s="2">
        <f>-19-CJ128-CI128</f>
        <v>8</v>
      </c>
      <c r="CL128" s="2">
        <f>-65-CK128-CJ128-CI128</f>
        <v>-46</v>
      </c>
      <c r="CM128" s="6">
        <v>9</v>
      </c>
      <c r="CN128" s="6"/>
      <c r="CO128" s="6"/>
      <c r="CP128" s="6"/>
      <c r="CQ128" s="6"/>
      <c r="CR128" s="6"/>
      <c r="CS128" s="6"/>
      <c r="CT128" s="6"/>
    </row>
    <row r="129" spans="2:98" x14ac:dyDescent="0.25">
      <c r="B129" s="38" t="s">
        <v>302</v>
      </c>
      <c r="CA129" s="6">
        <f>+CA128+CA127+CA119+CA114</f>
        <v>-3648</v>
      </c>
      <c r="CE129" s="6">
        <f t="shared" ref="CE129:CM129" si="376">+CE128+CE127+CE119+CE114</f>
        <v>-2490</v>
      </c>
      <c r="CF129" s="6">
        <f t="shared" si="376"/>
        <v>2048</v>
      </c>
      <c r="CG129" s="6">
        <f t="shared" si="376"/>
        <v>4528</v>
      </c>
      <c r="CH129" s="6">
        <f t="shared" si="376"/>
        <v>-473</v>
      </c>
      <c r="CI129" s="6">
        <f t="shared" si="376"/>
        <v>5253</v>
      </c>
      <c r="CJ129" s="6">
        <f t="shared" si="376"/>
        <v>-4937</v>
      </c>
      <c r="CK129" s="6">
        <f t="shared" si="376"/>
        <v>-5873</v>
      </c>
      <c r="CL129" s="6">
        <f t="shared" si="376"/>
        <v>-1733</v>
      </c>
      <c r="CM129" s="6">
        <f t="shared" si="376"/>
        <v>-349</v>
      </c>
      <c r="CN129" s="6"/>
      <c r="CO129" s="6"/>
      <c r="CP129" s="6"/>
      <c r="CQ129" s="6"/>
      <c r="CR129" s="6"/>
      <c r="CS129" s="6"/>
      <c r="CT129" s="6"/>
    </row>
    <row r="132" spans="2:98" x14ac:dyDescent="0.25">
      <c r="B132" s="85" t="s">
        <v>675</v>
      </c>
      <c r="CN132" s="6">
        <v>11762</v>
      </c>
    </row>
    <row r="133" spans="2:98" x14ac:dyDescent="0.25">
      <c r="B133" s="85" t="s">
        <v>676</v>
      </c>
      <c r="CN133" s="6">
        <v>3661</v>
      </c>
    </row>
  </sheetData>
  <hyperlinks>
    <hyperlink ref="A1" location="Main!A1" display="Main" xr:uid="{303CDBE3-0741-4F5A-8365-448AB8249E43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731-AABB-421F-B236-A216837D7AE2}">
  <dimension ref="A1:C15"/>
  <sheetViews>
    <sheetView zoomScale="205" zoomScaleNormal="205" workbookViewId="0"/>
  </sheetViews>
  <sheetFormatPr defaultColWidth="9.1796875" defaultRowHeight="12.5" x14ac:dyDescent="0.25"/>
  <cols>
    <col min="1" max="1" width="5" style="24" bestFit="1" customWidth="1"/>
    <col min="2" max="2" width="12.1796875" style="24" bestFit="1" customWidth="1"/>
    <col min="3" max="16384" width="9.1796875" style="24"/>
  </cols>
  <sheetData>
    <row r="1" spans="1:3" x14ac:dyDescent="0.25">
      <c r="A1" s="9" t="s">
        <v>74</v>
      </c>
    </row>
    <row r="2" spans="1:3" x14ac:dyDescent="0.25">
      <c r="B2" s="24" t="s">
        <v>146</v>
      </c>
      <c r="C2" s="24" t="s">
        <v>221</v>
      </c>
    </row>
    <row r="3" spans="1:3" x14ac:dyDescent="0.25">
      <c r="B3" s="24" t="s">
        <v>189</v>
      </c>
      <c r="C3" s="67" t="s">
        <v>218</v>
      </c>
    </row>
    <row r="4" spans="1:3" x14ac:dyDescent="0.25">
      <c r="B4" s="24" t="s">
        <v>33</v>
      </c>
      <c r="C4" s="24" t="s">
        <v>222</v>
      </c>
    </row>
    <row r="5" spans="1:3" x14ac:dyDescent="0.25">
      <c r="B5" s="24" t="s">
        <v>27</v>
      </c>
      <c r="C5" s="67" t="s">
        <v>466</v>
      </c>
    </row>
    <row r="6" spans="1:3" x14ac:dyDescent="0.25">
      <c r="B6" s="57" t="s">
        <v>36</v>
      </c>
      <c r="C6" s="57" t="s">
        <v>385</v>
      </c>
    </row>
    <row r="7" spans="1:3" x14ac:dyDescent="0.25">
      <c r="B7" s="67" t="s">
        <v>285</v>
      </c>
      <c r="C7" s="67" t="s">
        <v>492</v>
      </c>
    </row>
    <row r="8" spans="1:3" x14ac:dyDescent="0.25">
      <c r="B8" s="57" t="s">
        <v>227</v>
      </c>
    </row>
    <row r="9" spans="1:3" ht="13" x14ac:dyDescent="0.3">
      <c r="C9" s="56" t="s">
        <v>387</v>
      </c>
    </row>
    <row r="12" spans="1:3" ht="13" x14ac:dyDescent="0.3">
      <c r="C12" s="56" t="s">
        <v>388</v>
      </c>
    </row>
    <row r="15" spans="1:3" ht="13" x14ac:dyDescent="0.3">
      <c r="C15" s="56" t="s">
        <v>386</v>
      </c>
    </row>
  </sheetData>
  <hyperlinks>
    <hyperlink ref="A1" location="Main!A1" display="Main" xr:uid="{53C2CF5B-69F3-4FC3-B3F6-C889667726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74CD-2923-4BC6-8F15-666A644AB7A4}">
  <dimension ref="A1:C8"/>
  <sheetViews>
    <sheetView zoomScale="160" zoomScaleNormal="160" workbookViewId="0"/>
  </sheetViews>
  <sheetFormatPr defaultColWidth="9.1796875" defaultRowHeight="12.5" x14ac:dyDescent="0.25"/>
  <cols>
    <col min="1" max="1" width="5" style="66" bestFit="1" customWidth="1"/>
    <col min="2" max="2" width="10.26953125" style="66" bestFit="1" customWidth="1"/>
    <col min="3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  <c r="C2" s="66" t="s">
        <v>116</v>
      </c>
    </row>
    <row r="3" spans="1:3" x14ac:dyDescent="0.25">
      <c r="B3" s="66" t="s">
        <v>189</v>
      </c>
      <c r="C3" s="66" t="s">
        <v>259</v>
      </c>
    </row>
    <row r="4" spans="1:3" x14ac:dyDescent="0.25">
      <c r="B4" s="66" t="s">
        <v>27</v>
      </c>
      <c r="C4" s="67" t="s">
        <v>487</v>
      </c>
    </row>
    <row r="5" spans="1:3" x14ac:dyDescent="0.25">
      <c r="B5" s="66" t="s">
        <v>33</v>
      </c>
      <c r="C5" s="66" t="s">
        <v>160</v>
      </c>
    </row>
    <row r="6" spans="1:3" x14ac:dyDescent="0.25">
      <c r="B6" s="66" t="s">
        <v>53</v>
      </c>
      <c r="C6" s="66" t="s">
        <v>260</v>
      </c>
    </row>
    <row r="7" spans="1:3" x14ac:dyDescent="0.25">
      <c r="B7" s="67" t="s">
        <v>285</v>
      </c>
      <c r="C7" s="67" t="s">
        <v>491</v>
      </c>
    </row>
    <row r="8" spans="1:3" x14ac:dyDescent="0.25">
      <c r="B8" s="66" t="s">
        <v>36</v>
      </c>
      <c r="C8" s="66" t="s">
        <v>455</v>
      </c>
    </row>
  </sheetData>
  <hyperlinks>
    <hyperlink ref="A1" location="Main!A1" display="Main" xr:uid="{49B6EFCD-6DF2-40B1-987A-47F3EB5C6FD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F759-62D3-40F8-B8FD-ADE9A19D6F1F}">
  <dimension ref="A1:C14"/>
  <sheetViews>
    <sheetView zoomScale="175" zoomScaleNormal="175" workbookViewId="0"/>
  </sheetViews>
  <sheetFormatPr defaultColWidth="9.1796875" defaultRowHeight="12.5" x14ac:dyDescent="0.25"/>
  <cols>
    <col min="1" max="1" width="5.453125" style="67" bestFit="1" customWidth="1"/>
    <col min="2" max="2" width="12.5429687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85" t="s">
        <v>689</v>
      </c>
    </row>
    <row r="3" spans="1:3" x14ac:dyDescent="0.25">
      <c r="B3" s="67" t="s">
        <v>189</v>
      </c>
      <c r="C3" s="67" t="s">
        <v>309</v>
      </c>
    </row>
    <row r="4" spans="1:3" x14ac:dyDescent="0.25">
      <c r="B4" s="67" t="s">
        <v>27</v>
      </c>
      <c r="C4" s="67" t="s">
        <v>497</v>
      </c>
    </row>
    <row r="5" spans="1:3" x14ac:dyDescent="0.25">
      <c r="B5" s="67" t="s">
        <v>462</v>
      </c>
      <c r="C5" s="85" t="s">
        <v>686</v>
      </c>
    </row>
    <row r="6" spans="1:3" x14ac:dyDescent="0.25">
      <c r="B6" s="72" t="s">
        <v>33</v>
      </c>
      <c r="C6" s="72" t="s">
        <v>625</v>
      </c>
    </row>
    <row r="7" spans="1:3" x14ac:dyDescent="0.25">
      <c r="B7" s="72"/>
      <c r="C7" s="72" t="s">
        <v>626</v>
      </c>
    </row>
    <row r="8" spans="1:3" x14ac:dyDescent="0.25">
      <c r="B8" s="67" t="s">
        <v>227</v>
      </c>
    </row>
    <row r="9" spans="1:3" ht="13" x14ac:dyDescent="0.3">
      <c r="C9" s="56" t="s">
        <v>627</v>
      </c>
    </row>
    <row r="14" spans="1:3" ht="13" x14ac:dyDescent="0.3">
      <c r="C14" s="56" t="s">
        <v>496</v>
      </c>
    </row>
  </sheetData>
  <hyperlinks>
    <hyperlink ref="A1" location="Main!A1" display="Main" xr:uid="{10345551-451D-49EF-B8DC-B1884BDC16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E47-3A8E-49F2-9F5B-624F1C573308}">
  <dimension ref="A1:C4"/>
  <sheetViews>
    <sheetView zoomScale="145" zoomScaleNormal="145" workbookViewId="0">
      <selection activeCell="C4" sqref="C4"/>
    </sheetView>
  </sheetViews>
  <sheetFormatPr defaultRowHeight="12.5" x14ac:dyDescent="0.25"/>
  <cols>
    <col min="1" max="1" width="4.6328125" style="85" bestFit="1" customWidth="1"/>
    <col min="2" max="2" width="9.4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688</v>
      </c>
    </row>
    <row r="3" spans="1:3" x14ac:dyDescent="0.25">
      <c r="B3" s="85" t="s">
        <v>189</v>
      </c>
      <c r="C3" s="85" t="s">
        <v>690</v>
      </c>
    </row>
    <row r="4" spans="1:3" x14ac:dyDescent="0.25">
      <c r="B4" s="85" t="s">
        <v>462</v>
      </c>
    </row>
  </sheetData>
  <hyperlinks>
    <hyperlink ref="A1" location="Main!A1" display="Main" xr:uid="{92E8ABCC-2755-4409-BC62-FF4117CDF3B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60" zoomScaleNormal="16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" style="1" bestFit="1" customWidth="1"/>
    <col min="4" max="16384" width="9.1796875" style="1"/>
  </cols>
  <sheetData>
    <row r="1" spans="1:3" x14ac:dyDescent="0.25">
      <c r="A1" s="9" t="s">
        <v>74</v>
      </c>
    </row>
    <row r="2" spans="1:3" x14ac:dyDescent="0.25">
      <c r="B2" s="1" t="s">
        <v>75</v>
      </c>
      <c r="C2" s="67" t="s">
        <v>481</v>
      </c>
    </row>
    <row r="3" spans="1:3" x14ac:dyDescent="0.25">
      <c r="B3" s="1" t="s">
        <v>76</v>
      </c>
      <c r="C3" s="1" t="s">
        <v>77</v>
      </c>
    </row>
    <row r="4" spans="1:3" x14ac:dyDescent="0.25">
      <c r="B4" s="28" t="s">
        <v>225</v>
      </c>
      <c r="C4" s="28" t="s">
        <v>226</v>
      </c>
    </row>
    <row r="5" spans="1:3" x14ac:dyDescent="0.25">
      <c r="B5" s="15" t="s">
        <v>33</v>
      </c>
      <c r="C5" s="67" t="s">
        <v>482</v>
      </c>
    </row>
    <row r="6" spans="1:3" x14ac:dyDescent="0.25">
      <c r="B6" s="28" t="s">
        <v>53</v>
      </c>
      <c r="C6" s="67" t="s">
        <v>480</v>
      </c>
    </row>
    <row r="7" spans="1:3" x14ac:dyDescent="0.25">
      <c r="B7" s="67" t="s">
        <v>285</v>
      </c>
      <c r="C7" s="69" t="s">
        <v>484</v>
      </c>
    </row>
    <row r="8" spans="1:3" x14ac:dyDescent="0.25">
      <c r="B8" s="28" t="s">
        <v>36</v>
      </c>
      <c r="C8" s="67" t="s">
        <v>483</v>
      </c>
    </row>
    <row r="9" spans="1:3" x14ac:dyDescent="0.25">
      <c r="B9" s="28" t="s">
        <v>227</v>
      </c>
    </row>
  </sheetData>
  <hyperlinks>
    <hyperlink ref="A1" location="Main!A1" display="Main" xr:uid="{00000000-0004-0000-0200-000000000000}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CD00-8DD7-4577-927D-C0C84FF45CFB}">
  <dimension ref="A1:C34"/>
  <sheetViews>
    <sheetView zoomScale="115" zoomScaleNormal="115" workbookViewId="0">
      <selection activeCell="C35" sqref="C35"/>
    </sheetView>
  </sheetViews>
  <sheetFormatPr defaultColWidth="9.1796875" defaultRowHeight="12.5" x14ac:dyDescent="0.25"/>
  <cols>
    <col min="1" max="1" width="5.453125" style="85" bestFit="1" customWidth="1"/>
    <col min="2" max="2" width="11.7265625" style="85" bestFit="1" customWidth="1"/>
    <col min="3" max="3" width="18.1796875" style="85" customWidth="1"/>
    <col min="4" max="16384" width="9.179687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198</v>
      </c>
    </row>
    <row r="3" spans="1:3" x14ac:dyDescent="0.25">
      <c r="B3" s="85" t="s">
        <v>189</v>
      </c>
      <c r="C3" s="85" t="s">
        <v>199</v>
      </c>
    </row>
    <row r="4" spans="1:3" x14ac:dyDescent="0.25">
      <c r="B4" s="85" t="s">
        <v>33</v>
      </c>
      <c r="C4" s="85" t="s">
        <v>253</v>
      </c>
    </row>
    <row r="5" spans="1:3" x14ac:dyDescent="0.25">
      <c r="B5" s="85" t="s">
        <v>53</v>
      </c>
      <c r="C5" s="86" t="s">
        <v>642</v>
      </c>
    </row>
    <row r="6" spans="1:3" x14ac:dyDescent="0.25">
      <c r="B6" s="85" t="s">
        <v>27</v>
      </c>
      <c r="C6" s="85" t="s">
        <v>665</v>
      </c>
    </row>
    <row r="7" spans="1:3" x14ac:dyDescent="0.25">
      <c r="C7" s="85" t="s">
        <v>663</v>
      </c>
    </row>
    <row r="8" spans="1:3" x14ac:dyDescent="0.25">
      <c r="C8" s="85" t="s">
        <v>215</v>
      </c>
    </row>
    <row r="9" spans="1:3" x14ac:dyDescent="0.25">
      <c r="C9" s="85" t="s">
        <v>216</v>
      </c>
    </row>
    <row r="10" spans="1:3" x14ac:dyDescent="0.25">
      <c r="C10" s="85" t="s">
        <v>217</v>
      </c>
    </row>
    <row r="11" spans="1:3" x14ac:dyDescent="0.25">
      <c r="B11" s="85" t="s">
        <v>227</v>
      </c>
    </row>
    <row r="12" spans="1:3" ht="13" x14ac:dyDescent="0.3">
      <c r="C12" s="56" t="s">
        <v>635</v>
      </c>
    </row>
    <row r="13" spans="1:3" x14ac:dyDescent="0.25">
      <c r="C13" s="85" t="s">
        <v>637</v>
      </c>
    </row>
    <row r="15" spans="1:3" ht="13" x14ac:dyDescent="0.3">
      <c r="C15" s="56" t="s">
        <v>636</v>
      </c>
    </row>
    <row r="16" spans="1:3" ht="13" x14ac:dyDescent="0.3">
      <c r="C16" s="56"/>
    </row>
    <row r="17" spans="3:3" ht="13" x14ac:dyDescent="0.3">
      <c r="C17" s="56" t="s">
        <v>639</v>
      </c>
    </row>
    <row r="18" spans="3:3" ht="13" x14ac:dyDescent="0.3">
      <c r="C18" s="56"/>
    </row>
    <row r="19" spans="3:3" ht="13" x14ac:dyDescent="0.3">
      <c r="C19" s="56" t="s">
        <v>640</v>
      </c>
    </row>
    <row r="20" spans="3:3" ht="13" x14ac:dyDescent="0.3">
      <c r="C20" s="56" t="s">
        <v>641</v>
      </c>
    </row>
    <row r="21" spans="3:3" ht="13" x14ac:dyDescent="0.3">
      <c r="C21" s="56"/>
    </row>
    <row r="22" spans="3:3" x14ac:dyDescent="0.25">
      <c r="C22" s="85" t="s">
        <v>214</v>
      </c>
    </row>
    <row r="23" spans="3:3" x14ac:dyDescent="0.25">
      <c r="C23" s="85" t="s">
        <v>254</v>
      </c>
    </row>
    <row r="24" spans="3:3" x14ac:dyDescent="0.25">
      <c r="C24" s="85" t="s">
        <v>255</v>
      </c>
    </row>
    <row r="25" spans="3:3" x14ac:dyDescent="0.25">
      <c r="C25" s="85" t="s">
        <v>256</v>
      </c>
    </row>
    <row r="26" spans="3:3" x14ac:dyDescent="0.25">
      <c r="C26" s="85" t="s">
        <v>258</v>
      </c>
    </row>
    <row r="27" spans="3:3" x14ac:dyDescent="0.25">
      <c r="C27" s="85" t="s">
        <v>257</v>
      </c>
    </row>
    <row r="31" spans="3:3" ht="13" x14ac:dyDescent="0.3">
      <c r="C31" s="56" t="s">
        <v>664</v>
      </c>
    </row>
    <row r="33" spans="3:3" ht="13" x14ac:dyDescent="0.3">
      <c r="C33" s="56" t="s">
        <v>666</v>
      </c>
    </row>
    <row r="34" spans="3:3" x14ac:dyDescent="0.25">
      <c r="C34" s="85" t="s">
        <v>667</v>
      </c>
    </row>
  </sheetData>
  <hyperlinks>
    <hyperlink ref="A1" location="Main!A1" display="Main" xr:uid="{639A1BB6-F359-4563-B6A5-07855A7AD956}"/>
  </hyperlink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33F1-59BF-4AC4-9F99-C4F790327B61}">
  <dimension ref="A1:C9"/>
  <sheetViews>
    <sheetView zoomScale="205" zoomScaleNormal="205" workbookViewId="0"/>
  </sheetViews>
  <sheetFormatPr defaultColWidth="9.1796875" defaultRowHeight="12.5" x14ac:dyDescent="0.25"/>
  <cols>
    <col min="1" max="1" width="5" style="38" bestFit="1" customWidth="1"/>
    <col min="2" max="2" width="11" style="38" bestFit="1" customWidth="1"/>
    <col min="3" max="16384" width="9.1796875" style="38"/>
  </cols>
  <sheetData>
    <row r="1" spans="1:3" x14ac:dyDescent="0.25">
      <c r="A1" s="9" t="s">
        <v>74</v>
      </c>
    </row>
    <row r="2" spans="1:3" x14ac:dyDescent="0.25">
      <c r="B2" s="38" t="s">
        <v>146</v>
      </c>
      <c r="C2" s="67" t="s">
        <v>486</v>
      </c>
    </row>
    <row r="3" spans="1:3" x14ac:dyDescent="0.25">
      <c r="B3" s="38" t="s">
        <v>189</v>
      </c>
      <c r="C3" s="67" t="s">
        <v>284</v>
      </c>
    </row>
    <row r="4" spans="1:3" x14ac:dyDescent="0.25">
      <c r="B4" s="38" t="s">
        <v>27</v>
      </c>
      <c r="C4" s="72" t="s">
        <v>613</v>
      </c>
    </row>
    <row r="5" spans="1:3" x14ac:dyDescent="0.25">
      <c r="C5" s="67" t="s">
        <v>485</v>
      </c>
    </row>
    <row r="6" spans="1:3" x14ac:dyDescent="0.25">
      <c r="C6" s="72" t="s">
        <v>614</v>
      </c>
    </row>
    <row r="7" spans="1:3" x14ac:dyDescent="0.25">
      <c r="B7" s="38" t="s">
        <v>285</v>
      </c>
      <c r="C7" s="39">
        <v>33581</v>
      </c>
    </row>
    <row r="8" spans="1:3" x14ac:dyDescent="0.25">
      <c r="B8" s="38" t="s">
        <v>33</v>
      </c>
      <c r="C8" s="38" t="s">
        <v>286</v>
      </c>
    </row>
    <row r="9" spans="1:3" x14ac:dyDescent="0.25">
      <c r="B9" s="38" t="s">
        <v>287</v>
      </c>
      <c r="C9" s="38" t="s">
        <v>288</v>
      </c>
    </row>
  </sheetData>
  <hyperlinks>
    <hyperlink ref="A1" location="Main!A1" display="Main" xr:uid="{BF170476-D8F7-4A0A-AEBC-74460021444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8B5-3D39-447E-8536-C3957701F927}">
  <dimension ref="A1:C21"/>
  <sheetViews>
    <sheetView zoomScale="190" zoomScaleNormal="190" workbookViewId="0"/>
  </sheetViews>
  <sheetFormatPr defaultColWidth="9.1796875" defaultRowHeight="12.5" x14ac:dyDescent="0.25"/>
  <cols>
    <col min="1" max="1" width="5" style="55" bestFit="1" customWidth="1"/>
    <col min="2" max="2" width="13.1796875" style="55" bestFit="1" customWidth="1"/>
    <col min="3" max="16384" width="9.1796875" style="55"/>
  </cols>
  <sheetData>
    <row r="1" spans="1:3" x14ac:dyDescent="0.25">
      <c r="A1" s="9" t="s">
        <v>74</v>
      </c>
    </row>
    <row r="2" spans="1:3" x14ac:dyDescent="0.25">
      <c r="B2" s="55" t="s">
        <v>75</v>
      </c>
      <c r="C2" s="55" t="s">
        <v>323</v>
      </c>
    </row>
    <row r="3" spans="1:3" x14ac:dyDescent="0.25">
      <c r="B3" s="55" t="s">
        <v>76</v>
      </c>
      <c r="C3" s="55" t="s">
        <v>336</v>
      </c>
    </row>
    <row r="4" spans="1:3" x14ac:dyDescent="0.25">
      <c r="B4" s="57" t="s">
        <v>27</v>
      </c>
      <c r="C4" s="66" t="s">
        <v>463</v>
      </c>
    </row>
    <row r="5" spans="1:3" x14ac:dyDescent="0.25">
      <c r="B5" s="66" t="s">
        <v>462</v>
      </c>
      <c r="C5" s="72" t="s">
        <v>550</v>
      </c>
    </row>
    <row r="6" spans="1:3" x14ac:dyDescent="0.25">
      <c r="B6" s="72" t="s">
        <v>36</v>
      </c>
      <c r="C6" s="72" t="s">
        <v>551</v>
      </c>
    </row>
    <row r="7" spans="1:3" x14ac:dyDescent="0.25">
      <c r="B7" s="72" t="s">
        <v>185</v>
      </c>
      <c r="C7" s="72" t="s">
        <v>457</v>
      </c>
    </row>
    <row r="8" spans="1:3" x14ac:dyDescent="0.25">
      <c r="B8" s="72" t="s">
        <v>33</v>
      </c>
      <c r="C8" s="72" t="s">
        <v>552</v>
      </c>
    </row>
    <row r="9" spans="1:3" x14ac:dyDescent="0.25">
      <c r="B9" s="55" t="s">
        <v>227</v>
      </c>
    </row>
    <row r="10" spans="1:3" ht="13" x14ac:dyDescent="0.3">
      <c r="C10" s="56" t="s">
        <v>554</v>
      </c>
    </row>
    <row r="15" spans="1:3" ht="13" x14ac:dyDescent="0.3">
      <c r="C15" s="56" t="s">
        <v>495</v>
      </c>
    </row>
    <row r="16" spans="1:3" x14ac:dyDescent="0.25">
      <c r="C16" s="57" t="s">
        <v>402</v>
      </c>
    </row>
    <row r="19" spans="3:3" ht="13" x14ac:dyDescent="0.3">
      <c r="C19" s="56"/>
    </row>
    <row r="20" spans="3:3" ht="13" x14ac:dyDescent="0.3">
      <c r="C20" s="56" t="s">
        <v>555</v>
      </c>
    </row>
    <row r="21" spans="3:3" x14ac:dyDescent="0.25">
      <c r="C21" s="72" t="s">
        <v>553</v>
      </c>
    </row>
  </sheetData>
  <hyperlinks>
    <hyperlink ref="A1" location="Main!A1" display="Main" xr:uid="{49489035-8860-4805-A8B0-6EEF6CCDBC8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E107-653B-4005-ADF5-8F85E8FF24A4}">
  <dimension ref="A1:C7"/>
  <sheetViews>
    <sheetView zoomScale="175" zoomScaleNormal="175" workbookViewId="0">
      <selection activeCell="C8" sqref="C8"/>
    </sheetView>
  </sheetViews>
  <sheetFormatPr defaultRowHeight="12.5" x14ac:dyDescent="0.25"/>
  <cols>
    <col min="1" max="1" width="4.6328125" style="85" bestFit="1" customWidth="1"/>
    <col min="2" max="2" width="11.269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126</v>
      </c>
    </row>
    <row r="3" spans="1:3" x14ac:dyDescent="0.25">
      <c r="B3" s="85" t="s">
        <v>189</v>
      </c>
      <c r="C3" s="85" t="s">
        <v>673</v>
      </c>
    </row>
    <row r="4" spans="1:3" x14ac:dyDescent="0.25">
      <c r="B4" s="85" t="s">
        <v>27</v>
      </c>
      <c r="C4" s="85" t="s">
        <v>207</v>
      </c>
    </row>
    <row r="5" spans="1:3" x14ac:dyDescent="0.25">
      <c r="B5" s="85" t="s">
        <v>227</v>
      </c>
    </row>
    <row r="6" spans="1:3" ht="13" x14ac:dyDescent="0.3">
      <c r="C6" s="56" t="s">
        <v>684</v>
      </c>
    </row>
    <row r="7" spans="1:3" x14ac:dyDescent="0.25">
      <c r="C7" s="85" t="s">
        <v>685</v>
      </c>
    </row>
  </sheetData>
  <hyperlinks>
    <hyperlink ref="A1" location="Main!A1" display="Main" xr:uid="{D53D1982-F183-4277-8032-01BFC17D59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A845-24AA-42D6-9FF2-93B1FEB52D4D}">
  <dimension ref="A1:D16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2.54296875" style="72" bestFit="1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</row>
    <row r="3" spans="1:4" x14ac:dyDescent="0.25">
      <c r="B3" s="72" t="s">
        <v>189</v>
      </c>
      <c r="C3" s="72" t="s">
        <v>339</v>
      </c>
    </row>
    <row r="4" spans="1:4" x14ac:dyDescent="0.25">
      <c r="B4" s="72" t="s">
        <v>27</v>
      </c>
      <c r="C4" s="72" t="s">
        <v>340</v>
      </c>
    </row>
    <row r="5" spans="1:4" x14ac:dyDescent="0.25">
      <c r="B5" s="72" t="s">
        <v>36</v>
      </c>
      <c r="C5" s="72" t="s">
        <v>563</v>
      </c>
    </row>
    <row r="6" spans="1:4" x14ac:dyDescent="0.25">
      <c r="B6" s="72" t="s">
        <v>33</v>
      </c>
      <c r="C6" s="72" t="s">
        <v>562</v>
      </c>
    </row>
    <row r="7" spans="1:4" x14ac:dyDescent="0.25">
      <c r="B7" s="72" t="s">
        <v>227</v>
      </c>
    </row>
    <row r="8" spans="1:4" ht="13" x14ac:dyDescent="0.3">
      <c r="C8" s="56" t="s">
        <v>557</v>
      </c>
    </row>
    <row r="9" spans="1:4" x14ac:dyDescent="0.25">
      <c r="C9" s="72" t="s">
        <v>558</v>
      </c>
      <c r="D9" s="72">
        <v>-13.5</v>
      </c>
    </row>
    <row r="10" spans="1:4" x14ac:dyDescent="0.25">
      <c r="C10" s="72" t="s">
        <v>559</v>
      </c>
      <c r="D10" s="72">
        <v>-14.7</v>
      </c>
    </row>
    <row r="11" spans="1:4" x14ac:dyDescent="0.25">
      <c r="C11" s="72" t="s">
        <v>560</v>
      </c>
      <c r="D11" s="72">
        <v>-16.5</v>
      </c>
    </row>
    <row r="13" spans="1:4" ht="13" x14ac:dyDescent="0.3">
      <c r="C13" s="56" t="s">
        <v>561</v>
      </c>
    </row>
    <row r="14" spans="1:4" x14ac:dyDescent="0.25">
      <c r="C14" s="72" t="s">
        <v>558</v>
      </c>
      <c r="D14" s="72">
        <v>-16.100000000000001</v>
      </c>
    </row>
    <row r="15" spans="1:4" x14ac:dyDescent="0.25">
      <c r="C15" s="72" t="s">
        <v>559</v>
      </c>
      <c r="D15" s="72">
        <v>-18.5</v>
      </c>
    </row>
    <row r="16" spans="1:4" x14ac:dyDescent="0.25">
      <c r="C16" s="72" t="s">
        <v>560</v>
      </c>
      <c r="D16" s="72">
        <v>-14.2</v>
      </c>
    </row>
  </sheetData>
  <hyperlinks>
    <hyperlink ref="A1" location="Main!A1" display="Main" xr:uid="{BE8D0015-78DE-4799-872E-1EDDBAA6B8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BD72-886F-4F39-AAAC-D8E6C0595ABA}">
  <dimension ref="A1:D28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3.453125" style="72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  <c r="C2" s="72" t="s">
        <v>399</v>
      </c>
    </row>
    <row r="3" spans="1:4" x14ac:dyDescent="0.25">
      <c r="B3" s="72" t="s">
        <v>189</v>
      </c>
      <c r="C3" s="72" t="s">
        <v>400</v>
      </c>
    </row>
    <row r="4" spans="1:4" x14ac:dyDescent="0.25">
      <c r="B4" s="72" t="s">
        <v>27</v>
      </c>
      <c r="C4" s="72" t="s">
        <v>401</v>
      </c>
    </row>
    <row r="5" spans="1:4" x14ac:dyDescent="0.25">
      <c r="B5" s="72" t="s">
        <v>285</v>
      </c>
      <c r="C5" s="72" t="s">
        <v>467</v>
      </c>
    </row>
    <row r="6" spans="1:4" x14ac:dyDescent="0.25">
      <c r="B6" s="72" t="s">
        <v>185</v>
      </c>
      <c r="C6" s="72" t="s">
        <v>468</v>
      </c>
    </row>
    <row r="7" spans="1:4" x14ac:dyDescent="0.25">
      <c r="B7" s="72" t="s">
        <v>469</v>
      </c>
      <c r="C7" s="72" t="s">
        <v>470</v>
      </c>
    </row>
    <row r="8" spans="1:4" x14ac:dyDescent="0.25">
      <c r="B8" s="72" t="s">
        <v>36</v>
      </c>
      <c r="C8" s="72" t="s">
        <v>307</v>
      </c>
    </row>
    <row r="9" spans="1:4" x14ac:dyDescent="0.25">
      <c r="B9" s="72" t="s">
        <v>227</v>
      </c>
    </row>
    <row r="10" spans="1:4" ht="13" x14ac:dyDescent="0.3">
      <c r="C10" s="56" t="s">
        <v>514</v>
      </c>
    </row>
    <row r="11" spans="1:4" x14ac:dyDescent="0.25">
      <c r="C11" s="72" t="s">
        <v>511</v>
      </c>
    </row>
    <row r="12" spans="1:4" x14ac:dyDescent="0.25">
      <c r="C12" s="72" t="s">
        <v>508</v>
      </c>
    </row>
    <row r="13" spans="1:4" ht="13" x14ac:dyDescent="0.3">
      <c r="C13" s="74" t="s">
        <v>509</v>
      </c>
    </row>
    <row r="14" spans="1:4" ht="13" x14ac:dyDescent="0.3">
      <c r="C14" s="74"/>
      <c r="D14" s="72" t="s">
        <v>513</v>
      </c>
    </row>
    <row r="16" spans="1:4" ht="13" x14ac:dyDescent="0.3">
      <c r="C16" s="56" t="s">
        <v>515</v>
      </c>
    </row>
    <row r="17" spans="3:4" x14ac:dyDescent="0.25">
      <c r="C17" s="72" t="s">
        <v>510</v>
      </c>
    </row>
    <row r="19" spans="3:4" ht="13" x14ac:dyDescent="0.3">
      <c r="D19" s="56" t="s">
        <v>526</v>
      </c>
    </row>
    <row r="20" spans="3:4" x14ac:dyDescent="0.25">
      <c r="D20" s="72" t="s">
        <v>525</v>
      </c>
    </row>
    <row r="22" spans="3:4" ht="13" x14ac:dyDescent="0.3">
      <c r="C22" s="56" t="s">
        <v>528</v>
      </c>
    </row>
    <row r="23" spans="3:4" x14ac:dyDescent="0.25">
      <c r="C23" s="72" t="s">
        <v>527</v>
      </c>
    </row>
    <row r="25" spans="3:4" x14ac:dyDescent="0.25">
      <c r="C25" s="72" t="s">
        <v>529</v>
      </c>
    </row>
    <row r="26" spans="3:4" x14ac:dyDescent="0.25">
      <c r="C26" s="72" t="s">
        <v>530</v>
      </c>
    </row>
    <row r="27" spans="3:4" x14ac:dyDescent="0.25">
      <c r="C27" s="72" t="s">
        <v>531</v>
      </c>
    </row>
    <row r="28" spans="3:4" x14ac:dyDescent="0.25">
      <c r="C28" s="72" t="s">
        <v>532</v>
      </c>
    </row>
  </sheetData>
  <hyperlinks>
    <hyperlink ref="A1" location="Main!A1" display="Main" xr:uid="{C8688A8B-4341-4B3B-A91A-5830382CFC1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9E72-1E8B-44AD-BF85-D829D90522A6}">
  <dimension ref="A1:C6"/>
  <sheetViews>
    <sheetView zoomScale="160" zoomScaleNormal="160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479</v>
      </c>
    </row>
    <row r="3" spans="1:3" x14ac:dyDescent="0.25">
      <c r="B3" s="67" t="s">
        <v>189</v>
      </c>
      <c r="C3" s="67" t="s">
        <v>475</v>
      </c>
    </row>
    <row r="4" spans="1:3" x14ac:dyDescent="0.25">
      <c r="B4" s="67" t="s">
        <v>185</v>
      </c>
      <c r="C4" s="67" t="s">
        <v>476</v>
      </c>
    </row>
    <row r="5" spans="1:3" x14ac:dyDescent="0.25">
      <c r="B5" s="67" t="s">
        <v>27</v>
      </c>
      <c r="C5" s="67" t="s">
        <v>477</v>
      </c>
    </row>
    <row r="6" spans="1:3" x14ac:dyDescent="0.25">
      <c r="B6" s="72" t="s">
        <v>462</v>
      </c>
      <c r="C6" s="72" t="s">
        <v>616</v>
      </c>
    </row>
  </sheetData>
  <hyperlinks>
    <hyperlink ref="A1" location="Main!A1" display="Main" xr:uid="{AFA0DE96-1F4C-4133-B2FB-E11A99E6AE8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46BF-6963-4AB4-9D1A-BCACB1FD8E6B}">
  <dimension ref="A1:C17"/>
  <sheetViews>
    <sheetView zoomScale="205" zoomScaleNormal="205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117</v>
      </c>
    </row>
    <row r="3" spans="1:3" x14ac:dyDescent="0.25">
      <c r="B3" s="67" t="s">
        <v>189</v>
      </c>
      <c r="C3" s="67" t="s">
        <v>488</v>
      </c>
    </row>
    <row r="4" spans="1:3" x14ac:dyDescent="0.25">
      <c r="B4" s="67" t="s">
        <v>27</v>
      </c>
      <c r="C4" s="67" t="s">
        <v>494</v>
      </c>
    </row>
    <row r="5" spans="1:3" x14ac:dyDescent="0.25">
      <c r="B5" s="67" t="s">
        <v>33</v>
      </c>
      <c r="C5" s="67" t="s">
        <v>489</v>
      </c>
    </row>
    <row r="6" spans="1:3" x14ac:dyDescent="0.25">
      <c r="B6" s="67" t="s">
        <v>36</v>
      </c>
      <c r="C6" s="67" t="s">
        <v>165</v>
      </c>
    </row>
    <row r="7" spans="1:3" x14ac:dyDescent="0.25">
      <c r="B7" s="67" t="s">
        <v>185</v>
      </c>
      <c r="C7" s="67" t="s">
        <v>490</v>
      </c>
    </row>
    <row r="8" spans="1:3" x14ac:dyDescent="0.25">
      <c r="B8" s="67" t="s">
        <v>462</v>
      </c>
      <c r="C8" s="67" t="s">
        <v>493</v>
      </c>
    </row>
    <row r="9" spans="1:3" x14ac:dyDescent="0.25">
      <c r="B9" s="67" t="s">
        <v>227</v>
      </c>
    </row>
    <row r="11" spans="1:3" ht="13" x14ac:dyDescent="0.3">
      <c r="C11" s="56" t="s">
        <v>677</v>
      </c>
    </row>
    <row r="12" spans="1:3" x14ac:dyDescent="0.25">
      <c r="C12" s="85" t="s">
        <v>678</v>
      </c>
    </row>
    <row r="16" spans="1:3" ht="13" x14ac:dyDescent="0.3">
      <c r="C16" s="56" t="s">
        <v>691</v>
      </c>
    </row>
    <row r="17" spans="3:3" x14ac:dyDescent="0.25">
      <c r="C17" s="85" t="s">
        <v>692</v>
      </c>
    </row>
  </sheetData>
  <hyperlinks>
    <hyperlink ref="A1" location="Main!A1" display="Main" xr:uid="{FA8AFC41-7066-43F5-8BBB-F97DB010351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C602-2067-485A-A030-D80CE1189A34}">
  <dimension ref="A1:C23"/>
  <sheetViews>
    <sheetView zoomScale="190" zoomScaleNormal="190" workbookViewId="0"/>
  </sheetViews>
  <sheetFormatPr defaultColWidth="9.1796875" defaultRowHeight="12.5" x14ac:dyDescent="0.25"/>
  <cols>
    <col min="1" max="1" width="5.453125" style="66" bestFit="1" customWidth="1"/>
    <col min="2" max="2" width="13.453125" style="66" customWidth="1"/>
    <col min="3" max="3" width="21.453125" style="66" customWidth="1"/>
    <col min="4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</row>
    <row r="3" spans="1:3" x14ac:dyDescent="0.25">
      <c r="B3" s="66" t="s">
        <v>189</v>
      </c>
      <c r="C3" s="66" t="s">
        <v>458</v>
      </c>
    </row>
    <row r="4" spans="1:3" x14ac:dyDescent="0.25">
      <c r="B4" s="66" t="s">
        <v>27</v>
      </c>
      <c r="C4" s="66" t="s">
        <v>464</v>
      </c>
    </row>
    <row r="5" spans="1:3" x14ac:dyDescent="0.25">
      <c r="B5" s="72" t="s">
        <v>469</v>
      </c>
      <c r="C5" s="72" t="s">
        <v>518</v>
      </c>
    </row>
    <row r="6" spans="1:3" x14ac:dyDescent="0.25">
      <c r="B6" s="72" t="s">
        <v>462</v>
      </c>
      <c r="C6" s="72" t="s">
        <v>521</v>
      </c>
    </row>
    <row r="7" spans="1:3" x14ac:dyDescent="0.25">
      <c r="B7" s="72" t="s">
        <v>287</v>
      </c>
      <c r="C7" s="72" t="s">
        <v>519</v>
      </c>
    </row>
    <row r="8" spans="1:3" x14ac:dyDescent="0.25">
      <c r="B8" s="66" t="s">
        <v>227</v>
      </c>
    </row>
    <row r="9" spans="1:3" ht="13" x14ac:dyDescent="0.3">
      <c r="C9" s="56" t="s">
        <v>630</v>
      </c>
    </row>
    <row r="10" spans="1:3" x14ac:dyDescent="0.25">
      <c r="C10" s="66" t="s">
        <v>465</v>
      </c>
    </row>
    <row r="11" spans="1:3" x14ac:dyDescent="0.25">
      <c r="C11" s="72" t="s">
        <v>632</v>
      </c>
    </row>
    <row r="13" spans="1:3" ht="13" x14ac:dyDescent="0.3">
      <c r="C13" s="56" t="s">
        <v>631</v>
      </c>
    </row>
    <row r="14" spans="1:3" x14ac:dyDescent="0.25">
      <c r="C14" s="72" t="s">
        <v>516</v>
      </c>
    </row>
    <row r="15" spans="1:3" x14ac:dyDescent="0.25">
      <c r="C15" s="72" t="s">
        <v>517</v>
      </c>
    </row>
    <row r="18" spans="3:3" ht="13" x14ac:dyDescent="0.3">
      <c r="C18" s="56" t="s">
        <v>633</v>
      </c>
    </row>
    <row r="19" spans="3:3" ht="13" x14ac:dyDescent="0.3">
      <c r="C19" s="56"/>
    </row>
    <row r="20" spans="3:3" ht="13" x14ac:dyDescent="0.3">
      <c r="C20" s="56"/>
    </row>
    <row r="21" spans="3:3" ht="13" x14ac:dyDescent="0.3">
      <c r="C21" s="56"/>
    </row>
    <row r="22" spans="3:3" ht="13" x14ac:dyDescent="0.3">
      <c r="C22" s="56"/>
    </row>
    <row r="23" spans="3:3" x14ac:dyDescent="0.25">
      <c r="C23" s="72" t="s">
        <v>520</v>
      </c>
    </row>
  </sheetData>
  <hyperlinks>
    <hyperlink ref="A1" location="Main!A1" display="Main" xr:uid="{C012461D-5937-4998-A964-450BE15264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F929-A86A-48A7-B6C9-926C6C311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Main</vt:lpstr>
      <vt:lpstr>Model</vt:lpstr>
      <vt:lpstr>Skyrizi</vt:lpstr>
      <vt:lpstr>Imbruvica</vt:lpstr>
      <vt:lpstr>Emrelis</vt:lpstr>
      <vt:lpstr>ABBV-400</vt:lpstr>
      <vt:lpstr>Humira</vt:lpstr>
      <vt:lpstr>Rinvoq</vt:lpstr>
      <vt:lpstr>Botox</vt:lpstr>
      <vt:lpstr>Elahere</vt:lpstr>
      <vt:lpstr>Qulipta</vt:lpstr>
      <vt:lpstr>emraclidine</vt:lpstr>
      <vt:lpstr>Epkinly</vt:lpstr>
      <vt:lpstr>Vyalev</vt:lpstr>
      <vt:lpstr>Venclexta</vt:lpstr>
      <vt:lpstr>tavapadon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2013-05-03T13:21:21Z</dcterms:created>
  <dcterms:modified xsi:type="dcterms:W3CDTF">2026-04-03T02:32:56Z</dcterms:modified>
</cp:coreProperties>
</file>