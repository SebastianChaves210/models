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698A2266-C2BB-4E41-8AF9-267B4BDCF142}" xr6:coauthVersionLast="47" xr6:coauthVersionMax="47" xr10:uidLastSave="{00000000-0000-0000-0000-000000000000}"/>
  <bookViews>
    <workbookView xWindow="50300" yWindow="3270" windowWidth="23470" windowHeight="16810" activeTab="1" xr2:uid="{C836A3F2-7733-4E72-A982-21DBE906CFC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2" l="1"/>
  <c r="AA10" i="2"/>
  <c r="Z86" i="2"/>
  <c r="Y86" i="2"/>
  <c r="X86" i="2"/>
  <c r="AA82" i="2"/>
  <c r="Z82" i="2"/>
  <c r="Y82" i="2"/>
  <c r="Z85" i="2"/>
  <c r="Y85" i="2"/>
  <c r="K82" i="2"/>
  <c r="Z97" i="2"/>
  <c r="AA97" i="2" s="1"/>
  <c r="X99" i="2"/>
  <c r="Y96" i="2"/>
  <c r="Z96" i="2" s="1"/>
  <c r="Y15" i="2"/>
  <c r="Z15" i="2" s="1"/>
  <c r="Y12" i="2"/>
  <c r="Z12" i="2" s="1"/>
  <c r="AA12" i="2" s="1"/>
  <c r="X15" i="2"/>
  <c r="X12" i="2"/>
  <c r="X11" i="2"/>
  <c r="X13" i="2" s="1"/>
  <c r="X8" i="2"/>
  <c r="X97" i="2"/>
  <c r="X96" i="2"/>
  <c r="X95" i="2"/>
  <c r="Y95" i="2" s="1"/>
  <c r="Z95" i="2" s="1"/>
  <c r="AA95" i="2" s="1"/>
  <c r="X94" i="2"/>
  <c r="Y94" i="2" s="1"/>
  <c r="Z94" i="2" s="1"/>
  <c r="AA94" i="2" s="1"/>
  <c r="X93" i="2"/>
  <c r="Y93" i="2" s="1"/>
  <c r="Z93" i="2" s="1"/>
  <c r="AA93" i="2" s="1"/>
  <c r="X92" i="2"/>
  <c r="Y92" i="2" s="1"/>
  <c r="Z92" i="2" s="1"/>
  <c r="X91" i="2"/>
  <c r="Y91" i="2" s="1"/>
  <c r="Z91" i="2" s="1"/>
  <c r="AA91" i="2" s="1"/>
  <c r="X90" i="2"/>
  <c r="Y90" i="2" s="1"/>
  <c r="Z90" i="2" s="1"/>
  <c r="AA90" i="2" s="1"/>
  <c r="X89" i="2"/>
  <c r="Y89" i="2" s="1"/>
  <c r="N48" i="2"/>
  <c r="N47" i="2"/>
  <c r="N46" i="2"/>
  <c r="N45" i="2"/>
  <c r="N44" i="2"/>
  <c r="N40" i="2"/>
  <c r="N39" i="2"/>
  <c r="N33" i="2"/>
  <c r="N34" i="2"/>
  <c r="N36" i="2"/>
  <c r="N32" i="2"/>
  <c r="N31" i="2"/>
  <c r="N12" i="2"/>
  <c r="O12" i="2" s="1"/>
  <c r="P12" i="2" s="1"/>
  <c r="Q12" i="2" s="1"/>
  <c r="R12" i="2" s="1"/>
  <c r="N11" i="2"/>
  <c r="N13" i="2" s="1"/>
  <c r="N10" i="2"/>
  <c r="N27" i="2" s="1"/>
  <c r="K9" i="2"/>
  <c r="K76" i="2"/>
  <c r="L76" i="2" s="1"/>
  <c r="M76" i="2" s="1"/>
  <c r="L77" i="2"/>
  <c r="M77" i="2" s="1"/>
  <c r="L74" i="2"/>
  <c r="M74" i="2" s="1"/>
  <c r="L68" i="2"/>
  <c r="M68" i="2" s="1"/>
  <c r="M82" i="2" s="1"/>
  <c r="N82" i="2" s="1"/>
  <c r="L70" i="2"/>
  <c r="M70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K75" i="2"/>
  <c r="L75" i="2" s="1"/>
  <c r="M75" i="2" s="1"/>
  <c r="K73" i="2"/>
  <c r="K69" i="2"/>
  <c r="K71" i="2" s="1"/>
  <c r="K66" i="2"/>
  <c r="K43" i="2"/>
  <c r="K48" i="2"/>
  <c r="K42" i="2"/>
  <c r="K41" i="2"/>
  <c r="K30" i="2"/>
  <c r="K35" i="2"/>
  <c r="L54" i="2"/>
  <c r="M54" i="2" s="1"/>
  <c r="L53" i="2"/>
  <c r="M53" i="2" s="1"/>
  <c r="L52" i="2"/>
  <c r="M52" i="2" s="1"/>
  <c r="L48" i="2"/>
  <c r="L43" i="2"/>
  <c r="L42" i="2"/>
  <c r="L41" i="2"/>
  <c r="L30" i="2"/>
  <c r="L35" i="2"/>
  <c r="O6" i="2"/>
  <c r="O10" i="2" s="1"/>
  <c r="N20" i="2"/>
  <c r="O20" i="2" s="1"/>
  <c r="P20" i="2" s="1"/>
  <c r="Q20" i="2" s="1"/>
  <c r="R20" i="2" s="1"/>
  <c r="M35" i="2"/>
  <c r="N35" i="2" s="1"/>
  <c r="M43" i="2"/>
  <c r="N43" i="2" s="1"/>
  <c r="M42" i="2"/>
  <c r="N42" i="2" s="1"/>
  <c r="M41" i="2"/>
  <c r="N41" i="2" s="1"/>
  <c r="M30" i="2"/>
  <c r="J13" i="2"/>
  <c r="I13" i="2"/>
  <c r="I10" i="2"/>
  <c r="I26" i="2" s="1"/>
  <c r="M13" i="2"/>
  <c r="K7" i="2"/>
  <c r="K10" i="2" s="1"/>
  <c r="X10" i="2" s="1"/>
  <c r="X26" i="2" s="1"/>
  <c r="L7" i="2"/>
  <c r="L10" i="2" s="1"/>
  <c r="L26" i="2" s="1"/>
  <c r="M10" i="2"/>
  <c r="M27" i="2" s="1"/>
  <c r="H81" i="2"/>
  <c r="H82" i="2"/>
  <c r="L10" i="1"/>
  <c r="L13" i="2"/>
  <c r="M25" i="2"/>
  <c r="L25" i="2"/>
  <c r="H26" i="2"/>
  <c r="G25" i="2"/>
  <c r="I25" i="2"/>
  <c r="H25" i="2"/>
  <c r="F6" i="2"/>
  <c r="K25" i="2"/>
  <c r="X6" i="2"/>
  <c r="X2" i="2"/>
  <c r="V10" i="2"/>
  <c r="U10" i="2"/>
  <c r="V13" i="2"/>
  <c r="U13" i="2"/>
  <c r="W13" i="2"/>
  <c r="W7" i="2"/>
  <c r="W10" i="2" s="1"/>
  <c r="W27" i="2" s="1"/>
  <c r="Z89" i="2" l="1"/>
  <c r="Y99" i="2"/>
  <c r="X14" i="2"/>
  <c r="X20" i="2"/>
  <c r="Y20" i="2" s="1"/>
  <c r="Z20" i="2" s="1"/>
  <c r="AA20" i="2" s="1"/>
  <c r="W26" i="2"/>
  <c r="X7" i="2"/>
  <c r="L82" i="2"/>
  <c r="X82" i="2" s="1"/>
  <c r="X16" i="2"/>
  <c r="X18" i="2" s="1"/>
  <c r="X19" i="2" s="1"/>
  <c r="K27" i="2"/>
  <c r="N49" i="2" a="1"/>
  <c r="N49" i="2" s="1"/>
  <c r="K78" i="2"/>
  <c r="O11" i="2"/>
  <c r="M66" i="2"/>
  <c r="N26" i="2"/>
  <c r="L9" i="2"/>
  <c r="L73" i="2"/>
  <c r="L49" i="2" a="1"/>
  <c r="L49" i="2" s="1"/>
  <c r="K79" i="2"/>
  <c r="L69" i="2"/>
  <c r="L66" i="2"/>
  <c r="L37" i="2"/>
  <c r="K49" i="2" a="1"/>
  <c r="K49" i="2" s="1"/>
  <c r="K37" i="2"/>
  <c r="M37" i="2"/>
  <c r="N14" i="2"/>
  <c r="N16" i="2" s="1"/>
  <c r="N18" i="2" s="1"/>
  <c r="P6" i="2"/>
  <c r="Y6" i="2" s="1"/>
  <c r="Z6" i="2" s="1"/>
  <c r="O13" i="2"/>
  <c r="O14" i="2" s="1"/>
  <c r="O16" i="2" s="1"/>
  <c r="O18" i="2" s="1"/>
  <c r="O19" i="2" s="1"/>
  <c r="M49" i="2" a="1"/>
  <c r="M49" i="2" s="1"/>
  <c r="M14" i="2"/>
  <c r="M16" i="2" s="1"/>
  <c r="M18" i="2" s="1"/>
  <c r="M26" i="2"/>
  <c r="I14" i="2"/>
  <c r="I16" i="2" s="1"/>
  <c r="I18" i="2" s="1"/>
  <c r="I19" i="2" s="1"/>
  <c r="H83" i="2"/>
  <c r="L14" i="2"/>
  <c r="U14" i="2"/>
  <c r="U16" i="2" s="1"/>
  <c r="U18" i="2" s="1"/>
  <c r="V14" i="2"/>
  <c r="V16" i="2" s="1"/>
  <c r="V18" i="2" s="1"/>
  <c r="W14" i="2"/>
  <c r="W16" i="2" s="1"/>
  <c r="W18" i="2" s="1"/>
  <c r="G83" i="2"/>
  <c r="K13" i="2"/>
  <c r="G13" i="2"/>
  <c r="G7" i="2"/>
  <c r="G10" i="2" s="1"/>
  <c r="G26" i="2" s="1"/>
  <c r="K26" i="2"/>
  <c r="L4" i="1"/>
  <c r="L7" i="1" s="1"/>
  <c r="L27" i="2" l="1"/>
  <c r="X9" i="2"/>
  <c r="X27" i="2" s="1"/>
  <c r="P11" i="2"/>
  <c r="Q11" i="2" s="1"/>
  <c r="R11" i="2" s="1"/>
  <c r="Y11" i="2"/>
  <c r="AA6" i="2"/>
  <c r="Z10" i="2"/>
  <c r="AA89" i="2"/>
  <c r="AA99" i="2" s="1"/>
  <c r="Z99" i="2"/>
  <c r="N19" i="2"/>
  <c r="N30" i="2"/>
  <c r="M51" i="2"/>
  <c r="M22" i="2"/>
  <c r="M23" i="2" s="1"/>
  <c r="L71" i="2"/>
  <c r="M69" i="2"/>
  <c r="M71" i="2" s="1"/>
  <c r="L78" i="2"/>
  <c r="M73" i="2"/>
  <c r="M78" i="2" s="1"/>
  <c r="M79" i="2" s="1"/>
  <c r="L79" i="2"/>
  <c r="M19" i="2"/>
  <c r="P10" i="2"/>
  <c r="L16" i="2"/>
  <c r="L18" i="2" s="1"/>
  <c r="L22" i="2" s="1"/>
  <c r="L23" i="2" s="1"/>
  <c r="G14" i="2"/>
  <c r="G16" i="2" s="1"/>
  <c r="G18" i="2" s="1"/>
  <c r="G19" i="2" s="1"/>
  <c r="K14" i="2"/>
  <c r="K16" i="2" s="1"/>
  <c r="K18" i="2" s="1"/>
  <c r="K22" i="2" s="1"/>
  <c r="K23" i="2" s="1"/>
  <c r="N37" i="2" l="1"/>
  <c r="N87" i="2"/>
  <c r="X87" i="2" s="1"/>
  <c r="Z27" i="2"/>
  <c r="Z26" i="2"/>
  <c r="AA26" i="2"/>
  <c r="AA27" i="2"/>
  <c r="Y13" i="2"/>
  <c r="Z11" i="2"/>
  <c r="P13" i="2"/>
  <c r="P14" i="2" s="1"/>
  <c r="P16" i="2" s="1"/>
  <c r="P18" i="2" s="1"/>
  <c r="P19" i="2" s="1"/>
  <c r="K19" i="2"/>
  <c r="K51" i="2"/>
  <c r="L19" i="2"/>
  <c r="L51" i="2"/>
  <c r="Q10" i="2"/>
  <c r="Y10" i="2" s="1"/>
  <c r="R10" i="2"/>
  <c r="R13" i="2"/>
  <c r="Q13" i="2"/>
  <c r="J6" i="2"/>
  <c r="J10" i="2" s="1"/>
  <c r="J14" i="2" s="1"/>
  <c r="J16" i="2" s="1"/>
  <c r="J18" i="2" s="1"/>
  <c r="J19" i="2" s="1"/>
  <c r="Y27" i="2" l="1"/>
  <c r="Y26" i="2"/>
  <c r="AA11" i="2"/>
  <c r="AA13" i="2" s="1"/>
  <c r="AA14" i="2" s="1"/>
  <c r="AA16" i="2" s="1"/>
  <c r="AA18" i="2" s="1"/>
  <c r="AA19" i="2" s="1"/>
  <c r="Z13" i="2"/>
  <c r="Z14" i="2" s="1"/>
  <c r="Z16" i="2" s="1"/>
  <c r="Z18" i="2" s="1"/>
  <c r="Z19" i="2" s="1"/>
  <c r="Y14" i="2"/>
  <c r="Y16" i="2" s="1"/>
  <c r="Y18" i="2" s="1"/>
  <c r="Y19" i="2" s="1"/>
  <c r="Y87" i="2"/>
  <c r="Q14" i="2"/>
  <c r="Q16" i="2" s="1"/>
  <c r="Q18" i="2" s="1"/>
  <c r="Q19" i="2" s="1"/>
  <c r="R14" i="2"/>
  <c r="R16" i="2" s="1"/>
  <c r="R18" i="2" s="1"/>
  <c r="R19" i="2" s="1"/>
  <c r="N25" i="2"/>
  <c r="J26" i="2"/>
  <c r="J25" i="2"/>
  <c r="Z87" i="2" l="1"/>
  <c r="AA87" i="2" l="1"/>
  <c r="AA86" i="2" s="1"/>
  <c r="AA85" i="2" s="1"/>
</calcChain>
</file>

<file path=xl/sharedStrings.xml><?xml version="1.0" encoding="utf-8"?>
<sst xmlns="http://schemas.openxmlformats.org/spreadsheetml/2006/main" count="115" uniqueCount="93">
  <si>
    <t>Price</t>
  </si>
  <si>
    <t>Shares</t>
  </si>
  <si>
    <t>MC</t>
  </si>
  <si>
    <t>Cash</t>
  </si>
  <si>
    <t>Debt</t>
  </si>
  <si>
    <t>EV</t>
  </si>
  <si>
    <t>Q125</t>
  </si>
  <si>
    <t>PP&amp;E</t>
  </si>
  <si>
    <t>Main</t>
  </si>
  <si>
    <t>Revenue</t>
  </si>
  <si>
    <t>Q124</t>
  </si>
  <si>
    <t>Q224</t>
  </si>
  <si>
    <t>Q324</t>
  </si>
  <si>
    <t>Q424</t>
  </si>
  <si>
    <t>Q225</t>
  </si>
  <si>
    <t>Q325</t>
  </si>
  <si>
    <t>Q425</t>
  </si>
  <si>
    <t>Gross Profit</t>
  </si>
  <si>
    <t>COGS</t>
  </si>
  <si>
    <t>S&amp;M</t>
  </si>
  <si>
    <t>G&amp;A</t>
  </si>
  <si>
    <t>Operating Expenses</t>
  </si>
  <si>
    <t>Operating Income</t>
  </si>
  <si>
    <t>Pretax Income</t>
  </si>
  <si>
    <t>Interest Expense</t>
  </si>
  <si>
    <t>Taxes</t>
  </si>
  <si>
    <t>Net Income</t>
  </si>
  <si>
    <t>EPS</t>
  </si>
  <si>
    <t>CFFO</t>
  </si>
  <si>
    <t>CX</t>
  </si>
  <si>
    <t>FCF</t>
  </si>
  <si>
    <t>Revenue y/y</t>
  </si>
  <si>
    <t>Q123</t>
  </si>
  <si>
    <t>Q223</t>
  </si>
  <si>
    <t>Q323</t>
  </si>
  <si>
    <t>Q423</t>
  </si>
  <si>
    <t>Gross Margin</t>
  </si>
  <si>
    <t>Revenue Backlog</t>
  </si>
  <si>
    <t>Technology &amp; Infrastructure</t>
  </si>
  <si>
    <t>Q126</t>
  </si>
  <si>
    <t>Q226</t>
  </si>
  <si>
    <t>Q326</t>
  </si>
  <si>
    <t>Q426</t>
  </si>
  <si>
    <t>Prepaids</t>
  </si>
  <si>
    <t>AR</t>
  </si>
  <si>
    <t>Lease</t>
  </si>
  <si>
    <t>Goodwill</t>
  </si>
  <si>
    <t>ONCA</t>
  </si>
  <si>
    <t>AP</t>
  </si>
  <si>
    <t>Accrued</t>
  </si>
  <si>
    <t>DR</t>
  </si>
  <si>
    <t>Assets</t>
  </si>
  <si>
    <t>SE</t>
  </si>
  <si>
    <t>L+SE</t>
  </si>
  <si>
    <t>ONCL</t>
  </si>
  <si>
    <t>DT</t>
  </si>
  <si>
    <t>Derivatives</t>
  </si>
  <si>
    <t>OCL</t>
  </si>
  <si>
    <t>D&amp;A</t>
  </si>
  <si>
    <t>Gross Margin W/ D&amp;A</t>
  </si>
  <si>
    <t>TL</t>
  </si>
  <si>
    <t>6/1/2030 9.25%</t>
  </si>
  <si>
    <t>2/1/2031 9%</t>
  </si>
  <si>
    <t>6/1/2030 9.25% $2000m</t>
  </si>
  <si>
    <t>2/1/2031 9% $1750m</t>
  </si>
  <si>
    <t>Model NI</t>
  </si>
  <si>
    <t>Reported NI</t>
  </si>
  <si>
    <t>Non-cash Lease Expense</t>
  </si>
  <si>
    <t>Net Cash</t>
  </si>
  <si>
    <t>Amortization of DD</t>
  </si>
  <si>
    <t>FV adjustments</t>
  </si>
  <si>
    <t>SBC</t>
  </si>
  <si>
    <t>ONC</t>
  </si>
  <si>
    <t>CapEx</t>
  </si>
  <si>
    <t>Redemption</t>
  </si>
  <si>
    <t>ESOP</t>
  </si>
  <si>
    <t>Investments</t>
  </si>
  <si>
    <t>CFFI</t>
  </si>
  <si>
    <t>IPO</t>
  </si>
  <si>
    <t>Other</t>
  </si>
  <si>
    <t>CFFF</t>
  </si>
  <si>
    <t>CIC</t>
  </si>
  <si>
    <t>Acquisition</t>
  </si>
  <si>
    <t>NI+D&amp;A</t>
  </si>
  <si>
    <t>NI+SBC</t>
  </si>
  <si>
    <t xml:space="preserve">5/1/2028 Revolver 7% </t>
  </si>
  <si>
    <t>8/1/2030 DDTL 3.0 9%</t>
  </si>
  <si>
    <t>9/1/2030 DDTL 2.1 9%</t>
  </si>
  <si>
    <t>8/1/2030 DDTL 2.0 10%</t>
  </si>
  <si>
    <t>3/1/2028 DDTL 1.0 15%</t>
  </si>
  <si>
    <t>1/1/2029 $270m 12%</t>
  </si>
  <si>
    <t>OEM 3/2026-8/2028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</si>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</sst>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48172</xdr:colOff>
      <xdr:row>0</xdr:row>
      <xdr:rowOff>13138</xdr:rowOff>
    </xdr:from>
    <xdr:to>
      <xdr:col>13</xdr:col>
      <xdr:colOff>48172</xdr:colOff>
      <xdr:row>101</xdr:row>
      <xdr:rowOff>96345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0A0BF18-5BB7-7C8D-F2C3-AB096978AE3B}"/>
            </a:ext>
          </a:extLst>
        </xdr:cNvPr>
        <xdr:cNvCxnSpPr/>
      </xdr:nvCxnSpPr>
      <xdr:spPr>
        <a:xfrm>
          <a:off x="8276896" y="13138"/>
          <a:ext cx="0" cy="75017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20053</xdr:colOff>
      <xdr:row>0</xdr:row>
      <xdr:rowOff>50132</xdr:rowOff>
    </xdr:from>
    <xdr:to>
      <xdr:col>23</xdr:col>
      <xdr:colOff>20053</xdr:colOff>
      <xdr:row>102</xdr:row>
      <xdr:rowOff>76868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8D9157E-7B5C-208D-933A-FE0FF4C6C001}"/>
            </a:ext>
          </a:extLst>
        </xdr:cNvPr>
        <xdr:cNvCxnSpPr/>
      </xdr:nvCxnSpPr>
      <xdr:spPr>
        <a:xfrm>
          <a:off x="14628395" y="50132"/>
          <a:ext cx="0" cy="162459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D432-C28D-479E-86E5-1BBBA11DDDBD}">
  <dimension ref="J2:M19"/>
  <sheetViews>
    <sheetView topLeftCell="E1" zoomScale="175" zoomScaleNormal="175" workbookViewId="0">
      <selection activeCell="L6" sqref="L6"/>
    </sheetView>
  </sheetViews>
  <sheetFormatPr defaultRowHeight="12.5" x14ac:dyDescent="0.25"/>
  <cols>
    <col min="1" max="8" width="8.7265625" style="1"/>
    <col min="9" max="9" width="3" style="1" customWidth="1"/>
    <col min="10" max="10" width="14" style="1" customWidth="1"/>
    <col min="11" max="16384" width="8.7265625" style="1"/>
  </cols>
  <sheetData>
    <row r="2" spans="10:13" x14ac:dyDescent="0.25">
      <c r="K2" s="1" t="s">
        <v>0</v>
      </c>
      <c r="L2" s="2">
        <v>77</v>
      </c>
    </row>
    <row r="3" spans="10:13" x14ac:dyDescent="0.25">
      <c r="K3" s="1" t="s">
        <v>1</v>
      </c>
      <c r="L3" s="3">
        <v>498</v>
      </c>
      <c r="M3" s="4" t="s">
        <v>15</v>
      </c>
    </row>
    <row r="4" spans="10:13" x14ac:dyDescent="0.25">
      <c r="K4" s="1" t="s">
        <v>2</v>
      </c>
      <c r="L4" s="3">
        <f>+L2*L3</f>
        <v>38346</v>
      </c>
    </row>
    <row r="5" spans="10:13" x14ac:dyDescent="0.25">
      <c r="K5" s="1" t="s">
        <v>3</v>
      </c>
      <c r="L5" s="3">
        <v>3016</v>
      </c>
      <c r="M5" s="4" t="s">
        <v>15</v>
      </c>
    </row>
    <row r="6" spans="10:13" x14ac:dyDescent="0.25">
      <c r="K6" s="1" t="s">
        <v>4</v>
      </c>
      <c r="L6" s="3">
        <v>14035</v>
      </c>
      <c r="M6" s="4" t="s">
        <v>15</v>
      </c>
    </row>
    <row r="7" spans="10:13" x14ac:dyDescent="0.25">
      <c r="K7" s="1" t="s">
        <v>5</v>
      </c>
      <c r="L7" s="3">
        <f>+L4-L5+L6</f>
        <v>49365</v>
      </c>
    </row>
    <row r="9" spans="10:13" ht="13" x14ac:dyDescent="0.3">
      <c r="K9" s="10" t="s">
        <v>7</v>
      </c>
      <c r="L9" s="7">
        <v>16631.509999999998</v>
      </c>
      <c r="M9" s="4" t="s">
        <v>14</v>
      </c>
    </row>
    <row r="10" spans="10:13" x14ac:dyDescent="0.25">
      <c r="L10" s="3">
        <f>+L9+20000</f>
        <v>36631.509999999995</v>
      </c>
    </row>
    <row r="15" spans="10:13" x14ac:dyDescent="0.25">
      <c r="J15" s="1">
        <v>2029</v>
      </c>
      <c r="K15" s="1">
        <v>270</v>
      </c>
    </row>
    <row r="16" spans="10:13" x14ac:dyDescent="0.25">
      <c r="J16" s="1" t="s">
        <v>61</v>
      </c>
      <c r="K16" s="1">
        <v>2000</v>
      </c>
      <c r="L16" s="2">
        <v>0.95</v>
      </c>
    </row>
    <row r="17" spans="10:12" x14ac:dyDescent="0.25">
      <c r="J17" s="1" t="s">
        <v>62</v>
      </c>
      <c r="K17" s="1">
        <v>1750</v>
      </c>
      <c r="L17" s="2">
        <v>0.93</v>
      </c>
    </row>
    <row r="18" spans="10:12" x14ac:dyDescent="0.25">
      <c r="J18" s="4" t="s">
        <v>60</v>
      </c>
      <c r="K18" s="1">
        <v>5000</v>
      </c>
    </row>
    <row r="19" spans="10:12" x14ac:dyDescent="0.25">
      <c r="J19" s="4" t="s">
        <v>60</v>
      </c>
      <c r="K19" s="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FAF7-107F-48D3-9D44-FF347A70DD91}">
  <dimension ref="A1:AB99"/>
  <sheetViews>
    <sheetView tabSelected="1" zoomScale="190" zoomScaleNormal="190" workbookViewId="0">
      <pane xSplit="2" ySplit="2" topLeftCell="K56" activePane="bottomRight" state="frozen"/>
      <selection pane="topRight" activeCell="C1" sqref="C1"/>
      <selection pane="bottomLeft" activeCell="A3" sqref="A3"/>
      <selection pane="bottomRight" activeCell="L68" sqref="L68"/>
    </sheetView>
  </sheetViews>
  <sheetFormatPr defaultRowHeight="12.5" x14ac:dyDescent="0.25"/>
  <cols>
    <col min="1" max="1" width="4.6328125" style="1" bestFit="1" customWidth="1"/>
    <col min="2" max="2" width="21.453125" style="1" customWidth="1"/>
    <col min="3" max="12" width="8.7265625" style="4"/>
    <col min="13" max="13" width="8.90625" style="4" bestFit="1" customWidth="1"/>
    <col min="14" max="18" width="8.7265625" style="4"/>
    <col min="19" max="16384" width="8.7265625" style="1"/>
  </cols>
  <sheetData>
    <row r="1" spans="1:28" x14ac:dyDescent="0.25">
      <c r="A1" s="1" t="s">
        <v>8</v>
      </c>
    </row>
    <row r="2" spans="1:28" x14ac:dyDescent="0.25">
      <c r="C2" s="4" t="s">
        <v>32</v>
      </c>
      <c r="D2" s="4" t="s">
        <v>33</v>
      </c>
      <c r="E2" s="4" t="s">
        <v>34</v>
      </c>
      <c r="F2" s="4" t="s">
        <v>35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6</v>
      </c>
      <c r="L2" s="4" t="s">
        <v>14</v>
      </c>
      <c r="M2" s="4" t="s">
        <v>15</v>
      </c>
      <c r="N2" s="4" t="s">
        <v>16</v>
      </c>
      <c r="O2" s="4" t="s">
        <v>39</v>
      </c>
      <c r="P2" s="4" t="s">
        <v>40</v>
      </c>
      <c r="Q2" s="4" t="s">
        <v>41</v>
      </c>
      <c r="R2" s="4" t="s">
        <v>42</v>
      </c>
      <c r="U2" s="1">
        <v>2022</v>
      </c>
      <c r="V2" s="1">
        <v>2023</v>
      </c>
      <c r="W2" s="1">
        <v>2024</v>
      </c>
      <c r="X2" s="1">
        <f>+W2+1</f>
        <v>2025</v>
      </c>
      <c r="Y2" s="1">
        <v>2026</v>
      </c>
      <c r="Z2" s="1">
        <v>2027</v>
      </c>
      <c r="AA2" s="1">
        <v>2028</v>
      </c>
      <c r="AB2" s="1">
        <v>2029</v>
      </c>
    </row>
    <row r="3" spans="1:28" x14ac:dyDescent="0.25">
      <c r="B3" s="1" t="s">
        <v>37</v>
      </c>
      <c r="M3" s="6">
        <v>55600</v>
      </c>
    </row>
    <row r="6" spans="1:28" s="7" customFormat="1" ht="13" x14ac:dyDescent="0.3">
      <c r="B6" s="7" t="s">
        <v>9</v>
      </c>
      <c r="C6" s="8">
        <v>38</v>
      </c>
      <c r="D6" s="8">
        <v>38</v>
      </c>
      <c r="E6" s="8">
        <v>38</v>
      </c>
      <c r="F6" s="8">
        <f>229*0.5</f>
        <v>114.5</v>
      </c>
      <c r="G6" s="8">
        <v>188.684</v>
      </c>
      <c r="H6" s="8">
        <v>345</v>
      </c>
      <c r="I6" s="8">
        <v>583.94100000000003</v>
      </c>
      <c r="J6" s="8">
        <f>1151-H6</f>
        <v>806</v>
      </c>
      <c r="K6" s="8">
        <v>981.63199999999995</v>
      </c>
      <c r="L6" s="8">
        <v>1212.788</v>
      </c>
      <c r="M6" s="8">
        <v>1364.6759999999999</v>
      </c>
      <c r="N6" s="8">
        <v>1500</v>
      </c>
      <c r="O6" s="8">
        <f>+N6+600</f>
        <v>2100</v>
      </c>
      <c r="P6" s="8">
        <f>+O6+600</f>
        <v>2700</v>
      </c>
      <c r="Q6" s="8">
        <v>3170</v>
      </c>
      <c r="R6" s="8">
        <v>3590</v>
      </c>
      <c r="U6" s="7">
        <v>15.83</v>
      </c>
      <c r="V6" s="7">
        <v>228.94300000000001</v>
      </c>
      <c r="W6" s="7">
        <v>1915.4259999999999</v>
      </c>
      <c r="X6" s="7">
        <f t="shared" ref="X6:X12" si="0">SUM(K6:N6)</f>
        <v>5059.0959999999995</v>
      </c>
      <c r="Y6" s="7">
        <f>SUM(O6:R6)</f>
        <v>11560</v>
      </c>
      <c r="Z6" s="7">
        <f>+Y6*1.5</f>
        <v>17340</v>
      </c>
      <c r="AA6" s="7">
        <f>+Z6*1.3</f>
        <v>22542</v>
      </c>
    </row>
    <row r="7" spans="1:28" s="3" customFormat="1" x14ac:dyDescent="0.25">
      <c r="B7" s="3" t="s">
        <v>18</v>
      </c>
      <c r="C7" s="6"/>
      <c r="D7" s="6"/>
      <c r="E7" s="6"/>
      <c r="F7" s="6"/>
      <c r="G7" s="6">
        <f>59.22+92.881</f>
        <v>152.101</v>
      </c>
      <c r="H7" s="6"/>
      <c r="I7" s="6">
        <v>143.13399999999999</v>
      </c>
      <c r="J7" s="6"/>
      <c r="K7" s="6">
        <f>262.394</f>
        <v>262.39400000000001</v>
      </c>
      <c r="L7" s="6">
        <f>312.667</f>
        <v>312.66699999999997</v>
      </c>
      <c r="M7" s="6">
        <v>368.82400000000001</v>
      </c>
      <c r="N7" s="6"/>
      <c r="O7" s="6"/>
      <c r="P7" s="6"/>
      <c r="Q7" s="6"/>
      <c r="R7" s="6"/>
      <c r="W7" s="3">
        <f>493.35+960.685</f>
        <v>1454.0349999999999</v>
      </c>
      <c r="X7" s="3">
        <f t="shared" si="0"/>
        <v>943.88499999999999</v>
      </c>
    </row>
    <row r="8" spans="1:28" s="3" customFormat="1" x14ac:dyDescent="0.25">
      <c r="B8" s="3" t="s">
        <v>38</v>
      </c>
      <c r="C8" s="6"/>
      <c r="D8" s="6"/>
      <c r="E8" s="6"/>
      <c r="F8" s="6"/>
      <c r="G8" s="6"/>
      <c r="H8" s="6"/>
      <c r="I8" s="6">
        <v>285.50900000000001</v>
      </c>
      <c r="J8" s="6"/>
      <c r="K8" s="6">
        <v>561.40200000000004</v>
      </c>
      <c r="L8" s="6">
        <v>669.91300000000001</v>
      </c>
      <c r="M8" s="6">
        <v>747.47900000000004</v>
      </c>
      <c r="N8" s="6"/>
      <c r="O8" s="6"/>
      <c r="P8" s="6"/>
      <c r="Q8" s="6"/>
      <c r="R8" s="6"/>
      <c r="X8" s="3">
        <f t="shared" si="0"/>
        <v>1978.7940000000001</v>
      </c>
    </row>
    <row r="9" spans="1:28" s="11" customFormat="1" ht="13" x14ac:dyDescent="0.3">
      <c r="B9" s="11" t="s">
        <v>58</v>
      </c>
      <c r="C9" s="12"/>
      <c r="D9" s="12"/>
      <c r="E9" s="12"/>
      <c r="F9" s="12"/>
      <c r="G9" s="12"/>
      <c r="H9" s="12"/>
      <c r="I9" s="12"/>
      <c r="J9" s="12"/>
      <c r="K9" s="12">
        <f>+K53</f>
        <v>443.49700000000001</v>
      </c>
      <c r="L9" s="12">
        <f>+L53</f>
        <v>559.48099999999999</v>
      </c>
      <c r="M9" s="12">
        <v>630.47900000000004</v>
      </c>
      <c r="N9" s="12"/>
      <c r="O9" s="12"/>
      <c r="P9" s="12"/>
      <c r="Q9" s="12"/>
      <c r="R9" s="12"/>
      <c r="X9" s="3">
        <f t="shared" si="0"/>
        <v>1633.4570000000001</v>
      </c>
    </row>
    <row r="10" spans="1:28" s="3" customFormat="1" x14ac:dyDescent="0.25">
      <c r="B10" s="3" t="s">
        <v>17</v>
      </c>
      <c r="C10" s="6"/>
      <c r="D10" s="6"/>
      <c r="E10" s="6"/>
      <c r="F10" s="6"/>
      <c r="G10" s="6">
        <f>+G6-G7</f>
        <v>36.582999999999998</v>
      </c>
      <c r="H10" s="6"/>
      <c r="I10" s="6">
        <f>+I6-I7-I8</f>
        <v>155.298</v>
      </c>
      <c r="J10" s="6">
        <f>+J6-J7-J8</f>
        <v>806</v>
      </c>
      <c r="K10" s="6">
        <f>+K6-K7-K8</f>
        <v>157.8359999999999</v>
      </c>
      <c r="L10" s="6">
        <f>+L6-L7-L8</f>
        <v>230.20800000000008</v>
      </c>
      <c r="M10" s="6">
        <f>+M6-M7-M8</f>
        <v>248.37299999999982</v>
      </c>
      <c r="N10" s="6">
        <f>+N6*0.64</f>
        <v>960</v>
      </c>
      <c r="O10" s="6">
        <f t="shared" ref="O10:R10" si="1">+O6*0.64</f>
        <v>1344</v>
      </c>
      <c r="P10" s="6">
        <f t="shared" si="1"/>
        <v>1728</v>
      </c>
      <c r="Q10" s="6">
        <f t="shared" si="1"/>
        <v>2028.8</v>
      </c>
      <c r="R10" s="6">
        <f t="shared" si="1"/>
        <v>2297.6</v>
      </c>
      <c r="U10" s="3">
        <f>+U6-U7</f>
        <v>15.83</v>
      </c>
      <c r="V10" s="3">
        <f>+V6-V7</f>
        <v>228.94300000000001</v>
      </c>
      <c r="W10" s="3">
        <f>+W6-W7</f>
        <v>461.39100000000008</v>
      </c>
      <c r="X10" s="3">
        <f t="shared" si="0"/>
        <v>1596.4169999999999</v>
      </c>
      <c r="Y10" s="3">
        <f>SUM(O10:R10)</f>
        <v>7398.4</v>
      </c>
      <c r="Z10" s="3">
        <f>+Z6*0.64</f>
        <v>11097.6</v>
      </c>
      <c r="AA10" s="3">
        <f>+AA6*0.24</f>
        <v>5410.08</v>
      </c>
    </row>
    <row r="11" spans="1:28" s="3" customFormat="1" x14ac:dyDescent="0.25">
      <c r="B11" s="3" t="s">
        <v>19</v>
      </c>
      <c r="C11" s="6"/>
      <c r="D11" s="6"/>
      <c r="E11" s="6"/>
      <c r="F11" s="6"/>
      <c r="G11" s="6">
        <v>4.05</v>
      </c>
      <c r="H11" s="6"/>
      <c r="I11" s="6">
        <v>4.5540000000000003</v>
      </c>
      <c r="J11" s="6"/>
      <c r="K11" s="6">
        <v>10.548999999999999</v>
      </c>
      <c r="L11" s="6">
        <v>36.798999999999999</v>
      </c>
      <c r="M11" s="6">
        <v>44.645000000000003</v>
      </c>
      <c r="N11" s="6">
        <f>+M11+5</f>
        <v>49.645000000000003</v>
      </c>
      <c r="O11" s="6">
        <f t="shared" ref="O11:R11" si="2">+N11+5</f>
        <v>54.645000000000003</v>
      </c>
      <c r="P11" s="6">
        <f t="shared" si="2"/>
        <v>59.645000000000003</v>
      </c>
      <c r="Q11" s="6">
        <f t="shared" si="2"/>
        <v>64.64500000000001</v>
      </c>
      <c r="R11" s="6">
        <f t="shared" si="2"/>
        <v>69.64500000000001</v>
      </c>
      <c r="W11" s="3">
        <v>18.388999999999999</v>
      </c>
      <c r="X11" s="3">
        <f t="shared" si="0"/>
        <v>141.63800000000001</v>
      </c>
      <c r="Y11" s="3">
        <f>SUM(O11:R11)</f>
        <v>248.58</v>
      </c>
      <c r="Z11" s="3">
        <f>+Y11*1.1</f>
        <v>273.43800000000005</v>
      </c>
      <c r="AA11" s="3">
        <f>+Z11*1.1</f>
        <v>300.78180000000009</v>
      </c>
    </row>
    <row r="12" spans="1:28" s="3" customFormat="1" x14ac:dyDescent="0.25">
      <c r="B12" s="3" t="s">
        <v>20</v>
      </c>
      <c r="C12" s="6"/>
      <c r="D12" s="6"/>
      <c r="E12" s="6"/>
      <c r="F12" s="6"/>
      <c r="G12" s="6">
        <v>15.686</v>
      </c>
      <c r="H12" s="6"/>
      <c r="I12" s="6">
        <v>33.628</v>
      </c>
      <c r="J12" s="6"/>
      <c r="K12" s="6">
        <v>174.75700000000001</v>
      </c>
      <c r="L12" s="6">
        <v>174.2</v>
      </c>
      <c r="M12" s="6">
        <v>151.87799999999999</v>
      </c>
      <c r="N12" s="6">
        <f>+M12+10</f>
        <v>161.87799999999999</v>
      </c>
      <c r="O12" s="6">
        <f t="shared" ref="O12:R12" si="3">+N12+10</f>
        <v>171.87799999999999</v>
      </c>
      <c r="P12" s="6">
        <f t="shared" si="3"/>
        <v>181.87799999999999</v>
      </c>
      <c r="Q12" s="6">
        <f t="shared" si="3"/>
        <v>191.87799999999999</v>
      </c>
      <c r="R12" s="6">
        <f t="shared" si="3"/>
        <v>201.87799999999999</v>
      </c>
      <c r="W12" s="3">
        <v>118.64400000000001</v>
      </c>
      <c r="X12" s="3">
        <f t="shared" si="0"/>
        <v>662.71299999999997</v>
      </c>
      <c r="Y12" s="3">
        <f>SUM(O12:R12)</f>
        <v>747.51199999999994</v>
      </c>
      <c r="Z12" s="3">
        <f t="shared" ref="Z12:AA12" si="4">+Y12*1.1</f>
        <v>822.26319999999998</v>
      </c>
      <c r="AA12" s="3">
        <f t="shared" si="4"/>
        <v>904.48952000000008</v>
      </c>
    </row>
    <row r="13" spans="1:28" s="3" customFormat="1" x14ac:dyDescent="0.25">
      <c r="B13" s="3" t="s">
        <v>21</v>
      </c>
      <c r="C13" s="6"/>
      <c r="D13" s="6"/>
      <c r="E13" s="6"/>
      <c r="F13" s="6"/>
      <c r="G13" s="6">
        <f>+G11+G12</f>
        <v>19.736000000000001</v>
      </c>
      <c r="H13" s="6"/>
      <c r="I13" s="6">
        <f t="shared" ref="I13:J13" si="5">+I11+I12</f>
        <v>38.182000000000002</v>
      </c>
      <c r="J13" s="6">
        <f t="shared" si="5"/>
        <v>0</v>
      </c>
      <c r="K13" s="6">
        <f>+K11+K12</f>
        <v>185.30600000000001</v>
      </c>
      <c r="L13" s="6">
        <f>+L11+L12</f>
        <v>210.999</v>
      </c>
      <c r="M13" s="6">
        <f>+M11+M12</f>
        <v>196.523</v>
      </c>
      <c r="N13" s="6">
        <f>+N11+N12</f>
        <v>211.523</v>
      </c>
      <c r="O13" s="6">
        <f t="shared" ref="O13:R13" si="6">+O11+O12</f>
        <v>226.523</v>
      </c>
      <c r="P13" s="6">
        <f t="shared" si="6"/>
        <v>241.523</v>
      </c>
      <c r="Q13" s="6">
        <f t="shared" si="6"/>
        <v>256.52300000000002</v>
      </c>
      <c r="R13" s="6">
        <f t="shared" si="6"/>
        <v>271.52300000000002</v>
      </c>
      <c r="U13" s="6">
        <f t="shared" ref="U13:V13" si="7">+U11+U12</f>
        <v>0</v>
      </c>
      <c r="V13" s="6">
        <f t="shared" si="7"/>
        <v>0</v>
      </c>
      <c r="W13" s="6">
        <f>+W11+W12</f>
        <v>137.03300000000002</v>
      </c>
      <c r="X13" s="6">
        <f t="shared" ref="X13:Y13" si="8">+X11+X12</f>
        <v>804.351</v>
      </c>
      <c r="Y13" s="6">
        <f t="shared" si="8"/>
        <v>996.09199999999998</v>
      </c>
      <c r="Z13" s="6">
        <f t="shared" ref="Z13" si="9">+Z11+Z12</f>
        <v>1095.7012</v>
      </c>
      <c r="AA13" s="6">
        <f t="shared" ref="AA13" si="10">+AA11+AA12</f>
        <v>1205.2713200000003</v>
      </c>
    </row>
    <row r="14" spans="1:28" s="3" customFormat="1" x14ac:dyDescent="0.25">
      <c r="B14" s="3" t="s">
        <v>22</v>
      </c>
      <c r="C14" s="6"/>
      <c r="D14" s="6"/>
      <c r="E14" s="6"/>
      <c r="F14" s="6"/>
      <c r="G14" s="6">
        <f>+G10-G13</f>
        <v>16.846999999999998</v>
      </c>
      <c r="H14" s="6"/>
      <c r="I14" s="6">
        <f t="shared" ref="I14:J14" si="11">+I10-I13</f>
        <v>117.116</v>
      </c>
      <c r="J14" s="6">
        <f t="shared" si="11"/>
        <v>806</v>
      </c>
      <c r="K14" s="6">
        <f>+K10-K13</f>
        <v>-27.470000000000113</v>
      </c>
      <c r="L14" s="6">
        <f>+L10-L13</f>
        <v>19.209000000000088</v>
      </c>
      <c r="M14" s="6">
        <f>+M10-M13</f>
        <v>51.849999999999824</v>
      </c>
      <c r="N14" s="6">
        <f>+N10-N13</f>
        <v>748.47699999999998</v>
      </c>
      <c r="O14" s="6">
        <f t="shared" ref="O14:R14" si="12">+O10-O13</f>
        <v>1117.4770000000001</v>
      </c>
      <c r="P14" s="6">
        <f t="shared" si="12"/>
        <v>1486.4770000000001</v>
      </c>
      <c r="Q14" s="6">
        <f t="shared" si="12"/>
        <v>1772.277</v>
      </c>
      <c r="R14" s="6">
        <f t="shared" si="12"/>
        <v>2026.0769999999998</v>
      </c>
      <c r="U14" s="6">
        <f t="shared" ref="U14:V14" si="13">+U10-U13</f>
        <v>15.83</v>
      </c>
      <c r="V14" s="6">
        <f t="shared" si="13"/>
        <v>228.94300000000001</v>
      </c>
      <c r="W14" s="6">
        <f>+W10-W13</f>
        <v>324.35800000000006</v>
      </c>
      <c r="X14" s="6">
        <f t="shared" ref="X14:Y14" si="14">+X10-X13</f>
        <v>792.06599999999992</v>
      </c>
      <c r="Y14" s="6">
        <f t="shared" si="14"/>
        <v>6402.308</v>
      </c>
      <c r="Z14" s="6">
        <f t="shared" ref="Z14" si="15">+Z10-Z13</f>
        <v>10001.898800000001</v>
      </c>
      <c r="AA14" s="6">
        <f t="shared" ref="AA14" si="16">+AA10-AA13</f>
        <v>4204.8086800000001</v>
      </c>
    </row>
    <row r="15" spans="1:28" s="3" customFormat="1" x14ac:dyDescent="0.25">
      <c r="B15" s="3" t="s">
        <v>24</v>
      </c>
      <c r="C15" s="6"/>
      <c r="D15" s="6"/>
      <c r="E15" s="6"/>
      <c r="F15" s="6"/>
      <c r="G15" s="6">
        <v>-40.655999999999999</v>
      </c>
      <c r="H15" s="6"/>
      <c r="I15" s="6">
        <v>-104.375</v>
      </c>
      <c r="J15" s="6"/>
      <c r="K15" s="6">
        <v>-263.83499999999998</v>
      </c>
      <c r="L15" s="6">
        <v>-266.96600000000001</v>
      </c>
      <c r="M15" s="6">
        <v>-310.55500000000001</v>
      </c>
      <c r="N15" s="6">
        <v>-310.55500000000001</v>
      </c>
      <c r="O15" s="6">
        <v>-310.55500000000001</v>
      </c>
      <c r="P15" s="6">
        <v>-310.55500000000001</v>
      </c>
      <c r="Q15" s="6">
        <v>-310.55500000000001</v>
      </c>
      <c r="R15" s="6">
        <v>-310.55500000000001</v>
      </c>
      <c r="W15" s="3">
        <v>-360.82400000000001</v>
      </c>
      <c r="X15" s="3">
        <f>SUM(K15:N15)</f>
        <v>-1151.9110000000001</v>
      </c>
      <c r="Y15" s="3">
        <f>SUM(O15:R15)</f>
        <v>-1242.22</v>
      </c>
      <c r="Z15" s="3">
        <f>+Y15</f>
        <v>-1242.22</v>
      </c>
      <c r="AA15" s="3">
        <v>0</v>
      </c>
    </row>
    <row r="16" spans="1:28" s="3" customFormat="1" x14ac:dyDescent="0.25">
      <c r="B16" s="3" t="s">
        <v>23</v>
      </c>
      <c r="C16" s="6"/>
      <c r="D16" s="6"/>
      <c r="E16" s="6"/>
      <c r="F16" s="6"/>
      <c r="G16" s="6">
        <f>+G14+G15</f>
        <v>-23.809000000000001</v>
      </c>
      <c r="H16" s="6"/>
      <c r="I16" s="6">
        <f t="shared" ref="I16:J16" si="17">+I14+I15</f>
        <v>12.741</v>
      </c>
      <c r="J16" s="6">
        <f t="shared" si="17"/>
        <v>806</v>
      </c>
      <c r="K16" s="6">
        <f>+K14+K15</f>
        <v>-291.30500000000006</v>
      </c>
      <c r="L16" s="6">
        <f>+L14+L15</f>
        <v>-247.75699999999992</v>
      </c>
      <c r="M16" s="6">
        <f>+M14+M15</f>
        <v>-258.70500000000015</v>
      </c>
      <c r="N16" s="6">
        <f>+N14+N15</f>
        <v>437.92199999999997</v>
      </c>
      <c r="O16" s="6">
        <f t="shared" ref="O16:R16" si="18">+O14+O15</f>
        <v>806.92200000000003</v>
      </c>
      <c r="P16" s="6">
        <f t="shared" si="18"/>
        <v>1175.922</v>
      </c>
      <c r="Q16" s="6">
        <f t="shared" si="18"/>
        <v>1461.722</v>
      </c>
      <c r="R16" s="6">
        <f t="shared" si="18"/>
        <v>1715.5219999999997</v>
      </c>
      <c r="U16" s="6">
        <f t="shared" ref="U16:V16" si="19">+U14+U15</f>
        <v>15.83</v>
      </c>
      <c r="V16" s="6">
        <f t="shared" si="19"/>
        <v>228.94300000000001</v>
      </c>
      <c r="W16" s="6">
        <f>+W14+W15</f>
        <v>-36.465999999999951</v>
      </c>
      <c r="X16" s="6">
        <f>+X14+X15</f>
        <v>-359.84500000000014</v>
      </c>
      <c r="Y16" s="6">
        <f>+Y14+Y15</f>
        <v>5160.0879999999997</v>
      </c>
      <c r="Z16" s="6">
        <f t="shared" ref="Z16:AA16" si="20">+Z14+Z15</f>
        <v>8759.6788000000015</v>
      </c>
      <c r="AA16" s="6">
        <f t="shared" si="20"/>
        <v>4204.8086800000001</v>
      </c>
    </row>
    <row r="17" spans="2:27" x14ac:dyDescent="0.25">
      <c r="B17" s="1" t="s">
        <v>25</v>
      </c>
      <c r="G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X17" s="1">
        <v>0</v>
      </c>
      <c r="Y17" s="1">
        <v>0</v>
      </c>
      <c r="Z17" s="1">
        <v>0</v>
      </c>
      <c r="AA17" s="3">
        <f>+AA16*0.25</f>
        <v>1051.20217</v>
      </c>
    </row>
    <row r="18" spans="2:27" x14ac:dyDescent="0.25">
      <c r="B18" s="1" t="s">
        <v>26</v>
      </c>
      <c r="C18" s="6"/>
      <c r="D18" s="6"/>
      <c r="E18" s="6"/>
      <c r="F18" s="6"/>
      <c r="G18" s="6">
        <f t="shared" ref="G18" si="21">+G16-G17</f>
        <v>-23.809000000000001</v>
      </c>
      <c r="H18" s="6"/>
      <c r="I18" s="6">
        <f t="shared" ref="I18:N18" si="22">+I16-I17</f>
        <v>12.741</v>
      </c>
      <c r="J18" s="6">
        <f t="shared" si="22"/>
        <v>806</v>
      </c>
      <c r="K18" s="6">
        <f t="shared" si="22"/>
        <v>-291.30500000000006</v>
      </c>
      <c r="L18" s="6">
        <f t="shared" si="22"/>
        <v>-247.75699999999992</v>
      </c>
      <c r="M18" s="6">
        <f t="shared" si="22"/>
        <v>-258.70500000000015</v>
      </c>
      <c r="N18" s="6">
        <f t="shared" si="22"/>
        <v>437.92199999999997</v>
      </c>
      <c r="O18" s="6">
        <f t="shared" ref="O18:R18" si="23">+O16-O17</f>
        <v>806.92200000000003</v>
      </c>
      <c r="P18" s="6">
        <f t="shared" si="23"/>
        <v>1175.922</v>
      </c>
      <c r="Q18" s="6">
        <f t="shared" si="23"/>
        <v>1461.722</v>
      </c>
      <c r="R18" s="6">
        <f t="shared" si="23"/>
        <v>1715.5219999999997</v>
      </c>
      <c r="U18" s="6">
        <f t="shared" ref="U18:V18" si="24">+U16-U17</f>
        <v>15.83</v>
      </c>
      <c r="V18" s="6">
        <f t="shared" si="24"/>
        <v>228.94300000000001</v>
      </c>
      <c r="W18" s="6">
        <f>+W16-W17</f>
        <v>-36.465999999999951</v>
      </c>
      <c r="X18" s="6">
        <f>+X16-X17</f>
        <v>-359.84500000000014</v>
      </c>
      <c r="Y18" s="6">
        <f>+Y16-Y17</f>
        <v>5160.0879999999997</v>
      </c>
      <c r="Z18" s="6">
        <f t="shared" ref="Z18:AA18" si="25">+Z16-Z17</f>
        <v>8759.6788000000015</v>
      </c>
      <c r="AA18" s="6">
        <f t="shared" si="25"/>
        <v>3153.6065100000001</v>
      </c>
    </row>
    <row r="19" spans="2:27" x14ac:dyDescent="0.25">
      <c r="B19" s="1" t="s">
        <v>27</v>
      </c>
      <c r="C19" s="9"/>
      <c r="G19" s="9">
        <f>+G18/G20</f>
        <v>-0.11379452080983425</v>
      </c>
      <c r="I19" s="9">
        <f t="shared" ref="I19:N19" si="26">+I18/I20</f>
        <v>5.9591405292648468E-2</v>
      </c>
      <c r="J19" s="9" t="e">
        <f t="shared" si="26"/>
        <v>#DIV/0!</v>
      </c>
      <c r="K19" s="9">
        <f t="shared" si="26"/>
        <v>-1.168524587533545</v>
      </c>
      <c r="L19" s="9">
        <f t="shared" si="26"/>
        <v>-0.50916889132762411</v>
      </c>
      <c r="M19" s="9">
        <f t="shared" si="26"/>
        <v>-0.51960689796459458</v>
      </c>
      <c r="N19" s="9">
        <f t="shared" si="26"/>
        <v>0.87956279148238747</v>
      </c>
      <c r="O19" s="9">
        <f t="shared" ref="O19:R19" si="27">+O18/O20</f>
        <v>1.6206963039731987</v>
      </c>
      <c r="P19" s="9">
        <f t="shared" si="27"/>
        <v>2.3618298164640099</v>
      </c>
      <c r="Q19" s="9">
        <f t="shared" si="27"/>
        <v>2.9358568025612288</v>
      </c>
      <c r="R19" s="9">
        <f t="shared" si="27"/>
        <v>3.4456120477378347</v>
      </c>
      <c r="X19" s="2">
        <f>+X18/X20</f>
        <v>-0.72274576911180499</v>
      </c>
      <c r="Y19" s="2">
        <f>+Y18/Y20</f>
        <v>10.363994970736272</v>
      </c>
      <c r="Z19" s="2">
        <f t="shared" ref="Z19:AA19" si="28">+Z18/Z20</f>
        <v>17.59374394941814</v>
      </c>
      <c r="AA19" s="2">
        <f t="shared" si="28"/>
        <v>6.33399314300864</v>
      </c>
    </row>
    <row r="20" spans="2:27" s="3" customFormat="1" x14ac:dyDescent="0.25">
      <c r="B20" s="3" t="s">
        <v>1</v>
      </c>
      <c r="C20" s="6"/>
      <c r="D20" s="6"/>
      <c r="E20" s="6"/>
      <c r="F20" s="6"/>
      <c r="G20" s="6">
        <v>209.22800000000001</v>
      </c>
      <c r="H20" s="6"/>
      <c r="I20" s="6">
        <v>213.80600000000001</v>
      </c>
      <c r="J20" s="6"/>
      <c r="K20" s="6">
        <v>249.29300000000001</v>
      </c>
      <c r="L20" s="6">
        <v>486.59100000000001</v>
      </c>
      <c r="M20" s="6">
        <v>497.88600000000002</v>
      </c>
      <c r="N20" s="6">
        <f>+M20</f>
        <v>497.88600000000002</v>
      </c>
      <c r="O20" s="6">
        <f t="shared" ref="O20:R20" si="29">+N20</f>
        <v>497.88600000000002</v>
      </c>
      <c r="P20" s="6">
        <f t="shared" si="29"/>
        <v>497.88600000000002</v>
      </c>
      <c r="Q20" s="6">
        <f t="shared" si="29"/>
        <v>497.88600000000002</v>
      </c>
      <c r="R20" s="6">
        <f t="shared" si="29"/>
        <v>497.88600000000002</v>
      </c>
      <c r="U20" s="3">
        <v>180.63200000000001</v>
      </c>
      <c r="V20" s="3">
        <v>192.16399999999999</v>
      </c>
      <c r="W20" s="3">
        <v>217.85400000000001</v>
      </c>
      <c r="X20" s="3">
        <f>+N20</f>
        <v>497.88600000000002</v>
      </c>
      <c r="Y20" s="3">
        <f>+X20</f>
        <v>497.88600000000002</v>
      </c>
      <c r="Z20" s="3">
        <f t="shared" ref="Z20:AA20" si="30">+Y20</f>
        <v>497.88600000000002</v>
      </c>
      <c r="AA20" s="3">
        <f t="shared" si="30"/>
        <v>497.88600000000002</v>
      </c>
    </row>
    <row r="21" spans="2:27" s="3" customFormat="1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27" s="3" customFormat="1" x14ac:dyDescent="0.25">
      <c r="B22" s="3" t="s">
        <v>83</v>
      </c>
      <c r="C22" s="6"/>
      <c r="D22" s="6"/>
      <c r="E22" s="6"/>
      <c r="F22" s="6"/>
      <c r="G22" s="6"/>
      <c r="H22" s="6"/>
      <c r="I22" s="6"/>
      <c r="J22" s="6"/>
      <c r="K22" s="6">
        <f t="shared" ref="K22:L22" si="31">+K18+K9</f>
        <v>152.19199999999995</v>
      </c>
      <c r="L22" s="6">
        <f t="shared" si="31"/>
        <v>311.72400000000005</v>
      </c>
      <c r="M22" s="6">
        <f>+M18+M9</f>
        <v>371.77399999999989</v>
      </c>
      <c r="N22" s="6"/>
      <c r="O22" s="6"/>
      <c r="P22" s="6"/>
      <c r="Q22" s="6"/>
      <c r="R22" s="6"/>
    </row>
    <row r="23" spans="2:27" s="3" customFormat="1" x14ac:dyDescent="0.25">
      <c r="B23" s="3" t="s">
        <v>84</v>
      </c>
      <c r="C23" s="6"/>
      <c r="D23" s="6"/>
      <c r="E23" s="6"/>
      <c r="F23" s="6"/>
      <c r="G23" s="6"/>
      <c r="H23" s="6"/>
      <c r="I23" s="6"/>
      <c r="J23" s="6"/>
      <c r="K23" s="6">
        <f>+K22+K57</f>
        <v>336.16499999999996</v>
      </c>
      <c r="L23" s="6">
        <f>+L22+L57</f>
        <v>456.72900000000004</v>
      </c>
      <c r="M23" s="6">
        <f>+M22+M57</f>
        <v>516.20499999999993</v>
      </c>
      <c r="N23" s="6"/>
      <c r="O23" s="6"/>
      <c r="P23" s="6"/>
      <c r="Q23" s="6"/>
      <c r="R23" s="6"/>
    </row>
    <row r="25" spans="2:27" x14ac:dyDescent="0.25">
      <c r="B25" s="1" t="s">
        <v>31</v>
      </c>
      <c r="G25" s="5">
        <f t="shared" ref="G25:N25" si="32">+G6/C6-1</f>
        <v>3.9653684210526317</v>
      </c>
      <c r="H25" s="5">
        <f t="shared" si="32"/>
        <v>8.0789473684210531</v>
      </c>
      <c r="I25" s="5">
        <f t="shared" si="32"/>
        <v>14.366868421052633</v>
      </c>
      <c r="J25" s="5">
        <f t="shared" si="32"/>
        <v>6.0393013100436681</v>
      </c>
      <c r="K25" s="5">
        <f t="shared" si="32"/>
        <v>4.2025184965338873</v>
      </c>
      <c r="L25" s="5">
        <f t="shared" si="32"/>
        <v>2.5153275362318839</v>
      </c>
      <c r="M25" s="5">
        <f t="shared" si="32"/>
        <v>1.3370100746479521</v>
      </c>
      <c r="N25" s="5">
        <f t="shared" si="32"/>
        <v>0.86104218362282881</v>
      </c>
      <c r="O25" s="5"/>
      <c r="P25" s="5"/>
      <c r="Q25" s="5"/>
      <c r="R25" s="5"/>
    </row>
    <row r="26" spans="2:27" x14ac:dyDescent="0.25">
      <c r="B26" s="1" t="s">
        <v>36</v>
      </c>
      <c r="G26" s="5">
        <f t="shared" ref="G26:M26" si="33">+G10/G6</f>
        <v>0.19388501409764472</v>
      </c>
      <c r="H26" s="5">
        <f t="shared" si="33"/>
        <v>0</v>
      </c>
      <c r="I26" s="5">
        <f t="shared" si="33"/>
        <v>0.26594810092115467</v>
      </c>
      <c r="J26" s="5">
        <f t="shared" si="33"/>
        <v>1</v>
      </c>
      <c r="K26" s="5">
        <f t="shared" si="33"/>
        <v>0.16078937931933751</v>
      </c>
      <c r="L26" s="5">
        <f t="shared" si="33"/>
        <v>0.18981718156841929</v>
      </c>
      <c r="M26" s="5">
        <f t="shared" si="33"/>
        <v>0.18200144210054242</v>
      </c>
      <c r="N26" s="5">
        <f t="shared" ref="N26" si="34">+N10/N6</f>
        <v>0.64</v>
      </c>
      <c r="W26" s="5">
        <f t="shared" ref="W26" si="35">+W10/W6</f>
        <v>0.24088166287812743</v>
      </c>
      <c r="X26" s="5">
        <f>+X10/X6</f>
        <v>0.31555380645079678</v>
      </c>
      <c r="Y26" s="5">
        <f>+Y10/Y6</f>
        <v>0.64</v>
      </c>
      <c r="Z26" s="5">
        <f t="shared" ref="Z26:AA26" si="36">+Z10/Z6</f>
        <v>0.64</v>
      </c>
      <c r="AA26" s="5">
        <f t="shared" si="36"/>
        <v>0.24</v>
      </c>
    </row>
    <row r="27" spans="2:27" x14ac:dyDescent="0.25">
      <c r="B27" s="1" t="s">
        <v>59</v>
      </c>
      <c r="K27" s="5">
        <f t="shared" ref="K27:L27" si="37">(K9+K10)/K6</f>
        <v>0.61258496055548295</v>
      </c>
      <c r="L27" s="5">
        <f t="shared" si="37"/>
        <v>0.65113523550694774</v>
      </c>
      <c r="M27" s="5">
        <f>(M9+M10)/M6</f>
        <v>0.64400048070018079</v>
      </c>
      <c r="N27" s="5">
        <f t="shared" ref="N27" si="38">(N9+N10)/N6</f>
        <v>0.64</v>
      </c>
      <c r="W27" s="5">
        <f t="shared" ref="W27" si="39">(W9+W10)/W6</f>
        <v>0.24088166287812743</v>
      </c>
      <c r="X27" s="5">
        <f>(X9+X10)/X6</f>
        <v>0.63842907902913881</v>
      </c>
      <c r="Y27" s="5">
        <f>(Y9+Y10)/Y6</f>
        <v>0.64</v>
      </c>
      <c r="Z27" s="5">
        <f t="shared" ref="Z27:AA27" si="40">(Z9+Z10)/Z6</f>
        <v>0.64</v>
      </c>
      <c r="AA27" s="5">
        <f t="shared" si="40"/>
        <v>0.24</v>
      </c>
    </row>
    <row r="29" spans="2:27" x14ac:dyDescent="0.25">
      <c r="B29" s="1" t="s">
        <v>68</v>
      </c>
    </row>
    <row r="30" spans="2:27" x14ac:dyDescent="0.25">
      <c r="B30" s="1" t="s">
        <v>3</v>
      </c>
      <c r="K30" s="6">
        <f>1276.456+624.25+617.11</f>
        <v>2517.8159999999998</v>
      </c>
      <c r="L30" s="6">
        <f>1152.883+560.173+340.527</f>
        <v>2053.5830000000001</v>
      </c>
      <c r="M30" s="6">
        <f>1894.399+596.777+47.449+477.515</f>
        <v>3016.14</v>
      </c>
      <c r="N30" s="6">
        <f>+M30+N18</f>
        <v>3454.0619999999999</v>
      </c>
    </row>
    <row r="31" spans="2:27" x14ac:dyDescent="0.25">
      <c r="B31" s="1" t="s">
        <v>44</v>
      </c>
      <c r="K31" s="6">
        <v>1055.2080000000001</v>
      </c>
      <c r="L31" s="6">
        <v>1933.6980000000001</v>
      </c>
      <c r="M31" s="6">
        <v>1659.229</v>
      </c>
      <c r="N31" s="6">
        <f>+M31</f>
        <v>1659.229</v>
      </c>
    </row>
    <row r="32" spans="2:27" x14ac:dyDescent="0.25">
      <c r="B32" s="1" t="s">
        <v>43</v>
      </c>
      <c r="K32" s="6">
        <v>146.733</v>
      </c>
      <c r="L32" s="6">
        <v>299.22899999999998</v>
      </c>
      <c r="M32" s="6">
        <v>533.42899999999997</v>
      </c>
      <c r="N32" s="6">
        <f>+M32</f>
        <v>533.42899999999997</v>
      </c>
    </row>
    <row r="33" spans="2:14" x14ac:dyDescent="0.25">
      <c r="B33" s="1" t="s">
        <v>7</v>
      </c>
      <c r="K33" s="6">
        <v>14210.992</v>
      </c>
      <c r="L33" s="6">
        <v>16631.509999999998</v>
      </c>
      <c r="M33" s="6">
        <v>20659.181</v>
      </c>
      <c r="N33" s="6">
        <f t="shared" ref="N33:N36" si="41">+M33</f>
        <v>20659.181</v>
      </c>
    </row>
    <row r="34" spans="2:14" x14ac:dyDescent="0.25">
      <c r="B34" s="1" t="s">
        <v>45</v>
      </c>
      <c r="K34" s="6">
        <v>3063.22</v>
      </c>
      <c r="L34" s="6">
        <v>3380.201</v>
      </c>
      <c r="M34" s="6">
        <v>4677.0569999999998</v>
      </c>
      <c r="N34" s="6">
        <f t="shared" si="41"/>
        <v>4677.0569999999998</v>
      </c>
    </row>
    <row r="35" spans="2:14" x14ac:dyDescent="0.25">
      <c r="B35" s="1" t="s">
        <v>46</v>
      </c>
      <c r="K35" s="6">
        <f>4.395+19.544</f>
        <v>23.939</v>
      </c>
      <c r="L35" s="6">
        <f>205.895+812.97</f>
        <v>1018.865</v>
      </c>
      <c r="M35" s="6">
        <f>829.979+200.001</f>
        <v>1029.98</v>
      </c>
      <c r="N35" s="6">
        <f t="shared" si="41"/>
        <v>1029.98</v>
      </c>
    </row>
    <row r="36" spans="2:14" x14ac:dyDescent="0.25">
      <c r="B36" s="1" t="s">
        <v>47</v>
      </c>
      <c r="K36" s="6">
        <v>842.47500000000002</v>
      </c>
      <c r="L36" s="6">
        <v>924.27700000000004</v>
      </c>
      <c r="M36" s="6">
        <v>1335.482</v>
      </c>
      <c r="N36" s="6">
        <f t="shared" si="41"/>
        <v>1335.482</v>
      </c>
    </row>
    <row r="37" spans="2:14" x14ac:dyDescent="0.25">
      <c r="B37" s="1" t="s">
        <v>51</v>
      </c>
      <c r="K37" s="6">
        <f>SUM(K30:K36)</f>
        <v>21860.382999999998</v>
      </c>
      <c r="L37" s="6">
        <f>SUM(L30:L36)</f>
        <v>26241.362999999998</v>
      </c>
      <c r="M37" s="6">
        <f>SUM(M30:M36)</f>
        <v>32910.498</v>
      </c>
      <c r="N37" s="6">
        <f>SUM(N30:N36)</f>
        <v>33348.42</v>
      </c>
    </row>
    <row r="38" spans="2:14" x14ac:dyDescent="0.25">
      <c r="M38" s="6"/>
    </row>
    <row r="39" spans="2:14" x14ac:dyDescent="0.25">
      <c r="B39" s="1" t="s">
        <v>48</v>
      </c>
      <c r="K39" s="6">
        <v>1242.0999999999999</v>
      </c>
      <c r="L39" s="6">
        <v>1226.579</v>
      </c>
      <c r="M39" s="6">
        <v>1156.9780000000001</v>
      </c>
      <c r="N39" s="6">
        <f>+M39</f>
        <v>1156.9780000000001</v>
      </c>
    </row>
    <row r="40" spans="2:14" x14ac:dyDescent="0.25">
      <c r="B40" s="1" t="s">
        <v>49</v>
      </c>
      <c r="K40" s="6">
        <v>1377.0129999999999</v>
      </c>
      <c r="L40" s="6">
        <v>1411.2370000000001</v>
      </c>
      <c r="M40" s="6">
        <v>3172.2739999999999</v>
      </c>
      <c r="N40" s="6">
        <f>+M40</f>
        <v>3172.2739999999999</v>
      </c>
    </row>
    <row r="41" spans="2:14" x14ac:dyDescent="0.25">
      <c r="B41" s="1" t="s">
        <v>4</v>
      </c>
      <c r="K41" s="6">
        <f>3776.595+4935.071</f>
        <v>8711.6659999999993</v>
      </c>
      <c r="L41" s="6">
        <f>3627.664+7423.837</f>
        <v>11051.501</v>
      </c>
      <c r="M41" s="6">
        <f>3712.177+10322.757</f>
        <v>14034.933999999999</v>
      </c>
      <c r="N41" s="6">
        <f t="shared" ref="N41:N47" si="42">+M41</f>
        <v>14034.933999999999</v>
      </c>
    </row>
    <row r="42" spans="2:14" x14ac:dyDescent="0.25">
      <c r="B42" s="1" t="s">
        <v>50</v>
      </c>
      <c r="K42" s="6">
        <f>436.53+3611.469</f>
        <v>4047.9989999999998</v>
      </c>
      <c r="L42" s="6">
        <f>951.346+3896.173</f>
        <v>4847.5190000000002</v>
      </c>
      <c r="M42" s="6">
        <f>1107.58+4228.222</f>
        <v>5335.8019999999997</v>
      </c>
      <c r="N42" s="6">
        <f t="shared" si="42"/>
        <v>5335.8019999999997</v>
      </c>
    </row>
    <row r="43" spans="2:14" x14ac:dyDescent="0.25">
      <c r="B43" s="1" t="s">
        <v>45</v>
      </c>
      <c r="K43" s="6">
        <f>239.549+2867.838+18.814+59.01</f>
        <v>3185.2110000000002</v>
      </c>
      <c r="L43" s="6">
        <f>279.08+3168.392+60.396+3.112</f>
        <v>3510.98</v>
      </c>
      <c r="M43" s="6">
        <f>345.472+48.99+4378.869+0.012</f>
        <v>4773.3429999999998</v>
      </c>
      <c r="N43" s="6">
        <f t="shared" si="42"/>
        <v>4773.3429999999998</v>
      </c>
    </row>
    <row r="44" spans="2:14" x14ac:dyDescent="0.25">
      <c r="B44" s="1" t="s">
        <v>57</v>
      </c>
      <c r="K44" s="6">
        <v>0</v>
      </c>
      <c r="L44" s="6">
        <v>5.2999999999999999E-2</v>
      </c>
      <c r="M44" s="6">
        <v>171.40100000000001</v>
      </c>
      <c r="N44" s="6">
        <f t="shared" si="42"/>
        <v>171.40100000000001</v>
      </c>
    </row>
    <row r="45" spans="2:14" x14ac:dyDescent="0.25">
      <c r="B45" s="1" t="s">
        <v>56</v>
      </c>
      <c r="K45" s="6">
        <v>0.49099999999999999</v>
      </c>
      <c r="L45" s="6">
        <v>0.69799999999999995</v>
      </c>
      <c r="M45" s="6">
        <v>1.71</v>
      </c>
      <c r="N45" s="6">
        <f t="shared" si="42"/>
        <v>1.71</v>
      </c>
    </row>
    <row r="46" spans="2:14" x14ac:dyDescent="0.25">
      <c r="B46" s="1" t="s">
        <v>55</v>
      </c>
      <c r="K46" s="6">
        <v>193.84899999999999</v>
      </c>
      <c r="L46" s="6">
        <v>245.65899999999999</v>
      </c>
      <c r="M46" s="6">
        <v>117.633</v>
      </c>
      <c r="N46" s="6">
        <f t="shared" si="42"/>
        <v>117.633</v>
      </c>
    </row>
    <row r="47" spans="2:14" x14ac:dyDescent="0.25">
      <c r="B47" s="1" t="s">
        <v>54</v>
      </c>
      <c r="K47" s="6">
        <v>32.771999999999998</v>
      </c>
      <c r="L47" s="6">
        <v>126.331</v>
      </c>
      <c r="M47" s="6">
        <v>268.40899999999999</v>
      </c>
      <c r="N47" s="6">
        <f t="shared" si="42"/>
        <v>268.40899999999999</v>
      </c>
    </row>
    <row r="48" spans="2:14" x14ac:dyDescent="0.25">
      <c r="B48" s="1" t="s">
        <v>52</v>
      </c>
      <c r="K48" s="6">
        <f>1163.159+1906.123</f>
        <v>3069.2820000000002</v>
      </c>
      <c r="L48" s="6">
        <f>2657.647+1163.159</f>
        <v>3820.806</v>
      </c>
      <c r="M48" s="6">
        <v>3878.0140000000001</v>
      </c>
      <c r="N48" s="6">
        <f>+M48+438</f>
        <v>4316.0140000000001</v>
      </c>
    </row>
    <row r="49" spans="2:14" x14ac:dyDescent="0.25">
      <c r="B49" s="1" t="s">
        <v>53</v>
      </c>
      <c r="K49" s="6">
        <f t="array" ref="K49">SUM(K39:K48)</f>
        <v>21860.382999999998</v>
      </c>
      <c r="L49" s="6">
        <f t="array" ref="L49">SUM(L39:L48)</f>
        <v>26241.362999999998</v>
      </c>
      <c r="M49" s="6">
        <f t="array" ref="M49">SUM(M39:M48)</f>
        <v>32910.498000000007</v>
      </c>
      <c r="N49" s="6">
        <f t="array" ref="N49">SUM(N39:N48)</f>
        <v>33348.498000000007</v>
      </c>
    </row>
    <row r="51" spans="2:14" x14ac:dyDescent="0.25">
      <c r="B51" s="1" t="s">
        <v>65</v>
      </c>
      <c r="K51" s="6">
        <f>K18</f>
        <v>-291.30500000000006</v>
      </c>
      <c r="L51" s="6">
        <f>L18</f>
        <v>-247.75699999999992</v>
      </c>
      <c r="M51" s="6">
        <f>M18</f>
        <v>-258.70500000000015</v>
      </c>
    </row>
    <row r="52" spans="2:14" x14ac:dyDescent="0.25">
      <c r="B52" s="1" t="s">
        <v>66</v>
      </c>
      <c r="K52" s="6">
        <v>-314.64100000000002</v>
      </c>
      <c r="L52" s="6">
        <f>-605.15-K52</f>
        <v>-290.50899999999996</v>
      </c>
      <c r="M52" s="6">
        <f>-715.274-L52-K52</f>
        <v>-110.12400000000002</v>
      </c>
    </row>
    <row r="53" spans="2:14" x14ac:dyDescent="0.25">
      <c r="B53" s="1" t="s">
        <v>58</v>
      </c>
      <c r="K53" s="6">
        <v>443.49700000000001</v>
      </c>
      <c r="L53" s="6">
        <f>1002.978-K53</f>
        <v>559.48099999999999</v>
      </c>
      <c r="M53" s="6">
        <f>1633.457-L53-K53</f>
        <v>630.47900000000004</v>
      </c>
    </row>
    <row r="54" spans="2:14" x14ac:dyDescent="0.25">
      <c r="B54" s="1" t="s">
        <v>67</v>
      </c>
      <c r="K54" s="6">
        <v>66.869</v>
      </c>
      <c r="L54" s="6">
        <f>144.113-K54</f>
        <v>77.244</v>
      </c>
      <c r="M54" s="6">
        <f>233.836-L54-K54</f>
        <v>89.723000000000013</v>
      </c>
    </row>
    <row r="55" spans="2:14" x14ac:dyDescent="0.25">
      <c r="B55" s="1" t="s">
        <v>69</v>
      </c>
      <c r="K55" s="6">
        <v>37.691000000000003</v>
      </c>
      <c r="L55" s="6">
        <f>66.727-K55</f>
        <v>29.036000000000001</v>
      </c>
      <c r="M55" s="6">
        <f>87.776-L55-K55</f>
        <v>21.048999999999992</v>
      </c>
    </row>
    <row r="56" spans="2:14" x14ac:dyDescent="0.25">
      <c r="B56" s="1" t="s">
        <v>70</v>
      </c>
      <c r="K56" s="6">
        <v>-26.837</v>
      </c>
      <c r="L56" s="6">
        <f>-26.837-K56</f>
        <v>0</v>
      </c>
      <c r="M56" s="6">
        <f>-26.837-L56-K56</f>
        <v>0</v>
      </c>
    </row>
    <row r="57" spans="2:14" x14ac:dyDescent="0.25">
      <c r="B57" s="1" t="s">
        <v>71</v>
      </c>
      <c r="K57" s="6">
        <v>183.97300000000001</v>
      </c>
      <c r="L57" s="6">
        <f>328.978-K57</f>
        <v>145.005</v>
      </c>
      <c r="M57" s="6">
        <f>473.409-L57-K57</f>
        <v>144.43099999999998</v>
      </c>
    </row>
    <row r="58" spans="2:14" x14ac:dyDescent="0.25">
      <c r="B58" s="1" t="s">
        <v>55</v>
      </c>
      <c r="K58" s="6">
        <v>44.616999999999997</v>
      </c>
      <c r="L58" s="6">
        <f>90.884-K58</f>
        <v>46.267000000000003</v>
      </c>
      <c r="M58" s="6">
        <f>-37.141-L58-K58</f>
        <v>-128.02500000000001</v>
      </c>
    </row>
    <row r="59" spans="2:14" x14ac:dyDescent="0.25">
      <c r="B59" s="1" t="s">
        <v>72</v>
      </c>
      <c r="K59" s="6">
        <v>22.722999999999999</v>
      </c>
      <c r="L59" s="6">
        <f>40.132-K59</f>
        <v>17.408999999999999</v>
      </c>
      <c r="M59" s="6">
        <f>49.388+14.486-L59-K59</f>
        <v>23.741999999999997</v>
      </c>
    </row>
    <row r="60" spans="2:14" x14ac:dyDescent="0.25">
      <c r="B60" s="1" t="s">
        <v>44</v>
      </c>
      <c r="K60" s="6">
        <v>-638.75</v>
      </c>
      <c r="L60" s="6">
        <f>-1504.696-K60</f>
        <v>-865.94599999999991</v>
      </c>
      <c r="M60" s="6">
        <f>-1252.507-L60-K60</f>
        <v>252.18899999999985</v>
      </c>
    </row>
    <row r="61" spans="2:14" x14ac:dyDescent="0.25">
      <c r="B61" s="1" t="s">
        <v>43</v>
      </c>
      <c r="K61" s="6">
        <v>-9.9290000000000003</v>
      </c>
      <c r="L61" s="6">
        <f>-120.448-K61</f>
        <v>-110.51899999999999</v>
      </c>
      <c r="M61" s="6">
        <f>-171.034-L61-K61</f>
        <v>-50.585999999999999</v>
      </c>
    </row>
    <row r="62" spans="2:14" ht="13" x14ac:dyDescent="0.3">
      <c r="B62" s="1" t="s">
        <v>48</v>
      </c>
      <c r="K62" s="6">
        <v>62.326999999999998</v>
      </c>
      <c r="L62" s="6">
        <f>-289.173-K62</f>
        <v>-351.5</v>
      </c>
      <c r="M62" s="8">
        <f>333.211-L62-K62</f>
        <v>622.38400000000001</v>
      </c>
    </row>
    <row r="63" spans="2:14" ht="13" x14ac:dyDescent="0.3">
      <c r="B63" s="1" t="s">
        <v>50</v>
      </c>
      <c r="K63" s="6">
        <v>-15.904</v>
      </c>
      <c r="L63" s="6">
        <f>742.892-K63</f>
        <v>758.79600000000005</v>
      </c>
      <c r="M63" s="8">
        <f>1402.164-L63-K63</f>
        <v>659.27199999999993</v>
      </c>
    </row>
    <row r="64" spans="2:14" x14ac:dyDescent="0.25">
      <c r="B64" s="1" t="s">
        <v>45</v>
      </c>
      <c r="K64" s="6">
        <v>-51.109000000000002</v>
      </c>
      <c r="L64" s="6">
        <f>-110.451-K64</f>
        <v>-59.341999999999992</v>
      </c>
      <c r="M64" s="6">
        <f>-181.061-L64-K64</f>
        <v>-70.610000000000014</v>
      </c>
    </row>
    <row r="65" spans="2:13" x14ac:dyDescent="0.25">
      <c r="B65" s="1" t="s">
        <v>54</v>
      </c>
      <c r="K65" s="6">
        <v>256.64100000000002</v>
      </c>
      <c r="L65" s="6">
        <f>49.968-K65</f>
        <v>-206.673</v>
      </c>
      <c r="M65" s="6">
        <f>-344.822-L65-K65</f>
        <v>-394.79</v>
      </c>
    </row>
    <row r="66" spans="2:13" ht="13" x14ac:dyDescent="0.3">
      <c r="B66" s="1" t="s">
        <v>28</v>
      </c>
      <c r="K66" s="6">
        <f>SUM(K52:K65)</f>
        <v>61.168000000000063</v>
      </c>
      <c r="L66" s="6">
        <f>SUM(L52:L65)</f>
        <v>-251.25099999999975</v>
      </c>
      <c r="M66" s="8">
        <f>SUM(M52:M65)</f>
        <v>1689.1339999999996</v>
      </c>
    </row>
    <row r="67" spans="2:13" x14ac:dyDescent="0.25">
      <c r="L67" s="6"/>
      <c r="M67" s="6"/>
    </row>
    <row r="68" spans="2:13" x14ac:dyDescent="0.25">
      <c r="B68" s="1" t="s">
        <v>73</v>
      </c>
      <c r="K68" s="6">
        <v>-1407.3589999999999</v>
      </c>
      <c r="L68" s="6">
        <f>-3860.351-K68</f>
        <v>-2452.9920000000002</v>
      </c>
      <c r="M68" s="6">
        <f>-6249.239-L68-K68</f>
        <v>-2388.8879999999995</v>
      </c>
    </row>
    <row r="69" spans="2:13" x14ac:dyDescent="0.25">
      <c r="B69" s="1" t="s">
        <v>76</v>
      </c>
      <c r="K69" s="6">
        <f>29.308-55</f>
        <v>-25.692</v>
      </c>
      <c r="L69" s="6">
        <f>29.308-K69+100.645-73-26.109</f>
        <v>56.53599999999998</v>
      </c>
      <c r="M69" s="6">
        <f>29.308-47.246-L69-K69-73-49.849</f>
        <v>-171.63099999999997</v>
      </c>
    </row>
    <row r="70" spans="2:13" x14ac:dyDescent="0.25">
      <c r="B70" s="1" t="s">
        <v>82</v>
      </c>
      <c r="K70" s="6">
        <v>0</v>
      </c>
      <c r="L70" s="6">
        <f>-45.706-K70</f>
        <v>-45.706000000000003</v>
      </c>
      <c r="M70" s="6">
        <f>100.645-55.918-L70-K70</f>
        <v>90.432999999999993</v>
      </c>
    </row>
    <row r="71" spans="2:13" x14ac:dyDescent="0.25">
      <c r="B71" s="1" t="s">
        <v>77</v>
      </c>
      <c r="K71" s="6">
        <f>K69+K68+K70</f>
        <v>-1433.0509999999999</v>
      </c>
      <c r="L71" s="6">
        <f>L69+L68+L70</f>
        <v>-2442.1620000000003</v>
      </c>
      <c r="M71" s="6">
        <f>M69+M68+M70</f>
        <v>-2470.0859999999993</v>
      </c>
    </row>
    <row r="72" spans="2:13" x14ac:dyDescent="0.25">
      <c r="K72" s="6"/>
    </row>
    <row r="73" spans="2:13" x14ac:dyDescent="0.25">
      <c r="B73" s="1" t="s">
        <v>4</v>
      </c>
      <c r="K73" s="6">
        <f>784.956-271.104</f>
        <v>513.85200000000009</v>
      </c>
      <c r="L73" s="6">
        <f>4432.723-1574.867-36.536-K73</f>
        <v>2307.4679999999998</v>
      </c>
      <c r="M73" s="6">
        <f>7562.686-2978.85-46.086-L73-K73</f>
        <v>1716.4299999999992</v>
      </c>
    </row>
    <row r="74" spans="2:13" x14ac:dyDescent="0.25">
      <c r="B74" s="1" t="s">
        <v>74</v>
      </c>
      <c r="K74" s="6">
        <v>-26.100999999999999</v>
      </c>
      <c r="L74" s="6">
        <f>-28.693-K74</f>
        <v>-2.5920000000000023</v>
      </c>
      <c r="M74" s="6">
        <f>-28.693-L74-K74</f>
        <v>0</v>
      </c>
    </row>
    <row r="75" spans="2:13" x14ac:dyDescent="0.25">
      <c r="B75" s="1" t="s">
        <v>75</v>
      </c>
      <c r="K75" s="6">
        <f>2.794-15.685</f>
        <v>-12.891</v>
      </c>
      <c r="L75" s="6">
        <f>4.538-K75-132.558</f>
        <v>-115.12899999999999</v>
      </c>
      <c r="M75" s="6">
        <f>17.519-L75-K75-144.043</f>
        <v>1.4959999999999809</v>
      </c>
    </row>
    <row r="76" spans="2:13" x14ac:dyDescent="0.25">
      <c r="B76" s="1" t="s">
        <v>78</v>
      </c>
      <c r="K76" s="6">
        <f>1422.619-16.87</f>
        <v>1405.749</v>
      </c>
      <c r="L76" s="6">
        <f>1422.619+67.669-K76-27.763</f>
        <v>56.775999999999982</v>
      </c>
      <c r="M76" s="6">
        <f>1422.619+67.669-L76-K76-28.769</f>
        <v>-1.0060000000000784</v>
      </c>
    </row>
    <row r="77" spans="2:13" x14ac:dyDescent="0.25">
      <c r="B77" s="1" t="s">
        <v>79</v>
      </c>
      <c r="K77" s="6">
        <v>-26.742999999999999</v>
      </c>
      <c r="L77" s="6">
        <f>-44.086-K77</f>
        <v>-17.343</v>
      </c>
      <c r="M77" s="6">
        <f>-64.946-L77-K77</f>
        <v>-20.859999999999996</v>
      </c>
    </row>
    <row r="78" spans="2:13" x14ac:dyDescent="0.25">
      <c r="B78" s="1" t="s">
        <v>80</v>
      </c>
      <c r="K78" s="6">
        <f>SUM(K73:K77)</f>
        <v>1853.8660000000002</v>
      </c>
      <c r="L78" s="6">
        <f>SUM(L73:L77)</f>
        <v>2229.1799999999998</v>
      </c>
      <c r="M78" s="6">
        <f>SUM(M73:M77)</f>
        <v>1696.059999999999</v>
      </c>
    </row>
    <row r="79" spans="2:13" x14ac:dyDescent="0.25">
      <c r="B79" s="1" t="s">
        <v>81</v>
      </c>
      <c r="K79" s="6">
        <f>+K78+K71+K66</f>
        <v>481.98300000000035</v>
      </c>
      <c r="L79" s="6">
        <f>+L78+L71+L66</f>
        <v>-464.23300000000017</v>
      </c>
      <c r="M79" s="6">
        <f>+M78+M71+M66</f>
        <v>915.10799999999927</v>
      </c>
    </row>
    <row r="81" spans="2:27" x14ac:dyDescent="0.25">
      <c r="B81" s="1" t="s">
        <v>28</v>
      </c>
      <c r="C81" s="6"/>
      <c r="D81" s="6"/>
      <c r="E81" s="6"/>
      <c r="F81" s="6"/>
      <c r="G81" s="6">
        <v>2039.038</v>
      </c>
      <c r="H81" s="6">
        <f>191.214-G81</f>
        <v>-1847.8240000000001</v>
      </c>
      <c r="I81" s="6"/>
      <c r="J81" s="6"/>
      <c r="K81" s="6"/>
      <c r="L81" s="6"/>
      <c r="M81" s="6"/>
    </row>
    <row r="82" spans="2:27" s="3" customFormat="1" x14ac:dyDescent="0.25">
      <c r="B82" s="3" t="s">
        <v>29</v>
      </c>
      <c r="C82" s="6"/>
      <c r="D82" s="6"/>
      <c r="E82" s="6"/>
      <c r="F82" s="6"/>
      <c r="G82" s="6">
        <v>-1741.9349999999999</v>
      </c>
      <c r="H82" s="6">
        <f>-3989.096-G82</f>
        <v>-2247.1610000000001</v>
      </c>
      <c r="I82" s="6"/>
      <c r="J82" s="6"/>
      <c r="K82" s="6">
        <f t="shared" ref="K82:L82" si="43">+K68</f>
        <v>-1407.3589999999999</v>
      </c>
      <c r="L82" s="6">
        <f t="shared" si="43"/>
        <v>-2452.9920000000002</v>
      </c>
      <c r="M82" s="6">
        <f>+M68</f>
        <v>-2388.8879999999995</v>
      </c>
      <c r="N82" s="6">
        <f>+M82</f>
        <v>-2388.8879999999995</v>
      </c>
      <c r="O82" s="6"/>
      <c r="P82" s="6"/>
      <c r="Q82" s="6"/>
      <c r="R82" s="6"/>
      <c r="X82" s="3">
        <f>SUM(K82:N82)</f>
        <v>-8638.1269999999986</v>
      </c>
      <c r="Y82" s="3">
        <f>+X82</f>
        <v>-8638.1269999999986</v>
      </c>
      <c r="Z82" s="3">
        <f>+Y82</f>
        <v>-8638.1269999999986</v>
      </c>
      <c r="AA82" s="3">
        <f>+Z82</f>
        <v>-8638.1269999999986</v>
      </c>
    </row>
    <row r="83" spans="2:27" x14ac:dyDescent="0.25">
      <c r="B83" s="1" t="s">
        <v>30</v>
      </c>
      <c r="C83" s="6"/>
      <c r="G83" s="6">
        <f>+G81+G82</f>
        <v>297.10300000000007</v>
      </c>
      <c r="H83" s="6">
        <f>+H81+H82</f>
        <v>-4094.9850000000001</v>
      </c>
      <c r="K83" s="6"/>
      <c r="L83" s="6"/>
      <c r="M83" s="6"/>
    </row>
    <row r="85" spans="2:27" x14ac:dyDescent="0.25">
      <c r="B85" s="1" t="s">
        <v>92</v>
      </c>
      <c r="Y85" s="3">
        <f>+Y86-X86</f>
        <v>-3478.038999999997</v>
      </c>
      <c r="Z85" s="3">
        <f>+Z86-Y86</f>
        <v>8759.6787999999997</v>
      </c>
      <c r="AA85" s="3">
        <f>+AA86-Z86</f>
        <v>3153.6065100000014</v>
      </c>
    </row>
    <row r="86" spans="2:27" x14ac:dyDescent="0.25">
      <c r="B86" s="1" t="s">
        <v>68</v>
      </c>
      <c r="X86" s="3">
        <f>+X87-X99</f>
        <v>-10751.54</v>
      </c>
      <c r="Y86" s="3">
        <f>+Y87-Y99+Y82</f>
        <v>-14229.578999999998</v>
      </c>
      <c r="Z86" s="3">
        <f>+Z87-Z99+Z82</f>
        <v>-5469.9001999999982</v>
      </c>
      <c r="AA86" s="3">
        <f>+AA87-AA99+AA82</f>
        <v>-2316.2936899999968</v>
      </c>
    </row>
    <row r="87" spans="2:27" x14ac:dyDescent="0.25">
      <c r="B87" s="1" t="s">
        <v>3</v>
      </c>
      <c r="N87" s="6">
        <f>+N30</f>
        <v>3454.0619999999999</v>
      </c>
      <c r="X87" s="3">
        <f>+N87</f>
        <v>3454.0619999999999</v>
      </c>
      <c r="Y87" s="3">
        <f>+X87+Y18-X97</f>
        <v>7428.4409999999998</v>
      </c>
      <c r="Z87" s="3">
        <f>+Y87+Z18</f>
        <v>16188.1198</v>
      </c>
      <c r="AA87" s="3">
        <f>+Z87+AA18-Z96-Z92</f>
        <v>16974.226310000002</v>
      </c>
    </row>
    <row r="89" spans="2:27" x14ac:dyDescent="0.25">
      <c r="B89" s="1" t="s">
        <v>90</v>
      </c>
      <c r="M89" s="4">
        <v>265</v>
      </c>
      <c r="X89" s="3">
        <f>+M89</f>
        <v>265</v>
      </c>
      <c r="Y89" s="3">
        <f>+X89</f>
        <v>265</v>
      </c>
      <c r="Z89" s="3">
        <f>+Y89</f>
        <v>265</v>
      </c>
      <c r="AA89" s="3">
        <f t="shared" ref="AA89:AA90" si="44">+Z89</f>
        <v>265</v>
      </c>
    </row>
    <row r="90" spans="2:27" x14ac:dyDescent="0.25">
      <c r="B90" s="1" t="s">
        <v>63</v>
      </c>
      <c r="M90" s="6">
        <v>2000</v>
      </c>
      <c r="X90" s="3">
        <f t="shared" ref="X90:X97" si="45">+M90</f>
        <v>2000</v>
      </c>
      <c r="Y90" s="3">
        <f>+X90</f>
        <v>2000</v>
      </c>
      <c r="Z90" s="3">
        <f>+Y90</f>
        <v>2000</v>
      </c>
      <c r="AA90" s="3">
        <f t="shared" si="44"/>
        <v>2000</v>
      </c>
    </row>
    <row r="91" spans="2:27" x14ac:dyDescent="0.25">
      <c r="B91" s="1" t="s">
        <v>64</v>
      </c>
      <c r="M91" s="6">
        <v>1750</v>
      </c>
      <c r="X91" s="3">
        <f t="shared" si="45"/>
        <v>1750</v>
      </c>
      <c r="Y91" s="3">
        <f t="shared" ref="Y91:Y96" si="46">+X91</f>
        <v>1750</v>
      </c>
      <c r="Z91" s="3">
        <f t="shared" ref="Z91:AA97" si="47">+Y91</f>
        <v>1750</v>
      </c>
      <c r="AA91" s="3">
        <f t="shared" si="47"/>
        <v>1750</v>
      </c>
    </row>
    <row r="92" spans="2:27" x14ac:dyDescent="0.25">
      <c r="B92" s="1" t="s">
        <v>89</v>
      </c>
      <c r="M92" s="6">
        <v>1667.5</v>
      </c>
      <c r="X92" s="3">
        <f t="shared" si="45"/>
        <v>1667.5</v>
      </c>
      <c r="Y92" s="3">
        <f t="shared" si="46"/>
        <v>1667.5</v>
      </c>
      <c r="Z92" s="3">
        <f t="shared" si="47"/>
        <v>1667.5</v>
      </c>
      <c r="AA92" s="3">
        <v>0</v>
      </c>
    </row>
    <row r="93" spans="2:27" x14ac:dyDescent="0.25">
      <c r="B93" s="1" t="s">
        <v>88</v>
      </c>
      <c r="M93" s="6">
        <v>5037.3720000000003</v>
      </c>
      <c r="X93" s="3">
        <f t="shared" si="45"/>
        <v>5037.3720000000003</v>
      </c>
      <c r="Y93" s="3">
        <f t="shared" si="46"/>
        <v>5037.3720000000003</v>
      </c>
      <c r="Z93" s="3">
        <f t="shared" si="47"/>
        <v>5037.3720000000003</v>
      </c>
      <c r="AA93" s="3">
        <f t="shared" si="47"/>
        <v>5037.3720000000003</v>
      </c>
    </row>
    <row r="94" spans="2:27" x14ac:dyDescent="0.25">
      <c r="B94" s="1" t="s">
        <v>87</v>
      </c>
      <c r="M94" s="6">
        <v>1241.325</v>
      </c>
      <c r="X94" s="3">
        <f t="shared" si="45"/>
        <v>1241.325</v>
      </c>
      <c r="Y94" s="3">
        <f t="shared" si="46"/>
        <v>1241.325</v>
      </c>
      <c r="Z94" s="3">
        <f t="shared" si="47"/>
        <v>1241.325</v>
      </c>
      <c r="AA94" s="3">
        <f t="shared" si="47"/>
        <v>1241.325</v>
      </c>
    </row>
    <row r="95" spans="2:27" x14ac:dyDescent="0.25">
      <c r="B95" s="1" t="s">
        <v>86</v>
      </c>
      <c r="M95" s="6">
        <v>358.69600000000003</v>
      </c>
      <c r="X95" s="3">
        <f t="shared" si="45"/>
        <v>358.69600000000003</v>
      </c>
      <c r="Y95" s="3">
        <f t="shared" si="46"/>
        <v>358.69600000000003</v>
      </c>
      <c r="Z95" s="3">
        <f t="shared" si="47"/>
        <v>358.69600000000003</v>
      </c>
      <c r="AA95" s="3">
        <f t="shared" si="47"/>
        <v>358.69600000000003</v>
      </c>
    </row>
    <row r="96" spans="2:27" x14ac:dyDescent="0.25">
      <c r="B96" s="1" t="s">
        <v>85</v>
      </c>
      <c r="M96" s="6">
        <v>700</v>
      </c>
      <c r="X96" s="3">
        <f t="shared" si="45"/>
        <v>700</v>
      </c>
      <c r="Y96" s="3">
        <f t="shared" si="46"/>
        <v>700</v>
      </c>
      <c r="Z96" s="3">
        <f t="shared" si="47"/>
        <v>700</v>
      </c>
      <c r="AA96" s="3">
        <v>0</v>
      </c>
    </row>
    <row r="97" spans="2:27" x14ac:dyDescent="0.25">
      <c r="B97" s="1" t="s">
        <v>91</v>
      </c>
      <c r="M97" s="6">
        <v>1185.7090000000001</v>
      </c>
      <c r="X97" s="3">
        <f t="shared" si="45"/>
        <v>1185.7090000000001</v>
      </c>
      <c r="Y97" s="1">
        <v>0</v>
      </c>
      <c r="Z97" s="3">
        <f t="shared" si="47"/>
        <v>0</v>
      </c>
      <c r="AA97" s="3">
        <f t="shared" si="47"/>
        <v>0</v>
      </c>
    </row>
    <row r="99" spans="2:27" x14ac:dyDescent="0.25">
      <c r="X99" s="3">
        <f>SUM(X89:X97)</f>
        <v>14205.602000000001</v>
      </c>
      <c r="Y99" s="3">
        <f>SUM(Y89:Y97)</f>
        <v>13019.893</v>
      </c>
      <c r="Z99" s="3">
        <f>SUM(Z89:Z97)</f>
        <v>13019.893</v>
      </c>
      <c r="AA99" s="3">
        <f t="shared" ref="AA99" si="48">SUM(AA89:AA97)</f>
        <v>10652.393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2025-06-04T13:51:10Z</dcterms:created>
  <dcterms:modified xsi:type="dcterms:W3CDTF">2025-11-19T15:51:34Z</dcterms:modified>
</cp:coreProperties>
</file>