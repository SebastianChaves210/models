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astianchaves/Downloads/_Top Models/Technology/"/>
    </mc:Choice>
  </mc:AlternateContent>
  <xr:revisionPtr revIDLastSave="0" documentId="13_ncr:1_{5B7C6F28-D4B2-4783-B3BB-C8637E027FDA}" xr6:coauthVersionLast="47" xr6:coauthVersionMax="47" xr10:uidLastSave="{00000000-0000-0000-0000-000000000000}"/>
  <bookViews>
    <workbookView xWindow="-110" yWindow="-110" windowWidth="38620" windowHeight="21100" activeTab="1" xr2:uid="{671DB3F5-1146-490A-8CDE-C96942034B03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5" i="2" l="1"/>
  <c r="K49" i="2" s="1"/>
  <c r="K48" i="2"/>
  <c r="K44" i="2"/>
  <c r="K40" i="2"/>
  <c r="K55" i="2"/>
  <c r="L60" i="2"/>
  <c r="L61" i="2" s="1"/>
  <c r="L54" i="2"/>
  <c r="L53" i="2"/>
  <c r="L55" i="2" s="1"/>
  <c r="L48" i="2"/>
  <c r="L45" i="2"/>
  <c r="L44" i="2"/>
  <c r="L34" i="2"/>
  <c r="L38" i="2" s="1"/>
  <c r="L22" i="2"/>
  <c r="L27" i="2"/>
  <c r="L25" i="2"/>
  <c r="J6" i="2"/>
  <c r="J19" i="2" s="1"/>
  <c r="K6" i="2"/>
  <c r="K19" i="2" s="1"/>
  <c r="L9" i="2"/>
  <c r="K9" i="2"/>
  <c r="J9" i="2"/>
  <c r="J10" i="2" s="1"/>
  <c r="J12" i="2" s="1"/>
  <c r="J14" i="2" s="1"/>
  <c r="J15" i="2" s="1"/>
  <c r="L6" i="2"/>
  <c r="L19" i="2" s="1"/>
  <c r="M18" i="2"/>
  <c r="L18" i="2"/>
  <c r="K18" i="2"/>
  <c r="X75" i="2"/>
  <c r="X77" i="2" s="1"/>
  <c r="W34" i="2"/>
  <c r="W38" i="2" s="1"/>
  <c r="W29" i="2"/>
  <c r="Y3" i="2"/>
  <c r="Z3" i="2" s="1"/>
  <c r="AA3" i="2" s="1"/>
  <c r="AB3" i="2" s="1"/>
  <c r="AC3" i="2" s="1"/>
  <c r="AD3" i="2" s="1"/>
  <c r="AE3" i="2" s="1"/>
  <c r="AF3" i="2" s="1"/>
  <c r="F18" i="2"/>
  <c r="E18" i="2"/>
  <c r="C9" i="2"/>
  <c r="C6" i="2"/>
  <c r="C19" i="2" s="1"/>
  <c r="E9" i="2"/>
  <c r="E6" i="2"/>
  <c r="E19" i="2" s="1"/>
  <c r="D9" i="2"/>
  <c r="F9" i="2"/>
  <c r="F6" i="2"/>
  <c r="D6" i="2"/>
  <c r="D19" i="2" s="1"/>
  <c r="N18" i="2"/>
  <c r="M65" i="2"/>
  <c r="M9" i="2"/>
  <c r="M6" i="2"/>
  <c r="M19" i="2" s="1"/>
  <c r="O18" i="2"/>
  <c r="N65" i="2"/>
  <c r="N9" i="2"/>
  <c r="N6" i="2"/>
  <c r="N19" i="2" s="1"/>
  <c r="P18" i="2"/>
  <c r="O65" i="2"/>
  <c r="O9" i="2"/>
  <c r="O6" i="2"/>
  <c r="O19" i="2" s="1"/>
  <c r="Q18" i="2"/>
  <c r="P65" i="2"/>
  <c r="P9" i="2"/>
  <c r="P6" i="2"/>
  <c r="P19" i="2" s="1"/>
  <c r="R18" i="2"/>
  <c r="Q65" i="2"/>
  <c r="Q9" i="2"/>
  <c r="Q6" i="2"/>
  <c r="Q10" i="2" s="1"/>
  <c r="Q12" i="2" s="1"/>
  <c r="Q14" i="2" s="1"/>
  <c r="Q15" i="2" s="1"/>
  <c r="S18" i="2"/>
  <c r="R65" i="2"/>
  <c r="R9" i="2"/>
  <c r="R6" i="2"/>
  <c r="R19" i="2" s="1"/>
  <c r="T18" i="2"/>
  <c r="S65" i="2"/>
  <c r="S9" i="2"/>
  <c r="S6" i="2"/>
  <c r="S19" i="2" s="1"/>
  <c r="U18" i="2"/>
  <c r="T65" i="2"/>
  <c r="T9" i="2"/>
  <c r="T6" i="2"/>
  <c r="T19" i="2" s="1"/>
  <c r="V18" i="2"/>
  <c r="U65" i="2"/>
  <c r="U9" i="2"/>
  <c r="U6" i="2"/>
  <c r="U19" i="2" s="1"/>
  <c r="X65" i="2"/>
  <c r="Y65" i="2" s="1"/>
  <c r="Z65" i="2" s="1"/>
  <c r="AA65" i="2" s="1"/>
  <c r="AB65" i="2" s="1"/>
  <c r="AC65" i="2" s="1"/>
  <c r="AD65" i="2" s="1"/>
  <c r="AE65" i="2" s="1"/>
  <c r="AF65" i="2" s="1"/>
  <c r="AG65" i="2" s="1"/>
  <c r="AH65" i="2" s="1"/>
  <c r="AI65" i="2" s="1"/>
  <c r="AJ65" i="2" s="1"/>
  <c r="AK65" i="2" s="1"/>
  <c r="AL65" i="2" s="1"/>
  <c r="AM65" i="2" s="1"/>
  <c r="AN65" i="2" s="1"/>
  <c r="AO65" i="2" s="1"/>
  <c r="AP65" i="2" s="1"/>
  <c r="AQ65" i="2" s="1"/>
  <c r="AR65" i="2" s="1"/>
  <c r="AS65" i="2" s="1"/>
  <c r="AT65" i="2" s="1"/>
  <c r="AU65" i="2" s="1"/>
  <c r="AV65" i="2" s="1"/>
  <c r="AW65" i="2" s="1"/>
  <c r="AX65" i="2" s="1"/>
  <c r="AY65" i="2" s="1"/>
  <c r="AZ65" i="2" s="1"/>
  <c r="BA65" i="2" s="1"/>
  <c r="BB65" i="2" s="1"/>
  <c r="BC65" i="2" s="1"/>
  <c r="BD65" i="2" s="1"/>
  <c r="BE65" i="2" s="1"/>
  <c r="BF65" i="2" s="1"/>
  <c r="BG65" i="2" s="1"/>
  <c r="BH65" i="2" s="1"/>
  <c r="BI65" i="2" s="1"/>
  <c r="BJ65" i="2" s="1"/>
  <c r="BK65" i="2" s="1"/>
  <c r="BL65" i="2" s="1"/>
  <c r="BM65" i="2" s="1"/>
  <c r="BN65" i="2" s="1"/>
  <c r="BO65" i="2" s="1"/>
  <c r="BP65" i="2" s="1"/>
  <c r="BQ65" i="2" s="1"/>
  <c r="BR65" i="2" s="1"/>
  <c r="BS65" i="2" s="1"/>
  <c r="BT65" i="2" s="1"/>
  <c r="BU65" i="2" s="1"/>
  <c r="BV65" i="2" s="1"/>
  <c r="BW65" i="2" s="1"/>
  <c r="W65" i="2"/>
  <c r="V65" i="2"/>
  <c r="X18" i="2"/>
  <c r="W18" i="2"/>
  <c r="V9" i="2"/>
  <c r="V6" i="2"/>
  <c r="V19" i="2" s="1"/>
  <c r="W9" i="2"/>
  <c r="W6" i="2"/>
  <c r="W19" i="2" s="1"/>
  <c r="X9" i="2"/>
  <c r="X6" i="2"/>
  <c r="X19" i="2" s="1"/>
  <c r="X34" i="2"/>
  <c r="X38" i="2" s="1"/>
  <c r="X22" i="2"/>
  <c r="X29" i="2" s="1"/>
  <c r="L4" i="1"/>
  <c r="L7" i="1" s="1"/>
  <c r="W21" i="2" l="1"/>
  <c r="L29" i="2"/>
  <c r="L49" i="2"/>
  <c r="L65" i="2" s="1"/>
  <c r="F10" i="2"/>
  <c r="F12" i="2" s="1"/>
  <c r="F14" i="2" s="1"/>
  <c r="K10" i="2"/>
  <c r="K12" i="2" s="1"/>
  <c r="K14" i="2" s="1"/>
  <c r="K15" i="2" s="1"/>
  <c r="L10" i="2"/>
  <c r="L12" i="2" s="1"/>
  <c r="L14" i="2" s="1"/>
  <c r="X21" i="2"/>
  <c r="E10" i="2"/>
  <c r="E12" i="2" s="1"/>
  <c r="E14" i="2" s="1"/>
  <c r="C10" i="2"/>
  <c r="C12" i="2" s="1"/>
  <c r="C14" i="2" s="1"/>
  <c r="F19" i="2"/>
  <c r="D10" i="2"/>
  <c r="D12" i="2" s="1"/>
  <c r="D14" i="2" s="1"/>
  <c r="M10" i="2"/>
  <c r="M12" i="2" s="1"/>
  <c r="M14" i="2" s="1"/>
  <c r="M15" i="2" s="1"/>
  <c r="N10" i="2"/>
  <c r="N12" i="2" s="1"/>
  <c r="N14" i="2" s="1"/>
  <c r="N15" i="2" s="1"/>
  <c r="O10" i="2"/>
  <c r="O12" i="2" s="1"/>
  <c r="O14" i="2" s="1"/>
  <c r="O15" i="2" s="1"/>
  <c r="P10" i="2"/>
  <c r="P12" i="2" s="1"/>
  <c r="P14" i="2" s="1"/>
  <c r="P15" i="2" s="1"/>
  <c r="Q19" i="2"/>
  <c r="R10" i="2"/>
  <c r="R12" i="2" s="1"/>
  <c r="R14" i="2" s="1"/>
  <c r="R15" i="2" s="1"/>
  <c r="S10" i="2"/>
  <c r="S12" i="2" s="1"/>
  <c r="S14" i="2" s="1"/>
  <c r="S15" i="2" s="1"/>
  <c r="T10" i="2"/>
  <c r="T12" i="2" s="1"/>
  <c r="T14" i="2" s="1"/>
  <c r="T15" i="2" s="1"/>
  <c r="U10" i="2"/>
  <c r="U12" i="2" s="1"/>
  <c r="U14" i="2" s="1"/>
  <c r="U15" i="2" s="1"/>
  <c r="V10" i="2"/>
  <c r="V12" i="2" s="1"/>
  <c r="V14" i="2" s="1"/>
  <c r="V15" i="2" s="1"/>
  <c r="X10" i="2"/>
  <c r="X12" i="2" s="1"/>
  <c r="X14" i="2" s="1"/>
  <c r="X15" i="2" s="1"/>
  <c r="W10" i="2"/>
  <c r="W12" i="2" s="1"/>
  <c r="W14" i="2" s="1"/>
  <c r="W15" i="2" s="1"/>
  <c r="L63" i="2" l="1"/>
  <c r="L15" i="2"/>
  <c r="L40" i="2"/>
</calcChain>
</file>

<file path=xl/sharedStrings.xml><?xml version="1.0" encoding="utf-8"?>
<sst xmlns="http://schemas.openxmlformats.org/spreadsheetml/2006/main" count="95" uniqueCount="86">
  <si>
    <t>Price</t>
  </si>
  <si>
    <t>Shares</t>
  </si>
  <si>
    <t>MC</t>
  </si>
  <si>
    <t>Cash</t>
  </si>
  <si>
    <t>Debt</t>
  </si>
  <si>
    <t>Q225</t>
  </si>
  <si>
    <t>Main</t>
  </si>
  <si>
    <t>WFE for DRAM</t>
  </si>
  <si>
    <t>Wafers are 12 inches diameter</t>
  </si>
  <si>
    <t>Chip patterns are etched on the wafer hundreds-thousands of times</t>
  </si>
  <si>
    <t xml:space="preserve">  Each individual chip is a die</t>
  </si>
  <si>
    <t>wafer → cut → die → package → integrated circuit</t>
  </si>
  <si>
    <t>deposition</t>
  </si>
  <si>
    <t>etch</t>
  </si>
  <si>
    <t>clean</t>
  </si>
  <si>
    <t>wafer-level packaging</t>
  </si>
  <si>
    <t>Metal Films</t>
  </si>
  <si>
    <t>Dielectric Films</t>
  </si>
  <si>
    <t>Electrochemical Deposition</t>
  </si>
  <si>
    <t>Chemical Vapor Deposition, Atomic Layer Deposition</t>
  </si>
  <si>
    <t>Revenue</t>
  </si>
  <si>
    <t>AR</t>
  </si>
  <si>
    <t>Inventories</t>
  </si>
  <si>
    <t>Prepaids</t>
  </si>
  <si>
    <t>PP&amp;E</t>
  </si>
  <si>
    <t>Goodwill</t>
  </si>
  <si>
    <t>Other</t>
  </si>
  <si>
    <t>Assets</t>
  </si>
  <si>
    <t>AP</t>
  </si>
  <si>
    <t>L+SE</t>
  </si>
  <si>
    <t>AE</t>
  </si>
  <si>
    <t>DP</t>
  </si>
  <si>
    <t>OLTL</t>
  </si>
  <si>
    <t>E</t>
  </si>
  <si>
    <t>Taxes</t>
  </si>
  <si>
    <t>EV</t>
  </si>
  <si>
    <t>Operating Income</t>
  </si>
  <si>
    <t>Operating Expenses</t>
  </si>
  <si>
    <t>SG&amp;A</t>
  </si>
  <si>
    <t>R&amp;D</t>
  </si>
  <si>
    <t>Gross Profit</t>
  </si>
  <si>
    <t>COGS</t>
  </si>
  <si>
    <t>Pretax Income</t>
  </si>
  <si>
    <t>Interest Income</t>
  </si>
  <si>
    <t>Net Income</t>
  </si>
  <si>
    <t>EPS</t>
  </si>
  <si>
    <t>S/O</t>
  </si>
  <si>
    <t>Revenue y/y</t>
  </si>
  <si>
    <t>Gross Margin</t>
  </si>
  <si>
    <t>CFFO</t>
  </si>
  <si>
    <t>CX</t>
  </si>
  <si>
    <t>FCF</t>
  </si>
  <si>
    <t>Plasma Etch</t>
  </si>
  <si>
    <t>TSMC, Samsung, Micron are customers</t>
  </si>
  <si>
    <t>dominates NAND etch</t>
  </si>
  <si>
    <t>wet etch is less precise</t>
  </si>
  <si>
    <t>plasma/dry etch uses gas plasma in a vacuum and is extremely accurate</t>
  </si>
  <si>
    <t>50:1 or 100:1 aspect ratios for modern chips (not very wide but very deep)</t>
  </si>
  <si>
    <t>holes go through the other side, trenches don’t</t>
  </si>
  <si>
    <t>HAR (high aspect ratio) king</t>
  </si>
  <si>
    <t>Net Debt</t>
  </si>
  <si>
    <t>ROP</t>
  </si>
  <si>
    <t>Gross PP&amp;E</t>
  </si>
  <si>
    <t>Buildings &amp; Improvements</t>
  </si>
  <si>
    <t>Manfuacturing &amp; Engineering Equipment</t>
  </si>
  <si>
    <t>Computers</t>
  </si>
  <si>
    <t>Land</t>
  </si>
  <si>
    <t>Office Equipment</t>
  </si>
  <si>
    <t>CapEx</t>
  </si>
  <si>
    <t>Net PP&amp;E</t>
  </si>
  <si>
    <t>Model NI</t>
  </si>
  <si>
    <t>SBC</t>
  </si>
  <si>
    <t>Impairment</t>
  </si>
  <si>
    <t>D&amp;A</t>
  </si>
  <si>
    <t>Reported NI</t>
  </si>
  <si>
    <t>WC</t>
  </si>
  <si>
    <t>Convert Discount</t>
  </si>
  <si>
    <t>Acquisitions</t>
  </si>
  <si>
    <t>Investments</t>
  </si>
  <si>
    <t>CFFI</t>
  </si>
  <si>
    <t>Buybacks</t>
  </si>
  <si>
    <t>Issuance</t>
  </si>
  <si>
    <t>Repurchases</t>
  </si>
  <si>
    <t>FX</t>
  </si>
  <si>
    <t>CFFF</t>
  </si>
  <si>
    <t>CIC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</si>
</sst>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3" fontId="0" fillId="0" borderId="0" xfId="0" applyNumberFormat="1"/>
    <xf numFmtId="0" fontId="0" fillId="0" borderId="0" xfId="0" applyAlignment="1">
      <alignment horizontal="right"/>
    </xf>
    <xf numFmtId="0" fontId="2" fillId="0" borderId="0" xfId="1" applyFont="1"/>
    <xf numFmtId="0" fontId="3" fillId="0" borderId="0" xfId="0" applyFont="1"/>
    <xf numFmtId="164" fontId="3" fillId="0" borderId="0" xfId="0" applyNumberFormat="1" applyFont="1"/>
    <xf numFmtId="0" fontId="4" fillId="0" borderId="0" xfId="0" applyFont="1"/>
    <xf numFmtId="3" fontId="4" fillId="0" borderId="0" xfId="0" applyNumberFormat="1" applyFont="1"/>
    <xf numFmtId="3" fontId="3" fillId="0" borderId="0" xfId="0" applyNumberFormat="1" applyFont="1"/>
    <xf numFmtId="4" fontId="4" fillId="0" borderId="0" xfId="0" applyNumberFormat="1" applyFont="1"/>
    <xf numFmtId="9" fontId="3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19843</xdr:colOff>
      <xdr:row>0</xdr:row>
      <xdr:rowOff>59531</xdr:rowOff>
    </xdr:from>
    <xdr:to>
      <xdr:col>24</xdr:col>
      <xdr:colOff>19843</xdr:colOff>
      <xdr:row>91</xdr:row>
      <xdr:rowOff>40105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0172D50-374B-B396-3C92-87CB50536052}"/>
            </a:ext>
          </a:extLst>
        </xdr:cNvPr>
        <xdr:cNvCxnSpPr/>
      </xdr:nvCxnSpPr>
      <xdr:spPr>
        <a:xfrm>
          <a:off x="13882896" y="59531"/>
          <a:ext cx="0" cy="1090257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38D6E-B347-453E-A685-1D84D64CB554}">
  <dimension ref="B2:M22"/>
  <sheetViews>
    <sheetView zoomScale="150" zoomScaleNormal="150" workbookViewId="0"/>
  </sheetViews>
  <sheetFormatPr defaultRowHeight="14.5" x14ac:dyDescent="0.35"/>
  <cols>
    <col min="2" max="2" width="10" customWidth="1"/>
    <col min="3" max="3" width="10.26953125" customWidth="1"/>
  </cols>
  <sheetData>
    <row r="2" spans="2:13" x14ac:dyDescent="0.35">
      <c r="B2" t="s">
        <v>7</v>
      </c>
      <c r="K2" t="s">
        <v>0</v>
      </c>
      <c r="L2">
        <v>199.33</v>
      </c>
    </row>
    <row r="3" spans="2:13" x14ac:dyDescent="0.35">
      <c r="B3" t="s">
        <v>8</v>
      </c>
      <c r="K3" t="s">
        <v>1</v>
      </c>
      <c r="L3" s="1">
        <v>1265.6210000000001</v>
      </c>
      <c r="M3" s="2" t="s">
        <v>5</v>
      </c>
    </row>
    <row r="4" spans="2:13" x14ac:dyDescent="0.35">
      <c r="B4" t="s">
        <v>9</v>
      </c>
      <c r="K4" t="s">
        <v>2</v>
      </c>
      <c r="L4" s="1">
        <f>L2*L3</f>
        <v>252276.23393000005</v>
      </c>
    </row>
    <row r="5" spans="2:13" x14ac:dyDescent="0.35">
      <c r="B5" t="s">
        <v>10</v>
      </c>
      <c r="K5" t="s">
        <v>3</v>
      </c>
      <c r="L5" s="1">
        <v>6391</v>
      </c>
      <c r="M5" s="2" t="s">
        <v>5</v>
      </c>
    </row>
    <row r="6" spans="2:13" x14ac:dyDescent="0.35">
      <c r="B6" t="s">
        <v>11</v>
      </c>
      <c r="K6" t="s">
        <v>4</v>
      </c>
      <c r="L6" s="1">
        <v>4485</v>
      </c>
      <c r="M6" s="2" t="s">
        <v>5</v>
      </c>
    </row>
    <row r="7" spans="2:13" x14ac:dyDescent="0.35">
      <c r="K7" t="s">
        <v>35</v>
      </c>
      <c r="L7" s="1">
        <f>L4-L5+L6</f>
        <v>250370.23393000005</v>
      </c>
    </row>
    <row r="8" spans="2:13" x14ac:dyDescent="0.35">
      <c r="B8" t="s">
        <v>12</v>
      </c>
    </row>
    <row r="9" spans="2:13" x14ac:dyDescent="0.35">
      <c r="C9" t="s">
        <v>16</v>
      </c>
      <c r="D9" t="s">
        <v>18</v>
      </c>
    </row>
    <row r="10" spans="2:13" x14ac:dyDescent="0.35">
      <c r="C10" t="s">
        <v>17</v>
      </c>
      <c r="D10" t="s">
        <v>19</v>
      </c>
    </row>
    <row r="11" spans="2:13" x14ac:dyDescent="0.35">
      <c r="B11" t="s">
        <v>13</v>
      </c>
    </row>
    <row r="12" spans="2:13" x14ac:dyDescent="0.35">
      <c r="C12" t="s">
        <v>52</v>
      </c>
    </row>
    <row r="13" spans="2:13" x14ac:dyDescent="0.35">
      <c r="B13" t="s">
        <v>14</v>
      </c>
    </row>
    <row r="14" spans="2:13" x14ac:dyDescent="0.35">
      <c r="B14" t="s">
        <v>15</v>
      </c>
    </row>
    <row r="16" spans="2:13" x14ac:dyDescent="0.35">
      <c r="B16" t="s">
        <v>53</v>
      </c>
    </row>
    <row r="17" spans="2:3" x14ac:dyDescent="0.35">
      <c r="B17" t="s">
        <v>54</v>
      </c>
    </row>
    <row r="18" spans="2:3" x14ac:dyDescent="0.35">
      <c r="C18" t="s">
        <v>55</v>
      </c>
    </row>
    <row r="19" spans="2:3" x14ac:dyDescent="0.35">
      <c r="C19" t="s">
        <v>56</v>
      </c>
    </row>
    <row r="20" spans="2:3" x14ac:dyDescent="0.35">
      <c r="C20" t="s">
        <v>57</v>
      </c>
    </row>
    <row r="21" spans="2:3" x14ac:dyDescent="0.35">
      <c r="C21" t="s">
        <v>58</v>
      </c>
    </row>
    <row r="22" spans="2:3" x14ac:dyDescent="0.35">
      <c r="C22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53292-6F6F-4496-8970-716BF9513FEB}">
  <dimension ref="A1:BW77"/>
  <sheetViews>
    <sheetView tabSelected="1" zoomScale="160" zoomScaleNormal="160" workbookViewId="0">
      <pane xSplit="2" ySplit="3" topLeftCell="C38" activePane="bottomRight" state="frozen"/>
      <selection pane="topRight" activeCell="C1" sqref="C1"/>
      <selection pane="bottomLeft" activeCell="A4" sqref="A4"/>
      <selection pane="bottomRight" activeCell="L45" sqref="L45"/>
    </sheetView>
  </sheetViews>
  <sheetFormatPr defaultRowHeight="12.5" x14ac:dyDescent="0.25"/>
  <cols>
    <col min="1" max="1" width="4.7265625" style="4" bestFit="1" customWidth="1"/>
    <col min="2" max="2" width="16.90625" style="4" customWidth="1"/>
    <col min="3" max="3" width="10.08984375" style="4" customWidth="1"/>
    <col min="4" max="4" width="10.08984375" style="4" bestFit="1" customWidth="1"/>
    <col min="5" max="5" width="10.08984375" style="4" customWidth="1"/>
    <col min="6" max="6" width="10.08984375" style="4" bestFit="1" customWidth="1"/>
    <col min="7" max="8" width="9.08984375" style="4" customWidth="1"/>
    <col min="9" max="9" width="9.08984375" style="4" bestFit="1" customWidth="1"/>
    <col min="10" max="12" width="9.08984375" style="4" customWidth="1"/>
    <col min="13" max="24" width="9.08984375" style="4" bestFit="1" customWidth="1"/>
    <col min="25" max="16384" width="8.7265625" style="4"/>
  </cols>
  <sheetData>
    <row r="1" spans="1:32" x14ac:dyDescent="0.25">
      <c r="A1" s="3" t="s">
        <v>6</v>
      </c>
    </row>
    <row r="3" spans="1:32" s="5" customFormat="1" x14ac:dyDescent="0.25">
      <c r="C3" s="5">
        <v>45563</v>
      </c>
      <c r="D3" s="5">
        <v>45655</v>
      </c>
      <c r="E3" s="5">
        <v>45928</v>
      </c>
      <c r="F3" s="5">
        <v>46019</v>
      </c>
      <c r="J3" s="5">
        <v>40724</v>
      </c>
      <c r="K3" s="5">
        <v>41090</v>
      </c>
      <c r="L3" s="5">
        <v>41455</v>
      </c>
      <c r="M3" s="5">
        <v>41820</v>
      </c>
      <c r="N3" s="5">
        <v>42185</v>
      </c>
      <c r="O3" s="5">
        <v>42551</v>
      </c>
      <c r="P3" s="5">
        <v>42916</v>
      </c>
      <c r="Q3" s="5">
        <v>43281</v>
      </c>
      <c r="R3" s="5">
        <v>43646</v>
      </c>
      <c r="S3" s="5">
        <v>44012</v>
      </c>
      <c r="T3" s="5">
        <v>44377</v>
      </c>
      <c r="U3" s="5">
        <v>44742</v>
      </c>
      <c r="V3" s="5">
        <v>45107</v>
      </c>
      <c r="W3" s="5">
        <v>45473</v>
      </c>
      <c r="X3" s="5">
        <v>45837</v>
      </c>
      <c r="Y3" s="5">
        <f>+X3+365</f>
        <v>46202</v>
      </c>
      <c r="Z3" s="5">
        <f>+Y3+365</f>
        <v>46567</v>
      </c>
      <c r="AA3" s="5">
        <f>+Z3+365</f>
        <v>46932</v>
      </c>
      <c r="AB3" s="5">
        <f>+AA3+365</f>
        <v>47297</v>
      </c>
      <c r="AC3" s="5">
        <f>+AB3+365</f>
        <v>47662</v>
      </c>
      <c r="AD3" s="5">
        <f>+AC3+365</f>
        <v>48027</v>
      </c>
      <c r="AE3" s="5">
        <f>+AD3+365</f>
        <v>48392</v>
      </c>
      <c r="AF3" s="5">
        <f>+AE3+365</f>
        <v>48757</v>
      </c>
    </row>
    <row r="4" spans="1:32" s="6" customFormat="1" ht="13" x14ac:dyDescent="0.3">
      <c r="B4" s="6" t="s">
        <v>20</v>
      </c>
      <c r="C4" s="7">
        <v>4167.9759999999997</v>
      </c>
      <c r="D4" s="7">
        <v>4376.0469999999996</v>
      </c>
      <c r="E4" s="7">
        <v>5324.1729999999998</v>
      </c>
      <c r="F4" s="7">
        <v>5344.7910000000002</v>
      </c>
      <c r="G4" s="7"/>
      <c r="H4" s="7"/>
      <c r="I4" s="7"/>
      <c r="J4" s="7">
        <v>3237.6930000000002</v>
      </c>
      <c r="K4" s="7">
        <v>2665.192</v>
      </c>
      <c r="L4" s="7">
        <v>3598.9160000000002</v>
      </c>
      <c r="M4" s="7">
        <v>4607.3090000000002</v>
      </c>
      <c r="N4" s="7">
        <v>5259.3119999999999</v>
      </c>
      <c r="O4" s="7">
        <v>5885.893</v>
      </c>
      <c r="P4" s="7">
        <v>8013.62</v>
      </c>
      <c r="Q4" s="7">
        <v>11076.998</v>
      </c>
      <c r="R4" s="7">
        <v>9653.5589999999993</v>
      </c>
      <c r="S4" s="7">
        <v>10044.736000000001</v>
      </c>
      <c r="T4" s="7">
        <v>14626.15</v>
      </c>
      <c r="U4" s="7">
        <v>17227.039000000001</v>
      </c>
      <c r="V4" s="7">
        <v>17428.516</v>
      </c>
      <c r="W4" s="7">
        <v>14905.386</v>
      </c>
      <c r="X4" s="7">
        <v>18435.591</v>
      </c>
    </row>
    <row r="5" spans="1:32" x14ac:dyDescent="0.25">
      <c r="B5" s="4" t="s">
        <v>41</v>
      </c>
      <c r="C5" s="8">
        <v>2165.2930000000001</v>
      </c>
      <c r="D5" s="8">
        <v>2303.0659999999998</v>
      </c>
      <c r="E5" s="8">
        <v>2639.2939999999999</v>
      </c>
      <c r="F5" s="8">
        <v>2693.6289999999999</v>
      </c>
      <c r="G5" s="8"/>
      <c r="H5" s="8"/>
      <c r="I5" s="8"/>
      <c r="J5" s="8">
        <v>1740.461</v>
      </c>
      <c r="K5" s="8">
        <v>1581.123</v>
      </c>
      <c r="L5" s="8">
        <v>2195.857</v>
      </c>
      <c r="M5" s="8">
        <v>2599.828</v>
      </c>
      <c r="N5" s="8">
        <v>2974.9760000000001</v>
      </c>
      <c r="O5" s="8">
        <v>3266.971</v>
      </c>
      <c r="P5" s="8">
        <v>4410.2610000000004</v>
      </c>
      <c r="Q5" s="8">
        <v>5911.9660000000003</v>
      </c>
      <c r="R5" s="8">
        <v>5295.1</v>
      </c>
      <c r="S5" s="8">
        <v>5436.0429999999997</v>
      </c>
      <c r="T5" s="8">
        <v>7820.8440000000001</v>
      </c>
      <c r="U5" s="8">
        <v>9355.232</v>
      </c>
      <c r="V5" s="8">
        <v>9573.4249999999993</v>
      </c>
      <c r="W5" s="8">
        <v>7809.22</v>
      </c>
      <c r="X5" s="8">
        <v>9456.5319999999992</v>
      </c>
    </row>
    <row r="6" spans="1:32" x14ac:dyDescent="0.25">
      <c r="B6" s="4" t="s">
        <v>40</v>
      </c>
      <c r="C6" s="8">
        <f>C4-C5</f>
        <v>2002.6829999999995</v>
      </c>
      <c r="D6" s="8">
        <f>D4-D5</f>
        <v>2072.9809999999998</v>
      </c>
      <c r="E6" s="8">
        <f>E4-E5</f>
        <v>2684.8789999999999</v>
      </c>
      <c r="F6" s="8">
        <f>F4-F5</f>
        <v>2651.1620000000003</v>
      </c>
      <c r="G6" s="8"/>
      <c r="H6" s="8"/>
      <c r="I6" s="8"/>
      <c r="J6" s="8">
        <f t="shared" ref="J6" si="0">+J4-J5</f>
        <v>1497.2320000000002</v>
      </c>
      <c r="K6" s="8">
        <f>+K4-K5</f>
        <v>1084.069</v>
      </c>
      <c r="L6" s="8">
        <f>+L4-L5</f>
        <v>1403.0590000000002</v>
      </c>
      <c r="M6" s="8">
        <f t="shared" ref="M6:X6" si="1">M4-M5</f>
        <v>2007.4810000000002</v>
      </c>
      <c r="N6" s="8">
        <f t="shared" si="1"/>
        <v>2284.3359999999998</v>
      </c>
      <c r="O6" s="8">
        <f t="shared" si="1"/>
        <v>2618.922</v>
      </c>
      <c r="P6" s="8">
        <f t="shared" si="1"/>
        <v>3603.3589999999995</v>
      </c>
      <c r="Q6" s="8">
        <f t="shared" si="1"/>
        <v>5165.0319999999992</v>
      </c>
      <c r="R6" s="8">
        <f t="shared" si="1"/>
        <v>4358.4589999999989</v>
      </c>
      <c r="S6" s="8">
        <f t="shared" si="1"/>
        <v>4608.6930000000011</v>
      </c>
      <c r="T6" s="8">
        <f t="shared" si="1"/>
        <v>6805.3059999999996</v>
      </c>
      <c r="U6" s="8">
        <f t="shared" si="1"/>
        <v>7871.8070000000007</v>
      </c>
      <c r="V6" s="8">
        <f t="shared" si="1"/>
        <v>7855.0910000000003</v>
      </c>
      <c r="W6" s="8">
        <f t="shared" si="1"/>
        <v>7096.1660000000002</v>
      </c>
      <c r="X6" s="8">
        <f t="shared" si="1"/>
        <v>8979.0590000000011</v>
      </c>
    </row>
    <row r="7" spans="1:32" x14ac:dyDescent="0.25">
      <c r="B7" s="4" t="s">
        <v>39</v>
      </c>
      <c r="C7" s="8">
        <v>495.35899999999998</v>
      </c>
      <c r="D7" s="8">
        <v>494.97399999999999</v>
      </c>
      <c r="E7" s="8">
        <v>576.44600000000003</v>
      </c>
      <c r="F7" s="8">
        <v>573.30499999999995</v>
      </c>
      <c r="G7" s="8"/>
      <c r="H7" s="8"/>
      <c r="I7" s="8"/>
      <c r="J7" s="8">
        <v>373.29300000000001</v>
      </c>
      <c r="K7" s="8">
        <v>444.55900000000003</v>
      </c>
      <c r="L7" s="8">
        <v>683.68799999999999</v>
      </c>
      <c r="M7" s="8">
        <v>716.471</v>
      </c>
      <c r="N7" s="8">
        <v>825.24199999999996</v>
      </c>
      <c r="O7" s="8">
        <v>913.71199999999999</v>
      </c>
      <c r="P7" s="8">
        <v>1033.742</v>
      </c>
      <c r="Q7" s="8">
        <v>1189.5139999999999</v>
      </c>
      <c r="R7" s="8">
        <v>1191.32</v>
      </c>
      <c r="S7" s="8">
        <v>1252.412</v>
      </c>
      <c r="T7" s="8">
        <v>1493.4079999999999</v>
      </c>
      <c r="U7" s="8">
        <v>1604.248</v>
      </c>
      <c r="V7" s="8">
        <v>1727.162</v>
      </c>
      <c r="W7" s="8">
        <v>1902.444</v>
      </c>
      <c r="X7" s="8">
        <v>2096.3870000000002</v>
      </c>
    </row>
    <row r="8" spans="1:32" x14ac:dyDescent="0.25">
      <c r="B8" s="4" t="s">
        <v>38</v>
      </c>
      <c r="C8" s="8">
        <v>243.12799999999999</v>
      </c>
      <c r="D8" s="8">
        <v>244.15</v>
      </c>
      <c r="E8" s="8">
        <v>279.34500000000003</v>
      </c>
      <c r="F8" s="8">
        <v>267.654</v>
      </c>
      <c r="G8" s="8"/>
      <c r="H8" s="8"/>
      <c r="I8" s="8"/>
      <c r="J8" s="8">
        <v>308.07499999999999</v>
      </c>
      <c r="K8" s="8">
        <v>400.05200000000002</v>
      </c>
      <c r="L8" s="8">
        <v>599.48699999999997</v>
      </c>
      <c r="M8" s="8">
        <v>613.34100000000001</v>
      </c>
      <c r="N8" s="8">
        <v>591.61099999999999</v>
      </c>
      <c r="O8" s="8">
        <v>630.95399999999995</v>
      </c>
      <c r="P8" s="8">
        <v>667.48500000000001</v>
      </c>
      <c r="Q8" s="8">
        <v>762.21900000000005</v>
      </c>
      <c r="R8" s="8">
        <v>702.40700000000004</v>
      </c>
      <c r="S8" s="8">
        <v>682.47900000000004</v>
      </c>
      <c r="T8" s="8">
        <v>829.875</v>
      </c>
      <c r="U8" s="8">
        <v>885.73699999999997</v>
      </c>
      <c r="V8" s="8">
        <v>832.75300000000004</v>
      </c>
      <c r="W8" s="8">
        <v>868.24699999999996</v>
      </c>
      <c r="X8" s="8">
        <v>981.70399999999995</v>
      </c>
    </row>
    <row r="9" spans="1:32" x14ac:dyDescent="0.25">
      <c r="B9" s="4" t="s">
        <v>37</v>
      </c>
      <c r="C9" s="8">
        <f t="shared" ref="C9:E9" si="2">C8+C7</f>
        <v>738.48699999999997</v>
      </c>
      <c r="D9" s="8">
        <f t="shared" si="2"/>
        <v>739.12400000000002</v>
      </c>
      <c r="E9" s="8">
        <f t="shared" si="2"/>
        <v>855.79100000000005</v>
      </c>
      <c r="F9" s="8">
        <f>F8+F7</f>
        <v>840.95899999999995</v>
      </c>
      <c r="G9" s="8"/>
      <c r="H9" s="8"/>
      <c r="I9" s="8"/>
      <c r="J9" s="8">
        <f t="shared" ref="J9" si="3">J8+J7</f>
        <v>681.36799999999994</v>
      </c>
      <c r="K9" s="8">
        <f t="shared" ref="K9" si="4">K8+K7</f>
        <v>844.6110000000001</v>
      </c>
      <c r="L9" s="8">
        <f t="shared" ref="L9" si="5">L8+L7</f>
        <v>1283.175</v>
      </c>
      <c r="M9" s="8">
        <f t="shared" ref="M9:X9" si="6">M8+M7</f>
        <v>1329.8119999999999</v>
      </c>
      <c r="N9" s="8">
        <f t="shared" si="6"/>
        <v>1416.8530000000001</v>
      </c>
      <c r="O9" s="8">
        <f t="shared" si="6"/>
        <v>1544.6659999999999</v>
      </c>
      <c r="P9" s="8">
        <f t="shared" si="6"/>
        <v>1701.2269999999999</v>
      </c>
      <c r="Q9" s="8">
        <f t="shared" si="6"/>
        <v>1951.7329999999999</v>
      </c>
      <c r="R9" s="8">
        <f t="shared" si="6"/>
        <v>1893.7269999999999</v>
      </c>
      <c r="S9" s="8">
        <f t="shared" si="6"/>
        <v>1934.8910000000001</v>
      </c>
      <c r="T9" s="8">
        <f t="shared" si="6"/>
        <v>2323.2829999999999</v>
      </c>
      <c r="U9" s="8">
        <f t="shared" si="6"/>
        <v>2489.9850000000001</v>
      </c>
      <c r="V9" s="8">
        <f t="shared" si="6"/>
        <v>2559.915</v>
      </c>
      <c r="W9" s="8">
        <f t="shared" si="6"/>
        <v>2770.6909999999998</v>
      </c>
      <c r="X9" s="8">
        <f t="shared" si="6"/>
        <v>3078.0910000000003</v>
      </c>
    </row>
    <row r="10" spans="1:32" x14ac:dyDescent="0.25">
      <c r="B10" s="4" t="s">
        <v>36</v>
      </c>
      <c r="C10" s="8">
        <f t="shared" ref="C10:E10" si="7">C6-C9</f>
        <v>1264.1959999999995</v>
      </c>
      <c r="D10" s="8">
        <f t="shared" si="7"/>
        <v>1333.8569999999997</v>
      </c>
      <c r="E10" s="8">
        <f t="shared" si="7"/>
        <v>1829.0879999999997</v>
      </c>
      <c r="F10" s="8">
        <f>F6-F9</f>
        <v>1810.2030000000004</v>
      </c>
      <c r="G10" s="8"/>
      <c r="H10" s="8"/>
      <c r="I10" s="8"/>
      <c r="J10" s="8">
        <f t="shared" ref="J10" si="8">J6-J9</f>
        <v>815.86400000000026</v>
      </c>
      <c r="K10" s="8">
        <f t="shared" ref="K10" si="9">K6-K9</f>
        <v>239.45799999999986</v>
      </c>
      <c r="L10" s="8">
        <f t="shared" ref="L10" si="10">L6-L9</f>
        <v>119.88400000000024</v>
      </c>
      <c r="M10" s="8">
        <f t="shared" ref="M10:X10" si="11">M6-M9</f>
        <v>677.66900000000032</v>
      </c>
      <c r="N10" s="8">
        <f t="shared" si="11"/>
        <v>867.48299999999972</v>
      </c>
      <c r="O10" s="8">
        <f t="shared" si="11"/>
        <v>1074.2560000000001</v>
      </c>
      <c r="P10" s="8">
        <f t="shared" si="11"/>
        <v>1902.1319999999996</v>
      </c>
      <c r="Q10" s="8">
        <f t="shared" si="11"/>
        <v>3213.2989999999991</v>
      </c>
      <c r="R10" s="8">
        <f t="shared" si="11"/>
        <v>2464.7319999999991</v>
      </c>
      <c r="S10" s="8">
        <f t="shared" si="11"/>
        <v>2673.802000000001</v>
      </c>
      <c r="T10" s="8">
        <f t="shared" si="11"/>
        <v>4482.0229999999992</v>
      </c>
      <c r="U10" s="8">
        <f t="shared" si="11"/>
        <v>5381.8220000000001</v>
      </c>
      <c r="V10" s="8">
        <f t="shared" si="11"/>
        <v>5295.1760000000004</v>
      </c>
      <c r="W10" s="8">
        <f t="shared" si="11"/>
        <v>4325.4750000000004</v>
      </c>
      <c r="X10" s="8">
        <f t="shared" si="11"/>
        <v>5900.9680000000008</v>
      </c>
    </row>
    <row r="11" spans="1:32" x14ac:dyDescent="0.25">
      <c r="B11" s="4" t="s">
        <v>43</v>
      </c>
      <c r="C11" s="8">
        <v>30.081</v>
      </c>
      <c r="D11" s="8">
        <v>14.262</v>
      </c>
      <c r="E11" s="8">
        <v>30.074000000000002</v>
      </c>
      <c r="F11" s="8">
        <v>26.41</v>
      </c>
      <c r="G11" s="8"/>
      <c r="H11" s="8"/>
      <c r="I11" s="8"/>
      <c r="J11" s="8">
        <v>-3.4089999999999998</v>
      </c>
      <c r="K11" s="8">
        <v>-33.314999999999998</v>
      </c>
      <c r="L11" s="8">
        <v>-51.412999999999997</v>
      </c>
      <c r="M11" s="8">
        <v>-37.396000000000001</v>
      </c>
      <c r="N11" s="8">
        <v>-47.189</v>
      </c>
      <c r="O11" s="8">
        <v>-114.139</v>
      </c>
      <c r="P11" s="8">
        <v>-90.459000000000003</v>
      </c>
      <c r="Q11" s="8">
        <v>-61.51</v>
      </c>
      <c r="R11" s="8">
        <v>-18.161000000000001</v>
      </c>
      <c r="S11" s="8">
        <v>-98.823999999999998</v>
      </c>
      <c r="T11" s="8">
        <v>-111.21899999999999</v>
      </c>
      <c r="U11" s="8">
        <v>-188.708</v>
      </c>
      <c r="V11" s="8">
        <v>-65.650000000000006</v>
      </c>
      <c r="W11" s="8">
        <v>96.308999999999997</v>
      </c>
      <c r="X11" s="8">
        <v>57.161000000000001</v>
      </c>
    </row>
    <row r="12" spans="1:32" x14ac:dyDescent="0.25">
      <c r="B12" s="4" t="s">
        <v>42</v>
      </c>
      <c r="C12" s="8">
        <f>C10+C11</f>
        <v>1294.2769999999994</v>
      </c>
      <c r="D12" s="8">
        <f>D10+D11</f>
        <v>1348.1189999999997</v>
      </c>
      <c r="E12" s="8">
        <f>E10+E11</f>
        <v>1859.1619999999998</v>
      </c>
      <c r="F12" s="8">
        <f>F10+F11</f>
        <v>1836.6130000000005</v>
      </c>
      <c r="G12" s="8"/>
      <c r="H12" s="8"/>
      <c r="I12" s="8"/>
      <c r="J12" s="8">
        <f t="shared" ref="J12" si="12">J10+J11</f>
        <v>812.45500000000027</v>
      </c>
      <c r="K12" s="8">
        <f t="shared" ref="K12" si="13">K10+K11</f>
        <v>206.14299999999986</v>
      </c>
      <c r="L12" s="8">
        <f t="shared" ref="L12" si="14">L10+L11</f>
        <v>68.471000000000245</v>
      </c>
      <c r="M12" s="8">
        <f t="shared" ref="M12:X12" si="15">M10+M11</f>
        <v>640.27300000000037</v>
      </c>
      <c r="N12" s="8">
        <f t="shared" si="15"/>
        <v>820.29399999999976</v>
      </c>
      <c r="O12" s="8">
        <f t="shared" si="15"/>
        <v>960.11700000000008</v>
      </c>
      <c r="P12" s="8">
        <f t="shared" si="15"/>
        <v>1811.6729999999995</v>
      </c>
      <c r="Q12" s="8">
        <f t="shared" si="15"/>
        <v>3151.7889999999989</v>
      </c>
      <c r="R12" s="8">
        <f t="shared" si="15"/>
        <v>2446.570999999999</v>
      </c>
      <c r="S12" s="8">
        <f t="shared" si="15"/>
        <v>2574.978000000001</v>
      </c>
      <c r="T12" s="8">
        <f t="shared" si="15"/>
        <v>4370.8039999999992</v>
      </c>
      <c r="U12" s="8">
        <f t="shared" si="15"/>
        <v>5193.1140000000005</v>
      </c>
      <c r="V12" s="8">
        <f t="shared" si="15"/>
        <v>5229.5260000000007</v>
      </c>
      <c r="W12" s="8">
        <f t="shared" si="15"/>
        <v>4421.7840000000006</v>
      </c>
      <c r="X12" s="8">
        <f t="shared" si="15"/>
        <v>5958.1290000000008</v>
      </c>
    </row>
    <row r="13" spans="1:32" x14ac:dyDescent="0.25">
      <c r="B13" s="4" t="s">
        <v>34</v>
      </c>
      <c r="C13" s="8">
        <v>177.834</v>
      </c>
      <c r="D13" s="8">
        <v>157.12799999999999</v>
      </c>
      <c r="E13" s="8">
        <v>290.50200000000001</v>
      </c>
      <c r="F13" s="8">
        <v>242.619</v>
      </c>
      <c r="G13" s="8"/>
      <c r="H13" s="8"/>
      <c r="I13" s="8"/>
      <c r="J13" s="8">
        <v>77.128</v>
      </c>
      <c r="K13" s="8">
        <v>35.695</v>
      </c>
      <c r="L13" s="8">
        <v>0</v>
      </c>
      <c r="M13" s="8">
        <v>91.073999999999998</v>
      </c>
      <c r="N13" s="8">
        <v>85.272999999999996</v>
      </c>
      <c r="O13" s="8">
        <v>46.067999999999998</v>
      </c>
      <c r="P13" s="8">
        <v>113.91</v>
      </c>
      <c r="Q13" s="8">
        <v>771.10799999999995</v>
      </c>
      <c r="R13" s="8">
        <v>255.14099999999999</v>
      </c>
      <c r="S13" s="8">
        <v>323.22500000000002</v>
      </c>
      <c r="T13" s="8">
        <v>462.346</v>
      </c>
      <c r="U13" s="8">
        <v>587.82799999999997</v>
      </c>
      <c r="V13" s="8">
        <v>598.279</v>
      </c>
      <c r="W13" s="8">
        <v>532.45000000000005</v>
      </c>
      <c r="X13" s="8">
        <v>599.91200000000003</v>
      </c>
    </row>
    <row r="14" spans="1:32" x14ac:dyDescent="0.25">
      <c r="B14" s="4" t="s">
        <v>44</v>
      </c>
      <c r="C14" s="8">
        <f t="shared" ref="C14:F14" si="16">C12-C13</f>
        <v>1116.4429999999993</v>
      </c>
      <c r="D14" s="8">
        <f t="shared" si="16"/>
        <v>1190.9909999999998</v>
      </c>
      <c r="E14" s="8">
        <f t="shared" si="16"/>
        <v>1568.6599999999999</v>
      </c>
      <c r="F14" s="8">
        <f t="shared" si="16"/>
        <v>1593.9940000000006</v>
      </c>
      <c r="G14" s="8"/>
      <c r="H14" s="8"/>
      <c r="I14" s="8"/>
      <c r="J14" s="8">
        <f t="shared" ref="J14" si="17">J12-J13</f>
        <v>735.32700000000023</v>
      </c>
      <c r="K14" s="8">
        <f t="shared" ref="K14" si="18">K12-K13</f>
        <v>170.44799999999987</v>
      </c>
      <c r="L14" s="8">
        <f t="shared" ref="L14" si="19">L12-L13</f>
        <v>68.471000000000245</v>
      </c>
      <c r="M14" s="8">
        <f t="shared" ref="M14:X14" si="20">M12-M13</f>
        <v>549.19900000000041</v>
      </c>
      <c r="N14" s="8">
        <f t="shared" si="20"/>
        <v>735.02099999999973</v>
      </c>
      <c r="O14" s="8">
        <f t="shared" si="20"/>
        <v>914.04900000000009</v>
      </c>
      <c r="P14" s="8">
        <f t="shared" si="20"/>
        <v>1697.7629999999995</v>
      </c>
      <c r="Q14" s="8">
        <f t="shared" si="20"/>
        <v>2380.6809999999987</v>
      </c>
      <c r="R14" s="8">
        <f t="shared" si="20"/>
        <v>2191.4299999999989</v>
      </c>
      <c r="S14" s="8">
        <f t="shared" si="20"/>
        <v>2251.7530000000011</v>
      </c>
      <c r="T14" s="8">
        <f t="shared" si="20"/>
        <v>3908.4579999999992</v>
      </c>
      <c r="U14" s="8">
        <f t="shared" si="20"/>
        <v>4605.2860000000001</v>
      </c>
      <c r="V14" s="8">
        <f t="shared" si="20"/>
        <v>4631.2470000000012</v>
      </c>
      <c r="W14" s="8">
        <f t="shared" si="20"/>
        <v>3889.3340000000007</v>
      </c>
      <c r="X14" s="8">
        <f t="shared" si="20"/>
        <v>5358.2170000000006</v>
      </c>
    </row>
    <row r="15" spans="1:32" ht="13" x14ac:dyDescent="0.3">
      <c r="B15" s="4" t="s">
        <v>45</v>
      </c>
      <c r="C15" s="9"/>
      <c r="D15" s="9"/>
      <c r="E15" s="9"/>
      <c r="F15" s="9"/>
      <c r="G15" s="9"/>
      <c r="H15" s="9"/>
      <c r="I15" s="9"/>
      <c r="J15" s="9">
        <f t="shared" ref="J15" si="21">J14/J16</f>
        <v>5.8817219782593062</v>
      </c>
      <c r="K15" s="9">
        <f t="shared" ref="K15" si="22">K14/K16</f>
        <v>1.3610470083763853</v>
      </c>
      <c r="L15" s="9">
        <f t="shared" ref="L15" si="23">L14/L16</f>
        <v>0.39480482038863079</v>
      </c>
      <c r="M15" s="9">
        <f t="shared" ref="M15:X15" si="24">M14/M16</f>
        <v>3.1472180994023051</v>
      </c>
      <c r="N15" s="9">
        <f t="shared" si="24"/>
        <v>4.1510897005088454</v>
      </c>
      <c r="O15" s="9">
        <f t="shared" si="24"/>
        <v>5.2183958574780638</v>
      </c>
      <c r="P15" s="9">
        <f t="shared" si="24"/>
        <v>9.238520977308589</v>
      </c>
      <c r="Q15" s="9">
        <f t="shared" si="24"/>
        <v>13.168794459625397</v>
      </c>
      <c r="R15" s="9">
        <f t="shared" si="24"/>
        <v>13.703717599974981</v>
      </c>
      <c r="S15" s="9">
        <f t="shared" si="24"/>
        <v>15.103313434838023</v>
      </c>
      <c r="T15" s="9">
        <f t="shared" si="24"/>
        <v>26.895527112579131</v>
      </c>
      <c r="U15" s="9">
        <f t="shared" si="24"/>
        <v>32.748001820405612</v>
      </c>
      <c r="V15" s="9">
        <f t="shared" si="24"/>
        <v>3.4095003003675095</v>
      </c>
      <c r="W15" s="9">
        <f t="shared" si="24"/>
        <v>2.9465789966127485</v>
      </c>
      <c r="X15" s="9">
        <f t="shared" si="24"/>
        <v>4.1531994152581655</v>
      </c>
    </row>
    <row r="16" spans="1:32" x14ac:dyDescent="0.25">
      <c r="B16" s="4" t="s">
        <v>46</v>
      </c>
      <c r="C16" s="8"/>
      <c r="D16" s="8"/>
      <c r="E16" s="8"/>
      <c r="F16" s="8"/>
      <c r="G16" s="8"/>
      <c r="H16" s="8"/>
      <c r="I16" s="8"/>
      <c r="J16" s="8">
        <v>125.01900000000001</v>
      </c>
      <c r="K16" s="8">
        <v>125.233</v>
      </c>
      <c r="L16" s="8">
        <v>173.43</v>
      </c>
      <c r="M16" s="8">
        <v>174.50299999999999</v>
      </c>
      <c r="N16" s="8">
        <v>177.06700000000001</v>
      </c>
      <c r="O16" s="8">
        <v>175.15899999999999</v>
      </c>
      <c r="P16" s="8">
        <v>183.77</v>
      </c>
      <c r="Q16" s="8">
        <v>180.78200000000001</v>
      </c>
      <c r="R16" s="8">
        <v>159.91499999999999</v>
      </c>
      <c r="S16" s="8">
        <v>149.09</v>
      </c>
      <c r="T16" s="8">
        <v>145.32</v>
      </c>
      <c r="U16" s="8">
        <v>140.62799999999999</v>
      </c>
      <c r="V16" s="8">
        <v>1358.336</v>
      </c>
      <c r="W16" s="8">
        <v>1319.9490000000001</v>
      </c>
      <c r="X16" s="8">
        <v>1290.1420000000001</v>
      </c>
    </row>
    <row r="18" spans="2:24" x14ac:dyDescent="0.25">
      <c r="B18" s="4" t="s">
        <v>47</v>
      </c>
      <c r="E18" s="10">
        <f>E4/C4-1</f>
        <v>0.2774001097894998</v>
      </c>
      <c r="F18" s="10">
        <f>F4/D4-1</f>
        <v>0.22137422198619006</v>
      </c>
      <c r="K18" s="10">
        <f t="shared" ref="K18:M18" si="25">K4/J4-1</f>
        <v>-0.1768237445613281</v>
      </c>
      <c r="L18" s="10">
        <f t="shared" si="25"/>
        <v>0.35034023815169801</v>
      </c>
      <c r="M18" s="10">
        <f t="shared" si="25"/>
        <v>0.28019353605363384</v>
      </c>
      <c r="N18" s="10">
        <f t="shared" ref="N18:X18" si="26">N4/M4-1</f>
        <v>0.14151492769423535</v>
      </c>
      <c r="O18" s="10">
        <f t="shared" si="26"/>
        <v>0.11913744611462485</v>
      </c>
      <c r="P18" s="10">
        <f t="shared" si="26"/>
        <v>0.36149603806932951</v>
      </c>
      <c r="Q18" s="10">
        <f t="shared" si="26"/>
        <v>0.38227143288551235</v>
      </c>
      <c r="R18" s="10">
        <f t="shared" si="26"/>
        <v>-0.12850404053517028</v>
      </c>
      <c r="S18" s="10">
        <f t="shared" si="26"/>
        <v>4.0521532007004035E-2</v>
      </c>
      <c r="T18" s="10">
        <f t="shared" si="26"/>
        <v>0.45610098662622867</v>
      </c>
      <c r="U18" s="10">
        <f t="shared" si="26"/>
        <v>0.1778245813149737</v>
      </c>
      <c r="V18" s="10">
        <f t="shared" si="26"/>
        <v>1.169539350320159E-2</v>
      </c>
      <c r="W18" s="10">
        <f t="shared" si="26"/>
        <v>-0.14477021451510841</v>
      </c>
      <c r="X18" s="10">
        <f t="shared" si="26"/>
        <v>0.23684089764599192</v>
      </c>
    </row>
    <row r="19" spans="2:24" x14ac:dyDescent="0.25">
      <c r="B19" s="4" t="s">
        <v>48</v>
      </c>
      <c r="C19" s="10">
        <f t="shared" ref="C19" si="27">C6/C4</f>
        <v>0.48049292990170761</v>
      </c>
      <c r="D19" s="10">
        <f t="shared" ref="D19:F19" si="28">D6/D4</f>
        <v>0.47371086279466373</v>
      </c>
      <c r="E19" s="10">
        <f t="shared" si="28"/>
        <v>0.50428094654324718</v>
      </c>
      <c r="F19" s="10">
        <f t="shared" si="28"/>
        <v>0.4960272534510704</v>
      </c>
      <c r="G19" s="10"/>
      <c r="H19" s="10"/>
      <c r="I19" s="10"/>
      <c r="J19" s="10">
        <f t="shared" ref="J19:L19" si="29">J6/J4</f>
        <v>0.46243791489804625</v>
      </c>
      <c r="K19" s="10">
        <f t="shared" si="29"/>
        <v>0.40675080819693288</v>
      </c>
      <c r="L19" s="10">
        <f t="shared" si="29"/>
        <v>0.38985600108477114</v>
      </c>
      <c r="M19" s="10">
        <f t="shared" ref="M19:X19" si="30">M6/M4</f>
        <v>0.43571659725883377</v>
      </c>
      <c r="N19" s="10">
        <f t="shared" si="30"/>
        <v>0.43434122181760654</v>
      </c>
      <c r="O19" s="10">
        <f t="shared" si="30"/>
        <v>0.44494896526321492</v>
      </c>
      <c r="P19" s="10">
        <f t="shared" si="30"/>
        <v>0.44965433848872288</v>
      </c>
      <c r="Q19" s="10">
        <f t="shared" si="30"/>
        <v>0.46628445721485184</v>
      </c>
      <c r="R19" s="10">
        <f t="shared" si="30"/>
        <v>0.45148727013529405</v>
      </c>
      <c r="S19" s="10">
        <f t="shared" si="30"/>
        <v>0.45881673744337342</v>
      </c>
      <c r="T19" s="10">
        <f t="shared" si="30"/>
        <v>0.46528348198261332</v>
      </c>
      <c r="U19" s="10">
        <f t="shared" si="30"/>
        <v>0.45694486440763271</v>
      </c>
      <c r="V19" s="10">
        <f t="shared" si="30"/>
        <v>0.45070337600745813</v>
      </c>
      <c r="W19" s="10">
        <f t="shared" si="30"/>
        <v>0.47608065970247265</v>
      </c>
      <c r="X19" s="10">
        <f t="shared" si="30"/>
        <v>0.48705023885591742</v>
      </c>
    </row>
    <row r="21" spans="2:24" x14ac:dyDescent="0.25">
      <c r="B21" s="4" t="s">
        <v>60</v>
      </c>
      <c r="W21" s="8">
        <f>+W22-W34</f>
        <v>864.52199999999903</v>
      </c>
      <c r="X21" s="8">
        <f>+X22-X34</f>
        <v>1906.1539999999995</v>
      </c>
    </row>
    <row r="22" spans="2:24" x14ac:dyDescent="0.25">
      <c r="B22" s="4" t="s">
        <v>3</v>
      </c>
      <c r="L22" s="8">
        <f>1162.473+1334.745+166.536</f>
        <v>2663.7539999999999</v>
      </c>
      <c r="W22" s="8">
        <v>5847.8559999999998</v>
      </c>
      <c r="X22" s="8">
        <f>6390.659</f>
        <v>6390.6589999999997</v>
      </c>
    </row>
    <row r="23" spans="2:24" x14ac:dyDescent="0.25">
      <c r="B23" s="4" t="s">
        <v>21</v>
      </c>
      <c r="L23" s="8">
        <v>602.62400000000002</v>
      </c>
      <c r="W23" s="8">
        <v>2519.25</v>
      </c>
      <c r="X23" s="8">
        <v>3378.0709999999999</v>
      </c>
    </row>
    <row r="24" spans="2:24" x14ac:dyDescent="0.25">
      <c r="B24" s="4" t="s">
        <v>22</v>
      </c>
      <c r="L24" s="8">
        <v>559.31700000000001</v>
      </c>
      <c r="W24" s="8">
        <v>4217.924</v>
      </c>
      <c r="X24" s="8">
        <v>4307.991</v>
      </c>
    </row>
    <row r="25" spans="2:24" x14ac:dyDescent="0.25">
      <c r="B25" s="4" t="s">
        <v>23</v>
      </c>
      <c r="L25" s="8">
        <f>27.674+106.996</f>
        <v>134.66999999999999</v>
      </c>
      <c r="W25" s="8">
        <v>298.19</v>
      </c>
      <c r="X25" s="8">
        <v>440.274</v>
      </c>
    </row>
    <row r="26" spans="2:24" s="6" customFormat="1" ht="13" x14ac:dyDescent="0.3">
      <c r="B26" s="6" t="s">
        <v>24</v>
      </c>
      <c r="L26" s="7">
        <v>603.91</v>
      </c>
      <c r="W26" s="7">
        <v>2154.518</v>
      </c>
      <c r="X26" s="7">
        <v>2428.7440000000001</v>
      </c>
    </row>
    <row r="27" spans="2:24" x14ac:dyDescent="0.25">
      <c r="B27" s="4" t="s">
        <v>25</v>
      </c>
      <c r="L27" s="8">
        <f>1452.196+1074.345</f>
        <v>2526.5410000000002</v>
      </c>
      <c r="W27" s="8">
        <v>1765.0730000000001</v>
      </c>
      <c r="X27" s="8">
        <v>1808.6849999999999</v>
      </c>
    </row>
    <row r="28" spans="2:24" x14ac:dyDescent="0.25">
      <c r="B28" s="4" t="s">
        <v>26</v>
      </c>
      <c r="L28" s="8">
        <v>159.499</v>
      </c>
      <c r="W28" s="8">
        <v>1941.9169999999999</v>
      </c>
      <c r="X28" s="8">
        <v>2590.8359999999998</v>
      </c>
    </row>
    <row r="29" spans="2:24" x14ac:dyDescent="0.25">
      <c r="B29" s="4" t="s">
        <v>27</v>
      </c>
      <c r="L29" s="8">
        <f>SUM(L22:L28)</f>
        <v>7250.3149999999996</v>
      </c>
      <c r="W29" s="8">
        <f t="shared" ref="W29" si="31">SUM(W22:W28)</f>
        <v>18744.727999999999</v>
      </c>
      <c r="X29" s="8">
        <f>SUM(X22:X28)</f>
        <v>21345.26</v>
      </c>
    </row>
    <row r="31" spans="2:24" x14ac:dyDescent="0.25">
      <c r="B31" s="4" t="s">
        <v>28</v>
      </c>
      <c r="L31" s="8">
        <v>200.25399999999999</v>
      </c>
      <c r="W31" s="8">
        <v>613.96600000000001</v>
      </c>
      <c r="X31" s="8">
        <v>854.20799999999997</v>
      </c>
    </row>
    <row r="32" spans="2:24" x14ac:dyDescent="0.25">
      <c r="B32" s="4" t="s">
        <v>30</v>
      </c>
      <c r="L32" s="8">
        <v>464.52800000000002</v>
      </c>
      <c r="W32" s="8">
        <v>1801.877</v>
      </c>
      <c r="X32" s="8">
        <v>2394.366</v>
      </c>
    </row>
    <row r="33" spans="2:24" x14ac:dyDescent="0.25">
      <c r="B33" s="4" t="s">
        <v>31</v>
      </c>
      <c r="L33" s="8">
        <v>225.03800000000001</v>
      </c>
      <c r="W33" s="8">
        <v>1417.7809999999999</v>
      </c>
      <c r="X33" s="8">
        <v>2565.54</v>
      </c>
    </row>
    <row r="34" spans="2:24" x14ac:dyDescent="0.25">
      <c r="B34" s="4" t="s">
        <v>4</v>
      </c>
      <c r="L34" s="8">
        <f>514.655+789.256+186.92</f>
        <v>1490.8310000000001</v>
      </c>
      <c r="W34" s="8">
        <f>504.814+4478.52</f>
        <v>4983.3340000000007</v>
      </c>
      <c r="X34" s="8">
        <f>754.311+3730.194</f>
        <v>4484.5050000000001</v>
      </c>
    </row>
    <row r="35" spans="2:24" x14ac:dyDescent="0.25">
      <c r="B35" s="4" t="s">
        <v>34</v>
      </c>
      <c r="L35" s="8">
        <v>246.47900000000001</v>
      </c>
      <c r="W35" s="8">
        <v>813.30399999999997</v>
      </c>
      <c r="X35" s="8">
        <v>603.41200000000003</v>
      </c>
    </row>
    <row r="36" spans="2:24" x14ac:dyDescent="0.25">
      <c r="B36" s="4" t="s">
        <v>32</v>
      </c>
      <c r="L36" s="8">
        <v>134.31299999999999</v>
      </c>
      <c r="W36" s="8">
        <v>575.01199999999994</v>
      </c>
      <c r="X36" s="8">
        <v>581.61</v>
      </c>
    </row>
    <row r="37" spans="2:24" x14ac:dyDescent="0.25">
      <c r="B37" s="4" t="s">
        <v>33</v>
      </c>
      <c r="L37" s="8">
        <v>4488.8720000000003</v>
      </c>
      <c r="W37" s="8">
        <v>8539.4539999999997</v>
      </c>
      <c r="X37" s="8">
        <v>9861.6190000000006</v>
      </c>
    </row>
    <row r="38" spans="2:24" x14ac:dyDescent="0.25">
      <c r="B38" s="4" t="s">
        <v>29</v>
      </c>
      <c r="L38" s="8">
        <f>SUM(L31:L37)</f>
        <v>7250.3150000000005</v>
      </c>
      <c r="W38" s="8">
        <f t="shared" ref="W38" si="32">SUM(W31:W37)</f>
        <v>18744.728000000003</v>
      </c>
      <c r="X38" s="8">
        <f>SUM(X31:X37)</f>
        <v>21345.260000000002</v>
      </c>
    </row>
    <row r="40" spans="2:24" x14ac:dyDescent="0.25">
      <c r="B40" s="4" t="s">
        <v>70</v>
      </c>
      <c r="K40" s="8">
        <f t="shared" ref="K40:L40" si="33">K14</f>
        <v>170.44799999999987</v>
      </c>
      <c r="L40" s="8">
        <f>L14</f>
        <v>68.471000000000245</v>
      </c>
    </row>
    <row r="41" spans="2:24" x14ac:dyDescent="0.25">
      <c r="B41" s="4" t="s">
        <v>74</v>
      </c>
      <c r="C41" s="8"/>
      <c r="D41" s="8"/>
      <c r="E41" s="8"/>
      <c r="F41" s="8"/>
      <c r="G41" s="8"/>
      <c r="H41" s="8"/>
      <c r="I41" s="8"/>
      <c r="J41" s="8"/>
      <c r="K41" s="8">
        <v>168.72300000000001</v>
      </c>
      <c r="L41" s="8">
        <v>113.879</v>
      </c>
    </row>
    <row r="42" spans="2:24" x14ac:dyDescent="0.25">
      <c r="B42" s="4" t="s">
        <v>73</v>
      </c>
      <c r="C42" s="8"/>
      <c r="D42" s="8"/>
      <c r="E42" s="8"/>
      <c r="F42" s="8"/>
      <c r="G42" s="8"/>
      <c r="H42" s="8"/>
      <c r="I42" s="8"/>
      <c r="J42" s="8"/>
      <c r="K42" s="8">
        <v>100.825</v>
      </c>
      <c r="L42" s="8">
        <v>304.11599999999999</v>
      </c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</row>
    <row r="43" spans="2:24" x14ac:dyDescent="0.25">
      <c r="B43" s="4" t="s">
        <v>34</v>
      </c>
      <c r="C43" s="8"/>
      <c r="D43" s="8"/>
      <c r="E43" s="8"/>
      <c r="F43" s="8"/>
      <c r="G43" s="8"/>
      <c r="H43" s="8"/>
      <c r="I43" s="8"/>
      <c r="J43" s="8"/>
      <c r="K43" s="8">
        <v>42.445999999999998</v>
      </c>
      <c r="L43" s="8">
        <v>-70.155000000000001</v>
      </c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</row>
    <row r="44" spans="2:24" x14ac:dyDescent="0.25">
      <c r="B44" s="4" t="s">
        <v>72</v>
      </c>
      <c r="C44" s="8"/>
      <c r="D44" s="8"/>
      <c r="E44" s="8"/>
      <c r="F44" s="8"/>
      <c r="G44" s="8"/>
      <c r="H44" s="8"/>
      <c r="I44" s="8"/>
      <c r="J44" s="8"/>
      <c r="K44" s="8">
        <f>0.866+1.724</f>
        <v>2.59</v>
      </c>
      <c r="L44" s="8">
        <f>1.813+3.711</f>
        <v>5.524</v>
      </c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</row>
    <row r="45" spans="2:24" x14ac:dyDescent="0.25">
      <c r="B45" s="4" t="s">
        <v>71</v>
      </c>
      <c r="C45" s="8"/>
      <c r="D45" s="8"/>
      <c r="E45" s="8"/>
      <c r="F45" s="8"/>
      <c r="G45" s="8"/>
      <c r="H45" s="8"/>
      <c r="I45" s="8"/>
      <c r="J45" s="8"/>
      <c r="K45" s="8">
        <f>81.559+1.51-2.686</f>
        <v>80.38300000000001</v>
      </c>
      <c r="L45" s="8">
        <f>99.33-0.483+0.539</f>
        <v>99.385999999999996</v>
      </c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</row>
    <row r="46" spans="2:24" x14ac:dyDescent="0.25">
      <c r="B46" s="4" t="s">
        <v>76</v>
      </c>
      <c r="C46" s="8"/>
      <c r="D46" s="8"/>
      <c r="E46" s="8"/>
      <c r="F46" s="8"/>
      <c r="G46" s="8"/>
      <c r="H46" s="8"/>
      <c r="I46" s="8"/>
      <c r="J46" s="8"/>
      <c r="K46" s="8">
        <v>27.027999999999999</v>
      </c>
      <c r="L46" s="8">
        <v>31.558</v>
      </c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</row>
    <row r="47" spans="2:24" x14ac:dyDescent="0.25">
      <c r="B47" s="4" t="s">
        <v>26</v>
      </c>
      <c r="C47" s="8"/>
      <c r="D47" s="8"/>
      <c r="E47" s="8"/>
      <c r="F47" s="8"/>
      <c r="G47" s="8"/>
      <c r="H47" s="8"/>
      <c r="I47" s="8"/>
      <c r="J47" s="8"/>
      <c r="K47" s="8">
        <v>10.877000000000001</v>
      </c>
      <c r="L47" s="8">
        <v>35.387999999999998</v>
      </c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</row>
    <row r="48" spans="2:24" x14ac:dyDescent="0.25">
      <c r="B48" s="4" t="s">
        <v>75</v>
      </c>
      <c r="C48" s="8"/>
      <c r="D48" s="8"/>
      <c r="E48" s="8"/>
      <c r="F48" s="8"/>
      <c r="G48" s="8"/>
      <c r="H48" s="8"/>
      <c r="I48" s="8"/>
      <c r="J48" s="8"/>
      <c r="K48" s="8">
        <f>66.064+73.987+43.171+12.145-9.236-119.975</f>
        <v>66.156000000000006</v>
      </c>
      <c r="L48" s="8">
        <f>162.634+76.351+2.88-58.081+60.205-43.752</f>
        <v>200.23699999999997</v>
      </c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</row>
    <row r="49" spans="2:24" x14ac:dyDescent="0.25">
      <c r="B49" s="4" t="s">
        <v>49</v>
      </c>
      <c r="C49" s="8"/>
      <c r="D49" s="8"/>
      <c r="E49" s="8"/>
      <c r="F49" s="8"/>
      <c r="G49" s="8"/>
      <c r="H49" s="8"/>
      <c r="I49" s="8"/>
      <c r="J49" s="8"/>
      <c r="K49" s="8">
        <f t="shared" ref="K49" si="34">SUM(K41:K48)</f>
        <v>499.02800000000002</v>
      </c>
      <c r="L49" s="8">
        <f>SUM(L41:L48)</f>
        <v>719.93299999999999</v>
      </c>
      <c r="M49" s="8">
        <v>717.04899999999998</v>
      </c>
      <c r="N49" s="8">
        <v>785.50300000000004</v>
      </c>
      <c r="O49" s="8">
        <v>1350.277</v>
      </c>
      <c r="P49" s="8">
        <v>2029.2819999999999</v>
      </c>
      <c r="Q49" s="8">
        <v>2655.7469999999998</v>
      </c>
      <c r="R49" s="8">
        <v>3176.0129999999999</v>
      </c>
      <c r="S49" s="8">
        <v>2126.451</v>
      </c>
      <c r="T49" s="8">
        <v>3588.163</v>
      </c>
      <c r="U49" s="8">
        <v>3099.674</v>
      </c>
      <c r="V49" s="8">
        <v>5178.9380000000001</v>
      </c>
      <c r="W49" s="8">
        <v>4652.2690000000002</v>
      </c>
      <c r="X49" s="8">
        <v>6173.2640000000001</v>
      </c>
    </row>
    <row r="50" spans="2:24" x14ac:dyDescent="0.25"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</row>
    <row r="51" spans="2:24" x14ac:dyDescent="0.25">
      <c r="B51" s="4" t="s">
        <v>50</v>
      </c>
      <c r="C51" s="8"/>
      <c r="D51" s="8"/>
      <c r="E51" s="8"/>
      <c r="F51" s="8"/>
      <c r="G51" s="8"/>
      <c r="H51" s="8"/>
      <c r="I51" s="8"/>
      <c r="J51" s="8"/>
      <c r="K51" s="8"/>
      <c r="L51" s="8">
        <v>-160.79499999999999</v>
      </c>
      <c r="M51" s="8">
        <v>145.50299999999999</v>
      </c>
      <c r="N51" s="8">
        <v>198.26499999999999</v>
      </c>
      <c r="O51" s="8">
        <v>175.33</v>
      </c>
      <c r="P51" s="8">
        <v>157.41900000000001</v>
      </c>
      <c r="Q51" s="8">
        <v>273.46899999999999</v>
      </c>
      <c r="R51" s="8">
        <v>303.49099999999999</v>
      </c>
      <c r="S51" s="8">
        <v>203.239</v>
      </c>
      <c r="T51" s="8">
        <v>349.096</v>
      </c>
      <c r="U51" s="8">
        <v>546.03399999999999</v>
      </c>
      <c r="V51" s="8">
        <v>501.56799999999998</v>
      </c>
      <c r="W51" s="8">
        <v>396.67</v>
      </c>
      <c r="X51" s="8">
        <v>759.18600000000004</v>
      </c>
    </row>
    <row r="52" spans="2:24" x14ac:dyDescent="0.25">
      <c r="B52" s="4" t="s">
        <v>77</v>
      </c>
      <c r="C52" s="8"/>
      <c r="D52" s="8"/>
      <c r="E52" s="8"/>
      <c r="F52" s="8"/>
      <c r="G52" s="8"/>
      <c r="H52" s="8"/>
      <c r="I52" s="8"/>
      <c r="J52" s="8"/>
      <c r="K52" s="8">
        <v>418.68099999999998</v>
      </c>
      <c r="L52" s="8">
        <v>-9.9160000000000004</v>
      </c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</row>
    <row r="53" spans="2:24" x14ac:dyDescent="0.25">
      <c r="B53" s="4" t="s">
        <v>78</v>
      </c>
      <c r="C53" s="8"/>
      <c r="D53" s="8"/>
      <c r="E53" s="8"/>
      <c r="F53" s="8"/>
      <c r="G53" s="8"/>
      <c r="H53" s="8"/>
      <c r="I53" s="8"/>
      <c r="J53" s="8"/>
      <c r="K53" s="8"/>
      <c r="L53" s="8">
        <f>-1097.956+1039.551</f>
        <v>-58.404999999999973</v>
      </c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</row>
    <row r="54" spans="2:24" x14ac:dyDescent="0.25">
      <c r="B54" s="4" t="s">
        <v>26</v>
      </c>
      <c r="C54" s="8"/>
      <c r="D54" s="8"/>
      <c r="E54" s="8"/>
      <c r="F54" s="8"/>
      <c r="G54" s="8"/>
      <c r="H54" s="8"/>
      <c r="I54" s="8"/>
      <c r="J54" s="8"/>
      <c r="K54" s="8"/>
      <c r="L54" s="8">
        <f>-10+0.66-0.181</f>
        <v>-9.520999999999999</v>
      </c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</row>
    <row r="55" spans="2:24" x14ac:dyDescent="0.25">
      <c r="B55" s="4" t="s">
        <v>79</v>
      </c>
      <c r="C55" s="8"/>
      <c r="D55" s="8"/>
      <c r="E55" s="8"/>
      <c r="F55" s="8"/>
      <c r="G55" s="8"/>
      <c r="H55" s="8"/>
      <c r="I55" s="8"/>
      <c r="J55" s="8"/>
      <c r="K55" s="8">
        <f t="shared" ref="K55" si="35">SUM(K51:K54)</f>
        <v>418.68099999999998</v>
      </c>
      <c r="L55" s="8">
        <f>SUM(L51:L54)</f>
        <v>-238.63699999999994</v>
      </c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</row>
    <row r="56" spans="2:24" x14ac:dyDescent="0.25"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</row>
    <row r="57" spans="2:24" x14ac:dyDescent="0.25">
      <c r="B57" s="4" t="s">
        <v>80</v>
      </c>
      <c r="C57" s="8"/>
      <c r="D57" s="8"/>
      <c r="E57" s="8"/>
      <c r="F57" s="8"/>
      <c r="G57" s="8"/>
      <c r="H57" s="8"/>
      <c r="I57" s="8"/>
      <c r="J57" s="8"/>
      <c r="K57" s="8"/>
      <c r="L57" s="8">
        <v>-955.66099999999994</v>
      </c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</row>
    <row r="58" spans="2:24" x14ac:dyDescent="0.25">
      <c r="B58" s="4" t="s">
        <v>82</v>
      </c>
      <c r="C58" s="8"/>
      <c r="D58" s="8"/>
      <c r="E58" s="8"/>
      <c r="F58" s="8"/>
      <c r="G58" s="8"/>
      <c r="H58" s="8"/>
      <c r="I58" s="8"/>
      <c r="J58" s="8"/>
      <c r="K58" s="8"/>
      <c r="L58" s="8">
        <v>31.265000000000001</v>
      </c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</row>
    <row r="59" spans="2:24" x14ac:dyDescent="0.25">
      <c r="B59" s="4" t="s">
        <v>81</v>
      </c>
      <c r="C59" s="8"/>
      <c r="D59" s="8"/>
      <c r="E59" s="8"/>
      <c r="F59" s="8"/>
      <c r="G59" s="8"/>
      <c r="H59" s="8"/>
      <c r="I59" s="8"/>
      <c r="J59" s="8"/>
      <c r="K59" s="8"/>
      <c r="L59" s="8">
        <v>39.378999999999998</v>
      </c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</row>
    <row r="60" spans="2:24" x14ac:dyDescent="0.25">
      <c r="B60" s="4" t="s">
        <v>26</v>
      </c>
      <c r="C60" s="8"/>
      <c r="D60" s="8"/>
      <c r="E60" s="8"/>
      <c r="F60" s="8"/>
      <c r="G60" s="8"/>
      <c r="H60" s="8"/>
      <c r="I60" s="8"/>
      <c r="J60" s="8"/>
      <c r="K60" s="8"/>
      <c r="L60" s="8">
        <f>-2.234-0.539</f>
        <v>-2.7730000000000001</v>
      </c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</row>
    <row r="61" spans="2:24" x14ac:dyDescent="0.25">
      <c r="B61" s="4" t="s">
        <v>84</v>
      </c>
      <c r="C61" s="8"/>
      <c r="D61" s="8"/>
      <c r="E61" s="8"/>
      <c r="F61" s="8"/>
      <c r="G61" s="8"/>
      <c r="H61" s="8"/>
      <c r="I61" s="8"/>
      <c r="J61" s="8"/>
      <c r="K61" s="8"/>
      <c r="L61" s="8">
        <f>SUM(L57:L60)</f>
        <v>-887.79</v>
      </c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</row>
    <row r="62" spans="2:24" x14ac:dyDescent="0.25">
      <c r="B62" s="4" t="s">
        <v>83</v>
      </c>
      <c r="C62" s="8"/>
      <c r="D62" s="8"/>
      <c r="E62" s="8"/>
      <c r="F62" s="8"/>
      <c r="G62" s="8"/>
      <c r="H62" s="8"/>
      <c r="I62" s="8"/>
      <c r="J62" s="8"/>
      <c r="K62" s="8"/>
      <c r="L62" s="8">
        <v>4.2149999999999999</v>
      </c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</row>
    <row r="63" spans="2:24" x14ac:dyDescent="0.25">
      <c r="B63" s="4" t="s">
        <v>85</v>
      </c>
      <c r="C63" s="8"/>
      <c r="D63" s="8"/>
      <c r="E63" s="8"/>
      <c r="F63" s="8"/>
      <c r="G63" s="8"/>
      <c r="H63" s="8"/>
      <c r="I63" s="8"/>
      <c r="J63" s="8"/>
      <c r="K63" s="8"/>
      <c r="L63" s="8">
        <f>+L62+L61+L55+L49</f>
        <v>-402.279</v>
      </c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</row>
    <row r="64" spans="2:24" x14ac:dyDescent="0.25"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</row>
    <row r="65" spans="2:75" ht="13" x14ac:dyDescent="0.3">
      <c r="B65" s="4" t="s">
        <v>51</v>
      </c>
      <c r="C65" s="8"/>
      <c r="D65" s="8"/>
      <c r="E65" s="8"/>
      <c r="F65" s="8"/>
      <c r="G65" s="8"/>
      <c r="H65" s="8"/>
      <c r="I65" s="8"/>
      <c r="J65" s="8"/>
      <c r="K65" s="8"/>
      <c r="L65" s="8">
        <f>L49-L51</f>
        <v>880.72799999999995</v>
      </c>
      <c r="M65" s="8">
        <f>M49-M51</f>
        <v>571.54600000000005</v>
      </c>
      <c r="N65" s="8">
        <f>N49-N51</f>
        <v>587.23800000000006</v>
      </c>
      <c r="O65" s="8">
        <f>O49-O51</f>
        <v>1174.9470000000001</v>
      </c>
      <c r="P65" s="8">
        <f>P49-P51</f>
        <v>1871.8629999999998</v>
      </c>
      <c r="Q65" s="8">
        <f>Q49-Q51</f>
        <v>2382.2779999999998</v>
      </c>
      <c r="R65" s="8">
        <f>R49-R51</f>
        <v>2872.5219999999999</v>
      </c>
      <c r="S65" s="8">
        <f>S49-S51</f>
        <v>1923.212</v>
      </c>
      <c r="T65" s="8">
        <f>T49-T51</f>
        <v>3239.067</v>
      </c>
      <c r="U65" s="8">
        <f>U49-U51</f>
        <v>2553.64</v>
      </c>
      <c r="V65" s="8">
        <f>V49-V51</f>
        <v>4677.37</v>
      </c>
      <c r="W65" s="7">
        <f>W49-W51</f>
        <v>4255.5990000000002</v>
      </c>
      <c r="X65" s="7">
        <f>X49-X51</f>
        <v>5414.0780000000004</v>
      </c>
      <c r="Y65" s="8">
        <f>+X65</f>
        <v>5414.0780000000004</v>
      </c>
      <c r="Z65" s="8">
        <f t="shared" ref="Z65:BW65" si="36">+Y65</f>
        <v>5414.0780000000004</v>
      </c>
      <c r="AA65" s="8">
        <f t="shared" si="36"/>
        <v>5414.0780000000004</v>
      </c>
      <c r="AB65" s="8">
        <f t="shared" si="36"/>
        <v>5414.0780000000004</v>
      </c>
      <c r="AC65" s="8">
        <f t="shared" si="36"/>
        <v>5414.0780000000004</v>
      </c>
      <c r="AD65" s="8">
        <f t="shared" si="36"/>
        <v>5414.0780000000004</v>
      </c>
      <c r="AE65" s="8">
        <f t="shared" si="36"/>
        <v>5414.0780000000004</v>
      </c>
      <c r="AF65" s="8">
        <f t="shared" si="36"/>
        <v>5414.0780000000004</v>
      </c>
      <c r="AG65" s="8">
        <f t="shared" si="36"/>
        <v>5414.0780000000004</v>
      </c>
      <c r="AH65" s="8">
        <f t="shared" si="36"/>
        <v>5414.0780000000004</v>
      </c>
      <c r="AI65" s="8">
        <f t="shared" si="36"/>
        <v>5414.0780000000004</v>
      </c>
      <c r="AJ65" s="8">
        <f t="shared" si="36"/>
        <v>5414.0780000000004</v>
      </c>
      <c r="AK65" s="8">
        <f t="shared" si="36"/>
        <v>5414.0780000000004</v>
      </c>
      <c r="AL65" s="8">
        <f t="shared" si="36"/>
        <v>5414.0780000000004</v>
      </c>
      <c r="AM65" s="8">
        <f t="shared" si="36"/>
        <v>5414.0780000000004</v>
      </c>
      <c r="AN65" s="8">
        <f t="shared" si="36"/>
        <v>5414.0780000000004</v>
      </c>
      <c r="AO65" s="8">
        <f t="shared" si="36"/>
        <v>5414.0780000000004</v>
      </c>
      <c r="AP65" s="8">
        <f t="shared" si="36"/>
        <v>5414.0780000000004</v>
      </c>
      <c r="AQ65" s="8">
        <f t="shared" si="36"/>
        <v>5414.0780000000004</v>
      </c>
      <c r="AR65" s="8">
        <f t="shared" si="36"/>
        <v>5414.0780000000004</v>
      </c>
      <c r="AS65" s="8">
        <f t="shared" si="36"/>
        <v>5414.0780000000004</v>
      </c>
      <c r="AT65" s="8">
        <f t="shared" si="36"/>
        <v>5414.0780000000004</v>
      </c>
      <c r="AU65" s="8">
        <f t="shared" si="36"/>
        <v>5414.0780000000004</v>
      </c>
      <c r="AV65" s="8">
        <f t="shared" si="36"/>
        <v>5414.0780000000004</v>
      </c>
      <c r="AW65" s="8">
        <f t="shared" si="36"/>
        <v>5414.0780000000004</v>
      </c>
      <c r="AX65" s="8">
        <f t="shared" si="36"/>
        <v>5414.0780000000004</v>
      </c>
      <c r="AY65" s="8">
        <f t="shared" si="36"/>
        <v>5414.0780000000004</v>
      </c>
      <c r="AZ65" s="8">
        <f t="shared" si="36"/>
        <v>5414.0780000000004</v>
      </c>
      <c r="BA65" s="8">
        <f t="shared" si="36"/>
        <v>5414.0780000000004</v>
      </c>
      <c r="BB65" s="8">
        <f t="shared" si="36"/>
        <v>5414.0780000000004</v>
      </c>
      <c r="BC65" s="8">
        <f t="shared" si="36"/>
        <v>5414.0780000000004</v>
      </c>
      <c r="BD65" s="8">
        <f t="shared" si="36"/>
        <v>5414.0780000000004</v>
      </c>
      <c r="BE65" s="8">
        <f t="shared" si="36"/>
        <v>5414.0780000000004</v>
      </c>
      <c r="BF65" s="8">
        <f t="shared" si="36"/>
        <v>5414.0780000000004</v>
      </c>
      <c r="BG65" s="8">
        <f t="shared" si="36"/>
        <v>5414.0780000000004</v>
      </c>
      <c r="BH65" s="8">
        <f t="shared" si="36"/>
        <v>5414.0780000000004</v>
      </c>
      <c r="BI65" s="8">
        <f t="shared" si="36"/>
        <v>5414.0780000000004</v>
      </c>
      <c r="BJ65" s="8">
        <f t="shared" si="36"/>
        <v>5414.0780000000004</v>
      </c>
      <c r="BK65" s="8">
        <f t="shared" si="36"/>
        <v>5414.0780000000004</v>
      </c>
      <c r="BL65" s="8">
        <f t="shared" si="36"/>
        <v>5414.0780000000004</v>
      </c>
      <c r="BM65" s="8">
        <f t="shared" si="36"/>
        <v>5414.0780000000004</v>
      </c>
      <c r="BN65" s="8">
        <f t="shared" si="36"/>
        <v>5414.0780000000004</v>
      </c>
      <c r="BO65" s="8">
        <f t="shared" si="36"/>
        <v>5414.0780000000004</v>
      </c>
      <c r="BP65" s="8">
        <f t="shared" si="36"/>
        <v>5414.0780000000004</v>
      </c>
      <c r="BQ65" s="8">
        <f t="shared" si="36"/>
        <v>5414.0780000000004</v>
      </c>
      <c r="BR65" s="8">
        <f t="shared" si="36"/>
        <v>5414.0780000000004</v>
      </c>
      <c r="BS65" s="8">
        <f t="shared" si="36"/>
        <v>5414.0780000000004</v>
      </c>
      <c r="BT65" s="8">
        <f t="shared" si="36"/>
        <v>5414.0780000000004</v>
      </c>
      <c r="BU65" s="8">
        <f t="shared" si="36"/>
        <v>5414.0780000000004</v>
      </c>
      <c r="BV65" s="8">
        <f t="shared" si="36"/>
        <v>5414.0780000000004</v>
      </c>
      <c r="BW65" s="8">
        <f t="shared" si="36"/>
        <v>5414.0780000000004</v>
      </c>
    </row>
    <row r="67" spans="2:75" x14ac:dyDescent="0.25">
      <c r="B67" s="4" t="s">
        <v>61</v>
      </c>
      <c r="X67" s="10"/>
    </row>
    <row r="70" spans="2:75" x14ac:dyDescent="0.25">
      <c r="B70" s="4" t="s">
        <v>64</v>
      </c>
      <c r="X70" s="8">
        <v>2219.2069999999999</v>
      </c>
    </row>
    <row r="71" spans="2:75" x14ac:dyDescent="0.25">
      <c r="B71" s="4" t="s">
        <v>63</v>
      </c>
      <c r="X71" s="8">
        <v>1914.57</v>
      </c>
    </row>
    <row r="72" spans="2:75" x14ac:dyDescent="0.25">
      <c r="B72" s="4" t="s">
        <v>65</v>
      </c>
      <c r="X72" s="8">
        <v>182.43899999999999</v>
      </c>
    </row>
    <row r="73" spans="2:75" x14ac:dyDescent="0.25">
      <c r="B73" s="4" t="s">
        <v>66</v>
      </c>
      <c r="X73" s="8">
        <v>166.20699999999999</v>
      </c>
    </row>
    <row r="74" spans="2:75" x14ac:dyDescent="0.25">
      <c r="B74" s="4" t="s">
        <v>67</v>
      </c>
      <c r="X74" s="8">
        <v>92.74</v>
      </c>
    </row>
    <row r="75" spans="2:75" ht="13" x14ac:dyDescent="0.3">
      <c r="B75" s="4" t="s">
        <v>62</v>
      </c>
      <c r="X75" s="7">
        <f>SUM(X70:X74)</f>
        <v>4575.1630000000005</v>
      </c>
    </row>
    <row r="76" spans="2:75" x14ac:dyDescent="0.25">
      <c r="B76" s="4" t="s">
        <v>68</v>
      </c>
      <c r="X76" s="8">
        <v>2169.6410000000001</v>
      </c>
    </row>
    <row r="77" spans="2:75" x14ac:dyDescent="0.25">
      <c r="B77" s="4" t="s">
        <v>69</v>
      </c>
      <c r="X77" s="8">
        <f>+X75-X76</f>
        <v>2405.5220000000004</v>
      </c>
    </row>
  </sheetData>
  <hyperlinks>
    <hyperlink ref="A1" location="Main!A1" display="Main" xr:uid="{D4EFCBEB-EF28-44E3-A2A2-128EC5C09008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dcterms:created xsi:type="dcterms:W3CDTF">2026-03-08T17:29:43Z</dcterms:created>
  <dcterms:modified xsi:type="dcterms:W3CDTF">2026-03-17T00:14:17Z</dcterms:modified>
</cp:coreProperties>
</file>