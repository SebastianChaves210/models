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6B685DC0-B2C7-423D-B2A2-0D68F067C56B}" xr6:coauthVersionLast="47" xr6:coauthVersionMax="47" xr10:uidLastSave="{00000000-0000-0000-0000-000000000000}"/>
  <bookViews>
    <workbookView xWindow="5150" yWindow="2160" windowWidth="23710" windowHeight="16930" activeTab="1" xr2:uid="{2060C4C8-3805-4E23-AE6B-F728D7027876}"/>
  </bookViews>
  <sheets>
    <sheet name="Main" sheetId="1" r:id="rId1"/>
    <sheet name="Model" sheetId="2" r:id="rId2"/>
    <sheet name="14th" sheetId="3" r:id="rId3"/>
    <sheet name="IP" sheetId="4" r:id="rId4"/>
    <sheet name="Semiconducto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1" i="2" l="1"/>
  <c r="Z98" i="2"/>
  <c r="Z82" i="2"/>
  <c r="Z80" i="2"/>
  <c r="Z32" i="2"/>
  <c r="AA30" i="2"/>
  <c r="S21" i="2"/>
  <c r="W21" i="2"/>
  <c r="X30" i="2"/>
  <c r="X21" i="2"/>
  <c r="Y30" i="2"/>
  <c r="Y21" i="2"/>
  <c r="CL21" i="2"/>
  <c r="CM19" i="2"/>
  <c r="V19" i="2"/>
  <c r="N103" i="2"/>
  <c r="R103" i="2"/>
  <c r="X103" i="2"/>
  <c r="Y103" i="2"/>
  <c r="U103" i="2"/>
  <c r="T94" i="2"/>
  <c r="U94" i="2" s="1"/>
  <c r="V94" i="2" s="1"/>
  <c r="T93" i="2"/>
  <c r="U93" i="2" s="1"/>
  <c r="V93" i="2" s="1"/>
  <c r="T92" i="2"/>
  <c r="U92" i="2" s="1"/>
  <c r="V92" i="2" s="1"/>
  <c r="T90" i="2"/>
  <c r="U90" i="2" s="1"/>
  <c r="T83" i="2"/>
  <c r="U83" i="2" s="1"/>
  <c r="S89" i="2"/>
  <c r="T89" i="2" s="1"/>
  <c r="S85" i="2"/>
  <c r="T85" i="2" s="1"/>
  <c r="U85" i="2" s="1"/>
  <c r="R83" i="2"/>
  <c r="R60" i="2"/>
  <c r="R51" i="2"/>
  <c r="R56" i="2"/>
  <c r="V84" i="2"/>
  <c r="V60" i="2"/>
  <c r="V67" i="2" s="1"/>
  <c r="V56" i="2"/>
  <c r="V51" i="2"/>
  <c r="V58" i="2"/>
  <c r="Y78" i="2"/>
  <c r="X92" i="2"/>
  <c r="Y92" i="2" s="1"/>
  <c r="X90" i="2"/>
  <c r="Y90" i="2" s="1"/>
  <c r="X83" i="2"/>
  <c r="Y83" i="2" s="1"/>
  <c r="X86" i="2"/>
  <c r="Y86" i="2" s="1"/>
  <c r="X82" i="2"/>
  <c r="X77" i="2"/>
  <c r="X76" i="2"/>
  <c r="Y76" i="2" s="1"/>
  <c r="X75" i="2"/>
  <c r="Y75" i="2" s="1"/>
  <c r="X74" i="2"/>
  <c r="Y74" i="2" s="1"/>
  <c r="X73" i="2"/>
  <c r="Y73" i="2" s="1"/>
  <c r="X72" i="2"/>
  <c r="Y72" i="2" s="1"/>
  <c r="X71" i="2"/>
  <c r="Y71" i="2" s="1"/>
  <c r="X70" i="2"/>
  <c r="Y70" i="2" s="1"/>
  <c r="W94" i="2"/>
  <c r="X94" i="2" s="1"/>
  <c r="Y94" i="2" s="1"/>
  <c r="W89" i="2"/>
  <c r="W85" i="2"/>
  <c r="W79" i="2"/>
  <c r="W60" i="2"/>
  <c r="Y60" i="2"/>
  <c r="Y67" i="2"/>
  <c r="Y51" i="2"/>
  <c r="Y50" i="2" s="1"/>
  <c r="Y56" i="2"/>
  <c r="W51" i="2"/>
  <c r="W56" i="2"/>
  <c r="W32" i="2"/>
  <c r="W67" i="2"/>
  <c r="X60" i="2"/>
  <c r="X56" i="2"/>
  <c r="X51" i="2"/>
  <c r="Z50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U8" i="2"/>
  <c r="BW8" i="2"/>
  <c r="BV8" i="2"/>
  <c r="BT8" i="2"/>
  <c r="BS8" i="2"/>
  <c r="BR8" i="2"/>
  <c r="BQ8" i="2"/>
  <c r="BP8" i="2"/>
  <c r="BO8" i="2"/>
  <c r="BL8" i="2"/>
  <c r="BN8" i="2"/>
  <c r="BM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P8" i="2"/>
  <c r="AT8" i="2"/>
  <c r="AS8" i="2"/>
  <c r="AR8" i="2"/>
  <c r="AQ8" i="2"/>
  <c r="AO8" i="2"/>
  <c r="AN8" i="2"/>
  <c r="AM8" i="2"/>
  <c r="AL8" i="2"/>
  <c r="AK8" i="2"/>
  <c r="AJ8" i="2"/>
  <c r="AI8" i="2"/>
  <c r="X32" i="2" l="1"/>
  <c r="AB30" i="2"/>
  <c r="Y32" i="2"/>
  <c r="AC30" i="2"/>
  <c r="V103" i="2"/>
  <c r="X58" i="2"/>
  <c r="R58" i="2"/>
  <c r="R67" i="2"/>
  <c r="R50" i="2"/>
  <c r="W58" i="2"/>
  <c r="W50" i="2"/>
  <c r="U89" i="2"/>
  <c r="T95" i="2"/>
  <c r="X67" i="2"/>
  <c r="X50" i="2"/>
  <c r="V90" i="2"/>
  <c r="V83" i="2"/>
  <c r="S95" i="2"/>
  <c r="V85" i="2"/>
  <c r="S87" i="2"/>
  <c r="Y58" i="2"/>
  <c r="Y82" i="2"/>
  <c r="Y77" i="2"/>
  <c r="X89" i="2"/>
  <c r="W95" i="2"/>
  <c r="X85" i="2"/>
  <c r="W87" i="2"/>
  <c r="X79" i="2"/>
  <c r="W80" i="2"/>
  <c r="V50" i="2"/>
  <c r="AN44" i="2"/>
  <c r="AM44" i="2"/>
  <c r="AL44" i="2"/>
  <c r="AK44" i="2"/>
  <c r="AJ44" i="2"/>
  <c r="AR44" i="2"/>
  <c r="AQ44" i="2"/>
  <c r="AP44" i="2"/>
  <c r="AO44" i="2"/>
  <c r="AS44" i="2"/>
  <c r="BA44" i="2"/>
  <c r="AZ44" i="2"/>
  <c r="AY44" i="2"/>
  <c r="AX44" i="2"/>
  <c r="AW44" i="2"/>
  <c r="AV44" i="2"/>
  <c r="AU44" i="2"/>
  <c r="AT44" i="2"/>
  <c r="BB44" i="2"/>
  <c r="BB42" i="2"/>
  <c r="BC42" i="2"/>
  <c r="BC44" i="2"/>
  <c r="BD44" i="2"/>
  <c r="BE44" i="2"/>
  <c r="BD42" i="2"/>
  <c r="BB35" i="2"/>
  <c r="BB32" i="2"/>
  <c r="BD35" i="2"/>
  <c r="BC35" i="2"/>
  <c r="BD32" i="2"/>
  <c r="BC32" i="2"/>
  <c r="BE42" i="2"/>
  <c r="BF42" i="2"/>
  <c r="BG42" i="2"/>
  <c r="BH44" i="2"/>
  <c r="BG44" i="2"/>
  <c r="BF44" i="2"/>
  <c r="BF35" i="2"/>
  <c r="BE35" i="2"/>
  <c r="BF32" i="2"/>
  <c r="BE32" i="2"/>
  <c r="BG35" i="2"/>
  <c r="BG32" i="2"/>
  <c r="BI42" i="2"/>
  <c r="BH35" i="2"/>
  <c r="BH32" i="2"/>
  <c r="BH42" i="2"/>
  <c r="BJ42" i="2"/>
  <c r="BI35" i="2"/>
  <c r="BI32" i="2"/>
  <c r="BI44" i="2"/>
  <c r="BJ44" i="2"/>
  <c r="BK44" i="2"/>
  <c r="BK42" i="2"/>
  <c r="BL42" i="2"/>
  <c r="BM42" i="2"/>
  <c r="BM44" i="2"/>
  <c r="BL44" i="2"/>
  <c r="BN44" i="2"/>
  <c r="BM35" i="2"/>
  <c r="BL35" i="2"/>
  <c r="BK35" i="2"/>
  <c r="BJ35" i="2"/>
  <c r="BM32" i="2"/>
  <c r="BL32" i="2"/>
  <c r="BK32" i="2"/>
  <c r="BJ32" i="2"/>
  <c r="BO44" i="2"/>
  <c r="BP44" i="2"/>
  <c r="BQ44" i="2"/>
  <c r="BN35" i="2"/>
  <c r="BN32" i="2"/>
  <c r="BO35" i="2"/>
  <c r="BO32" i="2"/>
  <c r="BP35" i="2"/>
  <c r="BP32" i="2"/>
  <c r="BR44" i="2"/>
  <c r="BQ35" i="2"/>
  <c r="BQ32" i="2"/>
  <c r="BT44" i="2"/>
  <c r="BS44" i="2"/>
  <c r="BR37" i="2"/>
  <c r="BR35" i="2"/>
  <c r="BR32" i="2"/>
  <c r="W98" i="2" l="1"/>
  <c r="W104" i="2"/>
  <c r="U95" i="2"/>
  <c r="V89" i="2"/>
  <c r="V95" i="2" s="1"/>
  <c r="W96" i="2"/>
  <c r="Y89" i="2"/>
  <c r="Y95" i="2" s="1"/>
  <c r="X95" i="2"/>
  <c r="Y85" i="2"/>
  <c r="Y87" i="2" s="1"/>
  <c r="X87" i="2"/>
  <c r="Y79" i="2"/>
  <c r="Y80" i="2" s="1"/>
  <c r="X80" i="2"/>
  <c r="BB36" i="2"/>
  <c r="BB38" i="2" s="1"/>
  <c r="BB40" i="2" s="1"/>
  <c r="BB41" i="2" s="1"/>
  <c r="BH36" i="2"/>
  <c r="BH38" i="2" s="1"/>
  <c r="BH40" i="2" s="1"/>
  <c r="BH41" i="2" s="1"/>
  <c r="BK36" i="2"/>
  <c r="BK38" i="2" s="1"/>
  <c r="BK40" i="2" s="1"/>
  <c r="BK41" i="2" s="1"/>
  <c r="BI36" i="2"/>
  <c r="BI38" i="2" s="1"/>
  <c r="BI40" i="2" s="1"/>
  <c r="BI41" i="2" s="1"/>
  <c r="BM36" i="2"/>
  <c r="BM38" i="2" s="1"/>
  <c r="BM40" i="2" s="1"/>
  <c r="BM41" i="2" s="1"/>
  <c r="BC36" i="2"/>
  <c r="BC38" i="2" s="1"/>
  <c r="BC40" i="2" s="1"/>
  <c r="BC41" i="2" s="1"/>
  <c r="BD36" i="2"/>
  <c r="BD38" i="2" s="1"/>
  <c r="BD40" i="2" s="1"/>
  <c r="BD41" i="2" s="1"/>
  <c r="BE36" i="2"/>
  <c r="BE38" i="2" s="1"/>
  <c r="BE40" i="2" s="1"/>
  <c r="BE41" i="2" s="1"/>
  <c r="BF36" i="2"/>
  <c r="BF38" i="2" s="1"/>
  <c r="BF40" i="2" s="1"/>
  <c r="BF41" i="2" s="1"/>
  <c r="BG36" i="2"/>
  <c r="BG38" i="2" s="1"/>
  <c r="BG40" i="2" s="1"/>
  <c r="BG41" i="2" s="1"/>
  <c r="BJ36" i="2"/>
  <c r="BJ38" i="2" s="1"/>
  <c r="BJ40" i="2" s="1"/>
  <c r="BJ41" i="2" s="1"/>
  <c r="BL36" i="2"/>
  <c r="BL38" i="2" s="1"/>
  <c r="BL40" i="2" s="1"/>
  <c r="BL41" i="2" s="1"/>
  <c r="BN36" i="2"/>
  <c r="BN38" i="2" s="1"/>
  <c r="BN40" i="2" s="1"/>
  <c r="BN41" i="2" s="1"/>
  <c r="BO36" i="2"/>
  <c r="BO38" i="2" s="1"/>
  <c r="BO40" i="2" s="1"/>
  <c r="BO41" i="2" s="1"/>
  <c r="BP36" i="2"/>
  <c r="BP38" i="2" s="1"/>
  <c r="BP40" i="2" s="1"/>
  <c r="BP41" i="2" s="1"/>
  <c r="BQ36" i="2"/>
  <c r="BQ38" i="2" s="1"/>
  <c r="BQ40" i="2" s="1"/>
  <c r="BQ41" i="2" s="1"/>
  <c r="BR36" i="2"/>
  <c r="BR38" i="2" s="1"/>
  <c r="BR40" i="2" s="1"/>
  <c r="BR41" i="2" s="1"/>
  <c r="BR2" i="2"/>
  <c r="BQ2" i="2" s="1"/>
  <c r="BP2" i="2" s="1"/>
  <c r="BO2" i="2" s="1"/>
  <c r="BN2" i="2" s="1"/>
  <c r="BM2" i="2" s="1"/>
  <c r="BL2" i="2" s="1"/>
  <c r="BK2" i="2" s="1"/>
  <c r="BJ2" i="2" s="1"/>
  <c r="BI2" i="2" s="1"/>
  <c r="BH2" i="2" s="1"/>
  <c r="BG2" i="2" s="1"/>
  <c r="BF2" i="2" s="1"/>
  <c r="BE2" i="2" s="1"/>
  <c r="BD2" i="2" s="1"/>
  <c r="BC2" i="2" s="1"/>
  <c r="BB2" i="2" s="1"/>
  <c r="BA2" i="2" s="1"/>
  <c r="AZ2" i="2" s="1"/>
  <c r="AY2" i="2" s="1"/>
  <c r="AX2" i="2" s="1"/>
  <c r="AW2" i="2" s="1"/>
  <c r="AV2" i="2" s="1"/>
  <c r="AU2" i="2" s="1"/>
  <c r="AT2" i="2" s="1"/>
  <c r="AS2" i="2" s="1"/>
  <c r="AR2" i="2" s="1"/>
  <c r="AQ2" i="2" s="1"/>
  <c r="AP2" i="2" s="1"/>
  <c r="AO2" i="2" s="1"/>
  <c r="AN2" i="2" s="1"/>
  <c r="AM2" i="2" s="1"/>
  <c r="AL2" i="2" s="1"/>
  <c r="AK2" i="2" s="1"/>
  <c r="AJ2" i="2" s="1"/>
  <c r="AI2" i="2" s="1"/>
  <c r="AH2" i="2" s="1"/>
  <c r="AG2" i="2" s="1"/>
  <c r="AF2" i="2" s="1"/>
  <c r="Q60" i="2"/>
  <c r="Q67" i="2" s="1"/>
  <c r="Q51" i="2"/>
  <c r="Q56" i="2"/>
  <c r="P94" i="2"/>
  <c r="Q94" i="2" s="1"/>
  <c r="R94" i="2" s="1"/>
  <c r="P93" i="2"/>
  <c r="Q93" i="2" s="1"/>
  <c r="R93" i="2" s="1"/>
  <c r="P92" i="2"/>
  <c r="R92" i="2" s="1"/>
  <c r="P91" i="2"/>
  <c r="Q91" i="2" s="1"/>
  <c r="R91" i="2" s="1"/>
  <c r="P90" i="2"/>
  <c r="Q90" i="2" s="1"/>
  <c r="R90" i="2" s="1"/>
  <c r="P86" i="2"/>
  <c r="Q86" i="2" s="1"/>
  <c r="R86" i="2" s="1"/>
  <c r="P82" i="2"/>
  <c r="Q82" i="2" s="1"/>
  <c r="R82" i="2" s="1"/>
  <c r="P75" i="2"/>
  <c r="Q75" i="2" s="1"/>
  <c r="R75" i="2" s="1"/>
  <c r="P74" i="2"/>
  <c r="Q74" i="2" s="1"/>
  <c r="R74" i="2" s="1"/>
  <c r="P73" i="2"/>
  <c r="Q73" i="2" s="1"/>
  <c r="R73" i="2" s="1"/>
  <c r="P72" i="2"/>
  <c r="Q72" i="2" s="1"/>
  <c r="R72" i="2" s="1"/>
  <c r="P71" i="2"/>
  <c r="Q71" i="2" s="1"/>
  <c r="R71" i="2" s="1"/>
  <c r="P70" i="2"/>
  <c r="P60" i="2"/>
  <c r="P67" i="2" s="1"/>
  <c r="P56" i="2"/>
  <c r="P51" i="2"/>
  <c r="O89" i="2"/>
  <c r="O95" i="2" s="1"/>
  <c r="O85" i="2"/>
  <c r="O87" i="2" s="1"/>
  <c r="O79" i="2"/>
  <c r="O80" i="2" s="1"/>
  <c r="O98" i="2" s="1"/>
  <c r="O63" i="2"/>
  <c r="O60" i="2"/>
  <c r="O51" i="2"/>
  <c r="O56" i="2"/>
  <c r="Y98" i="2" l="1"/>
  <c r="Y104" i="2"/>
  <c r="X98" i="2"/>
  <c r="X104" i="2"/>
  <c r="X96" i="2"/>
  <c r="Y96" i="2"/>
  <c r="Q50" i="2"/>
  <c r="P58" i="2"/>
  <c r="Q58" i="2"/>
  <c r="Q70" i="2"/>
  <c r="R70" i="2" s="1"/>
  <c r="O96" i="2"/>
  <c r="P79" i="2"/>
  <c r="Q79" i="2" s="1"/>
  <c r="R79" i="2" s="1"/>
  <c r="P89" i="2"/>
  <c r="P50" i="2"/>
  <c r="P85" i="2"/>
  <c r="O58" i="2"/>
  <c r="O50" i="2"/>
  <c r="O67" i="2"/>
  <c r="R80" i="2" l="1"/>
  <c r="P87" i="2"/>
  <c r="Q85" i="2"/>
  <c r="P95" i="2"/>
  <c r="Q89" i="2"/>
  <c r="Q80" i="2"/>
  <c r="P80" i="2"/>
  <c r="U77" i="2"/>
  <c r="V77" i="2" s="1"/>
  <c r="U76" i="2"/>
  <c r="V76" i="2" s="1"/>
  <c r="U60" i="2"/>
  <c r="U56" i="2"/>
  <c r="U108" i="2" s="1"/>
  <c r="U51" i="2"/>
  <c r="Z35" i="2"/>
  <c r="Y35" i="2"/>
  <c r="X35" i="2"/>
  <c r="W35" i="2"/>
  <c r="Y44" i="2"/>
  <c r="W44" i="2"/>
  <c r="U32" i="2"/>
  <c r="CK98" i="2"/>
  <c r="T82" i="2"/>
  <c r="T75" i="2"/>
  <c r="U75" i="2" s="1"/>
  <c r="V75" i="2" s="1"/>
  <c r="T74" i="2"/>
  <c r="U74" i="2" s="1"/>
  <c r="V74" i="2" s="1"/>
  <c r="T73" i="2"/>
  <c r="U73" i="2" s="1"/>
  <c r="V73" i="2" s="1"/>
  <c r="T72" i="2"/>
  <c r="U72" i="2" s="1"/>
  <c r="V72" i="2" s="1"/>
  <c r="T71" i="2"/>
  <c r="U71" i="2" s="1"/>
  <c r="V71" i="2" s="1"/>
  <c r="T70" i="2"/>
  <c r="U70" i="2" s="1"/>
  <c r="S79" i="2"/>
  <c r="T79" i="2" s="1"/>
  <c r="U79" i="2" s="1"/>
  <c r="V79" i="2" s="1"/>
  <c r="S60" i="2"/>
  <c r="S67" i="2" s="1"/>
  <c r="S51" i="2"/>
  <c r="S56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Z45" i="2"/>
  <c r="BY45" i="2"/>
  <c r="BX45" i="2"/>
  <c r="BW45" i="2"/>
  <c r="BV45" i="2"/>
  <c r="BU45" i="2"/>
  <c r="CJ45" i="2"/>
  <c r="CI45" i="2"/>
  <c r="CH45" i="2"/>
  <c r="CG45" i="2"/>
  <c r="CF45" i="2"/>
  <c r="CE45" i="2"/>
  <c r="CD45" i="2"/>
  <c r="CC45" i="2"/>
  <c r="CB45" i="2"/>
  <c r="CA45" i="2"/>
  <c r="CK45" i="2"/>
  <c r="CI14" i="2"/>
  <c r="CI15" i="2" s="1"/>
  <c r="CH14" i="2"/>
  <c r="CH15" i="2" s="1"/>
  <c r="CG14" i="2"/>
  <c r="CG15" i="2" s="1"/>
  <c r="CF14" i="2"/>
  <c r="CF15" i="2" s="1"/>
  <c r="CE14" i="2"/>
  <c r="CE15" i="2" s="1"/>
  <c r="CD14" i="2"/>
  <c r="CD15" i="2" s="1"/>
  <c r="CC14" i="2"/>
  <c r="CC15" i="2" s="1"/>
  <c r="CB14" i="2"/>
  <c r="CB15" i="2" s="1"/>
  <c r="CA14" i="2"/>
  <c r="CA15" i="2" s="1"/>
  <c r="R98" i="2" l="1"/>
  <c r="R104" i="2"/>
  <c r="Q98" i="2"/>
  <c r="Q104" i="2"/>
  <c r="U67" i="2"/>
  <c r="U50" i="2"/>
  <c r="Q87" i="2"/>
  <c r="R85" i="2"/>
  <c r="R87" i="2" s="1"/>
  <c r="Q95" i="2"/>
  <c r="Q96" i="2" s="1"/>
  <c r="R89" i="2"/>
  <c r="R95" i="2" s="1"/>
  <c r="U82" i="2"/>
  <c r="T87" i="2"/>
  <c r="U80" i="2"/>
  <c r="U104" i="2" s="1"/>
  <c r="V70" i="2"/>
  <c r="V80" i="2" s="1"/>
  <c r="V104" i="2" s="1"/>
  <c r="U58" i="2"/>
  <c r="P96" i="2"/>
  <c r="P98" i="2"/>
  <c r="S50" i="2"/>
  <c r="S80" i="2"/>
  <c r="S104" i="2" s="1"/>
  <c r="X47" i="2"/>
  <c r="X44" i="2"/>
  <c r="S58" i="2"/>
  <c r="W36" i="2"/>
  <c r="W38" i="2" s="1"/>
  <c r="W40" i="2" s="1"/>
  <c r="W69" i="2" s="1"/>
  <c r="Y47" i="2"/>
  <c r="T80" i="2"/>
  <c r="T104" i="2" s="1"/>
  <c r="X36" i="2"/>
  <c r="X38" i="2" s="1"/>
  <c r="X40" i="2" s="1"/>
  <c r="X69" i="2" s="1"/>
  <c r="CK42" i="2"/>
  <c r="CL39" i="2"/>
  <c r="CK39" i="2"/>
  <c r="CL37" i="2"/>
  <c r="CK37" i="2"/>
  <c r="CL34" i="2"/>
  <c r="CM34" i="2" s="1"/>
  <c r="CN34" i="2" s="1"/>
  <c r="CO34" i="2" s="1"/>
  <c r="CP34" i="2" s="1"/>
  <c r="CQ34" i="2" s="1"/>
  <c r="CR34" i="2" s="1"/>
  <c r="CS34" i="2" s="1"/>
  <c r="CT34" i="2" s="1"/>
  <c r="CU34" i="2" s="1"/>
  <c r="CV34" i="2" s="1"/>
  <c r="CW34" i="2" s="1"/>
  <c r="CK34" i="2"/>
  <c r="CL33" i="2"/>
  <c r="CM33" i="2" s="1"/>
  <c r="CN33" i="2" s="1"/>
  <c r="CO33" i="2" s="1"/>
  <c r="CP33" i="2" s="1"/>
  <c r="CQ33" i="2" s="1"/>
  <c r="CR33" i="2" s="1"/>
  <c r="CS33" i="2" s="1"/>
  <c r="CT33" i="2" s="1"/>
  <c r="CU33" i="2" s="1"/>
  <c r="CV33" i="2" s="1"/>
  <c r="CW33" i="2" s="1"/>
  <c r="CK33" i="2"/>
  <c r="CK31" i="2"/>
  <c r="V42" i="2"/>
  <c r="V35" i="2"/>
  <c r="U35" i="2"/>
  <c r="U44" i="2"/>
  <c r="V30" i="2"/>
  <c r="CK30" i="2"/>
  <c r="Q32" i="2"/>
  <c r="Q47" i="2" s="1"/>
  <c r="R32" i="2"/>
  <c r="R47" i="2" s="1"/>
  <c r="O32" i="2"/>
  <c r="O47" i="2" s="1"/>
  <c r="S44" i="2"/>
  <c r="S35" i="2"/>
  <c r="S32" i="2"/>
  <c r="S47" i="2" s="1"/>
  <c r="T60" i="2"/>
  <c r="T67" i="2" s="1"/>
  <c r="T51" i="2"/>
  <c r="T56" i="2"/>
  <c r="P32" i="2"/>
  <c r="P47" i="2" s="1"/>
  <c r="T44" i="2"/>
  <c r="T35" i="2"/>
  <c r="T32" i="2"/>
  <c r="T47" i="2" s="1"/>
  <c r="BZ98" i="2"/>
  <c r="CA44" i="2"/>
  <c r="BZ44" i="2"/>
  <c r="BZ35" i="2"/>
  <c r="BZ32" i="2"/>
  <c r="BZ47" i="2" s="1"/>
  <c r="BY98" i="2"/>
  <c r="BY44" i="2"/>
  <c r="BY35" i="2"/>
  <c r="BY32" i="2"/>
  <c r="BY47" i="2" s="1"/>
  <c r="BX98" i="2"/>
  <c r="BX44" i="2"/>
  <c r="BX35" i="2"/>
  <c r="BX32" i="2"/>
  <c r="BX47" i="2" s="1"/>
  <c r="BW98" i="2"/>
  <c r="BW44" i="2"/>
  <c r="BW35" i="2"/>
  <c r="BW32" i="2"/>
  <c r="BW47" i="2" s="1"/>
  <c r="BV98" i="2"/>
  <c r="BV44" i="2"/>
  <c r="BU44" i="2"/>
  <c r="BV35" i="2"/>
  <c r="BV32" i="2"/>
  <c r="BV47" i="2" s="1"/>
  <c r="BU98" i="2"/>
  <c r="BT98" i="2"/>
  <c r="BS98" i="2"/>
  <c r="BU35" i="2"/>
  <c r="BT35" i="2"/>
  <c r="BS35" i="2"/>
  <c r="BU32" i="2"/>
  <c r="BU47" i="2" s="1"/>
  <c r="CA32" i="2"/>
  <c r="BT32" i="2"/>
  <c r="BT47" i="2" s="1"/>
  <c r="BS32" i="2"/>
  <c r="BS47" i="2" s="1"/>
  <c r="CE98" i="2"/>
  <c r="CD98" i="2"/>
  <c r="CD32" i="2"/>
  <c r="CD47" i="2" s="1"/>
  <c r="CD35" i="2"/>
  <c r="CE35" i="2"/>
  <c r="CE32" i="2"/>
  <c r="CE47" i="2" s="1"/>
  <c r="CC98" i="2"/>
  <c r="CB98" i="2"/>
  <c r="CA98" i="2"/>
  <c r="CB44" i="2"/>
  <c r="CC44" i="2"/>
  <c r="CD44" i="2"/>
  <c r="CC35" i="2"/>
  <c r="CB35" i="2"/>
  <c r="CA35" i="2"/>
  <c r="CC32" i="2"/>
  <c r="CB32" i="2"/>
  <c r="CB47" i="2" s="1"/>
  <c r="CK11" i="2"/>
  <c r="CK5" i="2"/>
  <c r="CJ11" i="2"/>
  <c r="CI3" i="2"/>
  <c r="CI4" i="2" s="1"/>
  <c r="CH3" i="2"/>
  <c r="CH4" i="2" s="1"/>
  <c r="CG3" i="2"/>
  <c r="CG4" i="2" s="1"/>
  <c r="R44" i="2"/>
  <c r="Q44" i="2"/>
  <c r="P44" i="2"/>
  <c r="R35" i="2"/>
  <c r="Q35" i="2"/>
  <c r="P35" i="2"/>
  <c r="O35" i="2"/>
  <c r="O44" i="2"/>
  <c r="M44" i="2"/>
  <c r="L44" i="2"/>
  <c r="K44" i="2"/>
  <c r="N44" i="2"/>
  <c r="G35" i="2"/>
  <c r="G32" i="2"/>
  <c r="G47" i="2" s="1"/>
  <c r="K35" i="2"/>
  <c r="K32" i="2"/>
  <c r="K47" i="2" s="1"/>
  <c r="H35" i="2"/>
  <c r="H32" i="2"/>
  <c r="H47" i="2" s="1"/>
  <c r="L35" i="2"/>
  <c r="L32" i="2"/>
  <c r="L47" i="2" s="1"/>
  <c r="I35" i="2"/>
  <c r="I32" i="2"/>
  <c r="I47" i="2" s="1"/>
  <c r="M35" i="2"/>
  <c r="M32" i="2"/>
  <c r="M47" i="2" s="1"/>
  <c r="J35" i="2"/>
  <c r="J32" i="2"/>
  <c r="J47" i="2" s="1"/>
  <c r="N35" i="2"/>
  <c r="N32" i="2"/>
  <c r="N47" i="2" s="1"/>
  <c r="CF98" i="2"/>
  <c r="CG98" i="2"/>
  <c r="CF35" i="2"/>
  <c r="CF32" i="2"/>
  <c r="CF47" i="2" s="1"/>
  <c r="CG35" i="2"/>
  <c r="CG32" i="2"/>
  <c r="CG47" i="2" s="1"/>
  <c r="CE44" i="2"/>
  <c r="CF44" i="2"/>
  <c r="CG44" i="2"/>
  <c r="CH44" i="2"/>
  <c r="CL2" i="2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CH79" i="2"/>
  <c r="CH80" i="2" s="1"/>
  <c r="CH98" i="2" s="1"/>
  <c r="CI79" i="2"/>
  <c r="CI80" i="2" s="1"/>
  <c r="CI98" i="2" s="1"/>
  <c r="CJ79" i="2"/>
  <c r="CJ80" i="2" s="1"/>
  <c r="CJ98" i="2" s="1"/>
  <c r="T96" i="2" l="1"/>
  <c r="U98" i="2"/>
  <c r="U87" i="2"/>
  <c r="U96" i="2" s="1"/>
  <c r="V82" i="2"/>
  <c r="R96" i="2"/>
  <c r="S98" i="2"/>
  <c r="S96" i="2"/>
  <c r="CK17" i="2"/>
  <c r="CK8" i="2"/>
  <c r="T50" i="2"/>
  <c r="Y36" i="2"/>
  <c r="Y38" i="2" s="1"/>
  <c r="Y40" i="2" s="1"/>
  <c r="Y69" i="2" s="1"/>
  <c r="W47" i="2"/>
  <c r="T98" i="2"/>
  <c r="CL80" i="2"/>
  <c r="CL42" i="2"/>
  <c r="CM42" i="2" s="1"/>
  <c r="CN42" i="2" s="1"/>
  <c r="V44" i="2"/>
  <c r="CK44" i="2"/>
  <c r="CJ3" i="2"/>
  <c r="CJ4" i="2" s="1"/>
  <c r="CJ14" i="2"/>
  <c r="CJ15" i="2" s="1"/>
  <c r="CK14" i="2"/>
  <c r="CK15" i="2" s="1"/>
  <c r="V32" i="2"/>
  <c r="V47" i="2" s="1"/>
  <c r="CL30" i="2"/>
  <c r="CL8" i="2" s="1"/>
  <c r="CK32" i="2"/>
  <c r="CK47" i="2" s="1"/>
  <c r="U36" i="2"/>
  <c r="U38" i="2" s="1"/>
  <c r="U40" i="2" s="1"/>
  <c r="R36" i="2"/>
  <c r="R38" i="2" s="1"/>
  <c r="R40" i="2" s="1"/>
  <c r="S36" i="2"/>
  <c r="S38" i="2" s="1"/>
  <c r="S40" i="2" s="1"/>
  <c r="U47" i="2"/>
  <c r="Q36" i="2"/>
  <c r="Q38" i="2" s="1"/>
  <c r="Q40" i="2" s="1"/>
  <c r="CC36" i="2"/>
  <c r="CC38" i="2" s="1"/>
  <c r="CC40" i="2" s="1"/>
  <c r="CA36" i="2"/>
  <c r="CA38" i="2" s="1"/>
  <c r="CA40" i="2" s="1"/>
  <c r="P36" i="2"/>
  <c r="P38" i="2" s="1"/>
  <c r="P40" i="2" s="1"/>
  <c r="T58" i="2"/>
  <c r="T36" i="2"/>
  <c r="T38" i="2" s="1"/>
  <c r="T40" i="2" s="1"/>
  <c r="N36" i="2"/>
  <c r="N38" i="2" s="1"/>
  <c r="N40" i="2" s="1"/>
  <c r="N41" i="2" s="1"/>
  <c r="CK35" i="2"/>
  <c r="BU36" i="2"/>
  <c r="BU38" i="2" s="1"/>
  <c r="BU40" i="2" s="1"/>
  <c r="BT36" i="2"/>
  <c r="BT38" i="2" s="1"/>
  <c r="BT40" i="2" s="1"/>
  <c r="BS36" i="2"/>
  <c r="BS38" i="2" s="1"/>
  <c r="BS40" i="2" s="1"/>
  <c r="CM35" i="2"/>
  <c r="CL35" i="2"/>
  <c r="BZ36" i="2"/>
  <c r="BZ38" i="2" s="1"/>
  <c r="BZ40" i="2" s="1"/>
  <c r="BZ99" i="2" s="1"/>
  <c r="BY36" i="2"/>
  <c r="BY38" i="2" s="1"/>
  <c r="BY40" i="2" s="1"/>
  <c r="BY99" i="2" s="1"/>
  <c r="BX36" i="2"/>
  <c r="BX38" i="2" s="1"/>
  <c r="BX40" i="2" s="1"/>
  <c r="BW36" i="2"/>
  <c r="BW38" i="2" s="1"/>
  <c r="BW40" i="2" s="1"/>
  <c r="BV36" i="2"/>
  <c r="BV38" i="2" s="1"/>
  <c r="BV40" i="2" s="1"/>
  <c r="CE36" i="2"/>
  <c r="CE38" i="2" s="1"/>
  <c r="CE40" i="2" s="1"/>
  <c r="CC47" i="2"/>
  <c r="CB36" i="2"/>
  <c r="CB38" i="2" s="1"/>
  <c r="CB40" i="2" s="1"/>
  <c r="CA47" i="2"/>
  <c r="CD36" i="2"/>
  <c r="CD38" i="2" s="1"/>
  <c r="CD40" i="2" s="1"/>
  <c r="CD99" i="2" s="1"/>
  <c r="H36" i="2"/>
  <c r="H38" i="2" s="1"/>
  <c r="H40" i="2" s="1"/>
  <c r="H41" i="2" s="1"/>
  <c r="J36" i="2"/>
  <c r="J38" i="2" s="1"/>
  <c r="J40" i="2" s="1"/>
  <c r="J41" i="2" s="1"/>
  <c r="CK3" i="2"/>
  <c r="K36" i="2"/>
  <c r="K38" i="2" s="1"/>
  <c r="K40" i="2" s="1"/>
  <c r="K41" i="2" s="1"/>
  <c r="CG36" i="2"/>
  <c r="CG38" i="2" s="1"/>
  <c r="CG40" i="2" s="1"/>
  <c r="CG99" i="2" s="1"/>
  <c r="CF36" i="2"/>
  <c r="CF38" i="2" s="1"/>
  <c r="CF40" i="2" s="1"/>
  <c r="CF99" i="2" s="1"/>
  <c r="O36" i="2"/>
  <c r="O38" i="2" s="1"/>
  <c r="O40" i="2" s="1"/>
  <c r="G36" i="2"/>
  <c r="G38" i="2" s="1"/>
  <c r="G40" i="2" s="1"/>
  <c r="G41" i="2" s="1"/>
  <c r="L36" i="2"/>
  <c r="L38" i="2" s="1"/>
  <c r="L40" i="2" s="1"/>
  <c r="L41" i="2" s="1"/>
  <c r="I36" i="2"/>
  <c r="I38" i="2" s="1"/>
  <c r="I40" i="2" s="1"/>
  <c r="I41" i="2" s="1"/>
  <c r="M36" i="2"/>
  <c r="V87" i="2" l="1"/>
  <c r="V96" i="2" s="1"/>
  <c r="V98" i="2"/>
  <c r="CL82" i="2"/>
  <c r="CL98" i="2" s="1"/>
  <c r="CM30" i="2"/>
  <c r="CN30" i="2" s="1"/>
  <c r="CO30" i="2" s="1"/>
  <c r="CP30" i="2" s="1"/>
  <c r="CQ30" i="2" s="1"/>
  <c r="CR30" i="2" s="1"/>
  <c r="CS30" i="2" s="1"/>
  <c r="CT30" i="2" s="1"/>
  <c r="CU30" i="2" s="1"/>
  <c r="CV30" i="2" s="1"/>
  <c r="CW30" i="2" s="1"/>
  <c r="AD30" i="2"/>
  <c r="X41" i="2"/>
  <c r="W41" i="2"/>
  <c r="Y41" i="2"/>
  <c r="Q41" i="2"/>
  <c r="Q69" i="2"/>
  <c r="R41" i="2"/>
  <c r="R69" i="2"/>
  <c r="O41" i="2"/>
  <c r="O69" i="2"/>
  <c r="P41" i="2"/>
  <c r="P69" i="2"/>
  <c r="Z44" i="2"/>
  <c r="U41" i="2"/>
  <c r="U69" i="2"/>
  <c r="CB41" i="2"/>
  <c r="CB99" i="2"/>
  <c r="CA41" i="2"/>
  <c r="CA99" i="2"/>
  <c r="S41" i="2"/>
  <c r="S69" i="2"/>
  <c r="T41" i="2"/>
  <c r="T69" i="2"/>
  <c r="CC69" i="2"/>
  <c r="CC99" i="2"/>
  <c r="CE41" i="2"/>
  <c r="CE99" i="2"/>
  <c r="CA69" i="2"/>
  <c r="CC41" i="2"/>
  <c r="V36" i="2"/>
  <c r="V38" i="2" s="1"/>
  <c r="V40" i="2" s="1"/>
  <c r="V31" i="2"/>
  <c r="CL31" i="2" s="1"/>
  <c r="CL32" i="2"/>
  <c r="CB69" i="2"/>
  <c r="CK36" i="2"/>
  <c r="CK38" i="2" s="1"/>
  <c r="CK40" i="2" s="1"/>
  <c r="CK99" i="2" s="1"/>
  <c r="BZ41" i="2"/>
  <c r="BZ69" i="2"/>
  <c r="CK4" i="2"/>
  <c r="CL3" i="2"/>
  <c r="BS69" i="2"/>
  <c r="BS41" i="2"/>
  <c r="BT69" i="2"/>
  <c r="BT41" i="2"/>
  <c r="BU69" i="2"/>
  <c r="BU41" i="2"/>
  <c r="CE69" i="2"/>
  <c r="CO42" i="2"/>
  <c r="CN35" i="2"/>
  <c r="BY41" i="2"/>
  <c r="BY69" i="2"/>
  <c r="BX41" i="2"/>
  <c r="BX69" i="2"/>
  <c r="BW41" i="2"/>
  <c r="BW69" i="2"/>
  <c r="BV41" i="2"/>
  <c r="BV69" i="2"/>
  <c r="CD41" i="2"/>
  <c r="CD69" i="2"/>
  <c r="M38" i="2"/>
  <c r="M40" i="2" s="1"/>
  <c r="M41" i="2" s="1"/>
  <c r="CF41" i="2"/>
  <c r="CF69" i="2"/>
  <c r="CG41" i="2"/>
  <c r="CG69" i="2"/>
  <c r="V41" i="2" l="1"/>
  <c r="V69" i="2"/>
  <c r="Z36" i="2"/>
  <c r="Z38" i="2" s="1"/>
  <c r="Z40" i="2" s="1"/>
  <c r="Z47" i="2"/>
  <c r="CK41" i="2"/>
  <c r="CM3" i="2"/>
  <c r="CP42" i="2"/>
  <c r="CO35" i="2"/>
  <c r="Z41" i="2" l="1"/>
  <c r="Z69" i="2"/>
  <c r="CL44" i="2"/>
  <c r="CN3" i="2"/>
  <c r="CM32" i="2"/>
  <c r="CQ42" i="2"/>
  <c r="CP35" i="2"/>
  <c r="CM44" i="2" l="1"/>
  <c r="CO3" i="2"/>
  <c r="CN32" i="2"/>
  <c r="CL47" i="2"/>
  <c r="CL36" i="2"/>
  <c r="CL38" i="2" s="1"/>
  <c r="CL40" i="2" s="1"/>
  <c r="CL99" i="2" s="1"/>
  <c r="CR42" i="2"/>
  <c r="CQ35" i="2"/>
  <c r="CL41" i="2" l="1"/>
  <c r="CN44" i="2"/>
  <c r="CP3" i="2"/>
  <c r="CO32" i="2"/>
  <c r="CM47" i="2"/>
  <c r="CM36" i="2"/>
  <c r="CM38" i="2" s="1"/>
  <c r="CS42" i="2"/>
  <c r="CR35" i="2"/>
  <c r="CM39" i="2" l="1"/>
  <c r="CM40" i="2" s="1"/>
  <c r="CM41" i="2" s="1"/>
  <c r="CO44" i="2"/>
  <c r="CQ3" i="2"/>
  <c r="CP32" i="2"/>
  <c r="CN47" i="2"/>
  <c r="CN36" i="2"/>
  <c r="CN38" i="2" s="1"/>
  <c r="CT42" i="2"/>
  <c r="CS35" i="2"/>
  <c r="CM50" i="2" l="1"/>
  <c r="CP44" i="2"/>
  <c r="CR3" i="2"/>
  <c r="CQ32" i="2"/>
  <c r="CO47" i="2"/>
  <c r="CO36" i="2"/>
  <c r="CO38" i="2" s="1"/>
  <c r="CN39" i="2"/>
  <c r="CN40" i="2" s="1"/>
  <c r="CN41" i="2" s="1"/>
  <c r="CU42" i="2"/>
  <c r="CT35" i="2"/>
  <c r="CN50" i="2" l="1"/>
  <c r="CO39" i="2"/>
  <c r="CO40" i="2" s="1"/>
  <c r="CO41" i="2" s="1"/>
  <c r="CQ44" i="2"/>
  <c r="CS3" i="2"/>
  <c r="CR32" i="2"/>
  <c r="CP47" i="2"/>
  <c r="CP36" i="2"/>
  <c r="CV42" i="2"/>
  <c r="CU35" i="2"/>
  <c r="CO50" i="2" l="1"/>
  <c r="CP37" i="2" s="1"/>
  <c r="CP38" i="2" s="1"/>
  <c r="CP39" i="2" s="1"/>
  <c r="CP40" i="2" s="1"/>
  <c r="CR44" i="2"/>
  <c r="CT3" i="2"/>
  <c r="CS32" i="2"/>
  <c r="CQ47" i="2"/>
  <c r="CQ36" i="2"/>
  <c r="CW42" i="2"/>
  <c r="CV35" i="2"/>
  <c r="CW35" i="2"/>
  <c r="CP41" i="2" l="1"/>
  <c r="CP50" i="2"/>
  <c r="CS44" i="2"/>
  <c r="CU3" i="2"/>
  <c r="CT32" i="2"/>
  <c r="CR47" i="2"/>
  <c r="CR36" i="2"/>
  <c r="CQ37" i="2" l="1"/>
  <c r="CQ38" i="2" s="1"/>
  <c r="CQ39" i="2" s="1"/>
  <c r="CQ40" i="2" s="1"/>
  <c r="CV3" i="2"/>
  <c r="CU32" i="2"/>
  <c r="CT44" i="2"/>
  <c r="CS47" i="2"/>
  <c r="CS36" i="2"/>
  <c r="CQ41" i="2" l="1"/>
  <c r="CQ50" i="2"/>
  <c r="CT47" i="2"/>
  <c r="CT36" i="2"/>
  <c r="CU44" i="2"/>
  <c r="CW3" i="2"/>
  <c r="CW32" i="2" s="1"/>
  <c r="CV32" i="2"/>
  <c r="CR37" i="2" l="1"/>
  <c r="CR38" i="2" s="1"/>
  <c r="CR39" i="2" s="1"/>
  <c r="CR40" i="2" s="1"/>
  <c r="CV44" i="2"/>
  <c r="CW44" i="2"/>
  <c r="CU47" i="2"/>
  <c r="CU36" i="2"/>
  <c r="CJ35" i="2"/>
  <c r="CI35" i="2"/>
  <c r="CH35" i="2"/>
  <c r="CJ32" i="2"/>
  <c r="CI32" i="2"/>
  <c r="CH32" i="2"/>
  <c r="CI44" i="2"/>
  <c r="CJ44" i="2"/>
  <c r="CI2" i="2"/>
  <c r="CJ2" i="2" s="1"/>
  <c r="L4" i="1"/>
  <c r="L7" i="1" s="1"/>
  <c r="CJ36" i="2" l="1"/>
  <c r="CJ38" i="2" s="1"/>
  <c r="CJ40" i="2" s="1"/>
  <c r="CH36" i="2"/>
  <c r="CH38" i="2" s="1"/>
  <c r="CH40" i="2" s="1"/>
  <c r="CI36" i="2"/>
  <c r="CI38" i="2" s="1"/>
  <c r="CI40" i="2" s="1"/>
  <c r="CR41" i="2"/>
  <c r="CR50" i="2"/>
  <c r="CW47" i="2"/>
  <c r="CW36" i="2"/>
  <c r="CV47" i="2"/>
  <c r="CV36" i="2"/>
  <c r="CJ47" i="2"/>
  <c r="CI47" i="2"/>
  <c r="CH47" i="2"/>
  <c r="CJ99" i="2" l="1"/>
  <c r="CJ41" i="2"/>
  <c r="CJ69" i="2"/>
  <c r="CI99" i="2"/>
  <c r="CI41" i="2"/>
  <c r="CI69" i="2"/>
  <c r="CH99" i="2"/>
  <c r="CH41" i="2"/>
  <c r="CH69" i="2"/>
  <c r="CS37" i="2"/>
  <c r="CS38" i="2" s="1"/>
  <c r="CS39" i="2" s="1"/>
  <c r="CS40" i="2" s="1"/>
  <c r="CS41" i="2" s="1"/>
  <c r="CS50" i="2" l="1"/>
  <c r="CT37" i="2" l="1"/>
  <c r="CT38" i="2" s="1"/>
  <c r="CT39" i="2" s="1"/>
  <c r="CT40" i="2" s="1"/>
  <c r="CT41" i="2" s="1"/>
  <c r="CT50" i="2" l="1"/>
  <c r="CU37" i="2" l="1"/>
  <c r="CU38" i="2" s="1"/>
  <c r="CU39" i="2" l="1"/>
  <c r="CU40" i="2" s="1"/>
  <c r="CU41" i="2" l="1"/>
  <c r="CU50" i="2"/>
  <c r="CV37" i="2" l="1"/>
  <c r="CV38" i="2" s="1"/>
  <c r="CV39" i="2" l="1"/>
  <c r="CV40" i="2" s="1"/>
  <c r="CV41" i="2" l="1"/>
  <c r="CV50" i="2"/>
  <c r="CW37" i="2" l="1"/>
  <c r="CW38" i="2" s="1"/>
  <c r="CW39" i="2" s="1"/>
  <c r="CW40" i="2" s="1"/>
  <c r="CX40" i="2" l="1"/>
  <c r="CY40" i="2" s="1"/>
  <c r="CZ40" i="2" s="1"/>
  <c r="DA40" i="2" s="1"/>
  <c r="DB40" i="2" s="1"/>
  <c r="DC40" i="2" s="1"/>
  <c r="DD40" i="2" s="1"/>
  <c r="DE40" i="2" s="1"/>
  <c r="DF40" i="2" s="1"/>
  <c r="DG40" i="2" s="1"/>
  <c r="DH40" i="2" s="1"/>
  <c r="DI40" i="2" s="1"/>
  <c r="DJ40" i="2" s="1"/>
  <c r="DK40" i="2" s="1"/>
  <c r="DL40" i="2" s="1"/>
  <c r="DM40" i="2" s="1"/>
  <c r="DN40" i="2" s="1"/>
  <c r="DO40" i="2" s="1"/>
  <c r="DP40" i="2" s="1"/>
  <c r="DQ40" i="2" s="1"/>
  <c r="DR40" i="2" s="1"/>
  <c r="DS40" i="2" s="1"/>
  <c r="DT40" i="2" s="1"/>
  <c r="DU40" i="2" s="1"/>
  <c r="DV40" i="2" s="1"/>
  <c r="DW40" i="2" s="1"/>
  <c r="DX40" i="2" s="1"/>
  <c r="DY40" i="2" s="1"/>
  <c r="DZ40" i="2" s="1"/>
  <c r="EA40" i="2" s="1"/>
  <c r="EB40" i="2" s="1"/>
  <c r="EC40" i="2" s="1"/>
  <c r="ED40" i="2" s="1"/>
  <c r="EE40" i="2" s="1"/>
  <c r="EF40" i="2" s="1"/>
  <c r="EG40" i="2" s="1"/>
  <c r="EH40" i="2" s="1"/>
  <c r="EI40" i="2" s="1"/>
  <c r="EJ40" i="2" s="1"/>
  <c r="EK40" i="2" s="1"/>
  <c r="EL40" i="2" s="1"/>
  <c r="EM40" i="2" s="1"/>
  <c r="EN40" i="2" s="1"/>
  <c r="EO40" i="2" s="1"/>
  <c r="EP40" i="2" s="1"/>
  <c r="EQ40" i="2" s="1"/>
  <c r="ER40" i="2" s="1"/>
  <c r="ES40" i="2" s="1"/>
  <c r="ET40" i="2" s="1"/>
  <c r="EU40" i="2" s="1"/>
  <c r="EV40" i="2" s="1"/>
  <c r="EW40" i="2" s="1"/>
  <c r="EX40" i="2" s="1"/>
  <c r="EY40" i="2" s="1"/>
  <c r="EZ40" i="2" s="1"/>
  <c r="FA40" i="2" s="1"/>
  <c r="FB40" i="2" s="1"/>
  <c r="FC40" i="2" s="1"/>
  <c r="FD40" i="2" s="1"/>
  <c r="FE40" i="2" s="1"/>
  <c r="FF40" i="2" s="1"/>
  <c r="FG40" i="2" s="1"/>
  <c r="FH40" i="2" s="1"/>
  <c r="FI40" i="2" s="1"/>
  <c r="FJ40" i="2" s="1"/>
  <c r="FK40" i="2" s="1"/>
  <c r="FL40" i="2" s="1"/>
  <c r="FM40" i="2" s="1"/>
  <c r="FN40" i="2" s="1"/>
  <c r="FO40" i="2" s="1"/>
  <c r="FP40" i="2" s="1"/>
  <c r="FQ40" i="2" s="1"/>
  <c r="FR40" i="2" s="1"/>
  <c r="FS40" i="2" s="1"/>
  <c r="FT40" i="2" s="1"/>
  <c r="FU40" i="2" s="1"/>
  <c r="FV40" i="2" s="1"/>
  <c r="FW40" i="2" s="1"/>
  <c r="DA46" i="2" s="1"/>
  <c r="DA47" i="2" s="1"/>
  <c r="DA48" i="2" s="1"/>
  <c r="CW41" i="2"/>
  <c r="CW50" i="2"/>
</calcChain>
</file>

<file path=xl/sharedStrings.xml><?xml version="1.0" encoding="utf-8"?>
<sst xmlns="http://schemas.openxmlformats.org/spreadsheetml/2006/main" count="318" uniqueCount="300">
  <si>
    <t>Price</t>
  </si>
  <si>
    <t>Shares</t>
  </si>
  <si>
    <t>MC</t>
  </si>
  <si>
    <t>Cash</t>
  </si>
  <si>
    <t>Debt</t>
  </si>
  <si>
    <t>EV</t>
  </si>
  <si>
    <t>Q422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</si>
  <si>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</si>
  <si>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</si>
  <si>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</si>
  <si>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</si>
  <si>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</si>
  <si>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</si>
  <si>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</si>
  <si>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</si>
  <si>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</si>
  <si>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</si>
  <si>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</si>
  <si>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</si>
  <si>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</si>
  <si>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Q123</t>
  </si>
  <si>
    <t>Q223</t>
  </si>
  <si>
    <t>Q323</t>
  </si>
  <si>
    <t>Q423</t>
  </si>
  <si>
    <t>Revenue y/y</t>
  </si>
  <si>
    <t>Gross Margin</t>
  </si>
  <si>
    <t>COGS</t>
  </si>
  <si>
    <t>R&amp;D</t>
  </si>
  <si>
    <t>MG&amp;A</t>
  </si>
  <si>
    <t>Operating Expenses</t>
  </si>
  <si>
    <t>Operating Income</t>
  </si>
  <si>
    <t>Interest</t>
  </si>
  <si>
    <t>Pretax</t>
  </si>
  <si>
    <t>Taxes</t>
  </si>
  <si>
    <t>Net Income</t>
  </si>
  <si>
    <t>EPS</t>
  </si>
  <si>
    <t>Nvidia</t>
  </si>
  <si>
    <t>Model NI</t>
  </si>
  <si>
    <t>Reported NI</t>
  </si>
  <si>
    <t>CFFO</t>
  </si>
  <si>
    <t>Depreciation</t>
  </si>
  <si>
    <t>SBC</t>
  </si>
  <si>
    <t>Restructuring</t>
  </si>
  <si>
    <t>Amortization</t>
  </si>
  <si>
    <t>Equity Investments</t>
  </si>
  <si>
    <t>Divestitures</t>
  </si>
  <si>
    <t>WC</t>
  </si>
  <si>
    <t>CapEx</t>
  </si>
  <si>
    <t>FCF</t>
  </si>
  <si>
    <t>12th-gen Intel Core HX</t>
  </si>
  <si>
    <t>Alder Lake</t>
  </si>
  <si>
    <t>Meteor Lake</t>
  </si>
  <si>
    <t>Ponte Vecchio - Intel Data Center GPU Max Series</t>
  </si>
  <si>
    <t>CCG - Notebook</t>
  </si>
  <si>
    <t>CCG - Desktop</t>
  </si>
  <si>
    <t>CCG - Other</t>
  </si>
  <si>
    <t>DCAI</t>
  </si>
  <si>
    <t>NEX</t>
  </si>
  <si>
    <t>Mobileye</t>
  </si>
  <si>
    <t>Foundry</t>
  </si>
  <si>
    <t>Ice Lake - 10nm 3rd-gen Xeon</t>
  </si>
  <si>
    <t>GDP y/y</t>
  </si>
  <si>
    <t>Intel 7 - 7nm? - in high-volume manufacturing for client/server (Q422)</t>
  </si>
  <si>
    <t>Intel 3 - 3nm continues to progress, 20A, 18A test chips</t>
  </si>
  <si>
    <t>Raptor Lake - 13th-gen client, K processors, Z790 chipset</t>
  </si>
  <si>
    <t xml:space="preserve">  i9-13900K</t>
  </si>
  <si>
    <t xml:space="preserve">  4th-gen Xeon (Sapphire Rapids)</t>
  </si>
  <si>
    <t>Xeon</t>
  </si>
  <si>
    <t>AMD</t>
  </si>
  <si>
    <t>Big Three</t>
  </si>
  <si>
    <t xml:space="preserve">  Intel %</t>
  </si>
  <si>
    <t>Discount</t>
  </si>
  <si>
    <t>ROIC</t>
  </si>
  <si>
    <t>Terminal</t>
  </si>
  <si>
    <t>Net Cash</t>
  </si>
  <si>
    <t>NPV</t>
  </si>
  <si>
    <t>Share</t>
  </si>
  <si>
    <t>CFO: David Zinsner</t>
  </si>
  <si>
    <t>Q124</t>
  </si>
  <si>
    <t>Q224</t>
  </si>
  <si>
    <t>Q324</t>
  </si>
  <si>
    <t>Q424</t>
  </si>
  <si>
    <t>Employees</t>
  </si>
  <si>
    <t>AR</t>
  </si>
  <si>
    <t>Inventories</t>
  </si>
  <si>
    <t>OCA</t>
  </si>
  <si>
    <t>PP&amp;E</t>
  </si>
  <si>
    <t>Goodwill</t>
  </si>
  <si>
    <t>LOTA</t>
  </si>
  <si>
    <t>Assets</t>
  </si>
  <si>
    <t>L+SE</t>
  </si>
  <si>
    <t>SE</t>
  </si>
  <si>
    <t>AP</t>
  </si>
  <si>
    <t>Compensation</t>
  </si>
  <si>
    <t>OL</t>
  </si>
  <si>
    <t>OLTL</t>
  </si>
  <si>
    <t>Broadcom</t>
  </si>
  <si>
    <t>Avago</t>
  </si>
  <si>
    <t>PC Shipments</t>
  </si>
  <si>
    <t>PC revenue</t>
  </si>
  <si>
    <t>Intel Share</t>
  </si>
  <si>
    <t>PC shipments y/y</t>
  </si>
  <si>
    <t>Rev/Shipment</t>
  </si>
  <si>
    <t>NG GM%</t>
  </si>
  <si>
    <t>Intel Core Ultra - 2024, with NPU</t>
  </si>
  <si>
    <t>13th-gen mobile, first 24-core laptop</t>
  </si>
  <si>
    <t>vPro</t>
  </si>
  <si>
    <t>14th-gen desktop - voltage coding error</t>
  </si>
  <si>
    <t>i9</t>
  </si>
  <si>
    <t>Max Turbo</t>
  </si>
  <si>
    <t>i7</t>
  </si>
  <si>
    <t>i5</t>
  </si>
  <si>
    <t>i3</t>
  </si>
  <si>
    <t>Intel Turbo Boost</t>
  </si>
  <si>
    <t>-</t>
  </si>
  <si>
    <t>Performance Core Max Turbo Frequency</t>
  </si>
  <si>
    <t>Efficient-core Max Turbo</t>
  </si>
  <si>
    <t>Cores</t>
  </si>
  <si>
    <t>P Cores</t>
  </si>
  <si>
    <t>Threads</t>
  </si>
  <si>
    <t>L3</t>
  </si>
  <si>
    <t>i9-13900K</t>
  </si>
  <si>
    <t>Raptor Lake</t>
  </si>
  <si>
    <t>Raptor Lake Refresh</t>
  </si>
  <si>
    <t>i9-12900K</t>
  </si>
  <si>
    <t>i9-14900K, i9-14900KF, i9-14900KS</t>
  </si>
  <si>
    <t>Base</t>
  </si>
  <si>
    <t>*k = unlocked</t>
  </si>
  <si>
    <t>*f = no GPU</t>
  </si>
  <si>
    <t>*s = lower power</t>
  </si>
  <si>
    <t xml:space="preserve">  vRAN Boost</t>
  </si>
  <si>
    <t>5th-Gen Xeon Scalable</t>
  </si>
  <si>
    <t>GPUs</t>
  </si>
  <si>
    <t>Intel Arc Pro A60</t>
  </si>
  <si>
    <t>Intel Arc Pro A60M</t>
  </si>
  <si>
    <t>Intel Arc Pro A40</t>
  </si>
  <si>
    <t>US Manufacturing</t>
  </si>
  <si>
    <t>Arizona, New Mexico, Oregon, Ohio</t>
  </si>
  <si>
    <t>EU Manufacturing</t>
  </si>
  <si>
    <t>Ireland, Israel, Germany, Poland</t>
  </si>
  <si>
    <t>Intel 4 - 4nm? - manufacturing ready, Meteor Lake ramp in 2H23, with EUV?</t>
  </si>
  <si>
    <t>C-C bond is 1.54A, 0.15nm</t>
  </si>
  <si>
    <t>MOSFET - metal-oxide smiconductor field-effect transistor</t>
  </si>
  <si>
    <t>Lunar Lake - SOC/laptop (battle mage)</t>
  </si>
  <si>
    <t>NI-FCF</t>
  </si>
  <si>
    <t>Q125</t>
  </si>
  <si>
    <t>Q225</t>
  </si>
  <si>
    <t>Q325</t>
  </si>
  <si>
    <t>Q425</t>
  </si>
  <si>
    <t>DT</t>
  </si>
  <si>
    <t>Impairments</t>
  </si>
  <si>
    <t>CFFI</t>
  </si>
  <si>
    <t>Investments</t>
  </si>
  <si>
    <t>CFFF</t>
  </si>
  <si>
    <t>Partner</t>
  </si>
  <si>
    <t>ESOP</t>
  </si>
  <si>
    <t>Dividends</t>
  </si>
  <si>
    <t>Other</t>
  </si>
  <si>
    <t>CIC</t>
  </si>
  <si>
    <t>Number</t>
  </si>
  <si>
    <t>Title</t>
  </si>
  <si>
    <t>Unifying Interface for Cloud Content Sharing Devices</t>
  </si>
  <si>
    <t>Inventors</t>
  </si>
  <si>
    <t>Steven J. Birkel</t>
  </si>
  <si>
    <t>Optimizing Head Mounted Displays for Augmented Reality</t>
  </si>
  <si>
    <t>Anna Petrovskaya</t>
  </si>
  <si>
    <t>Embedded Bridge Die With Through-Silicon Vias</t>
  </si>
  <si>
    <t>Aditya Vaidya</t>
  </si>
  <si>
    <t>die</t>
  </si>
  <si>
    <t>fabrication</t>
  </si>
  <si>
    <t>PCB</t>
  </si>
  <si>
    <t>wafer</t>
  </si>
  <si>
    <t>the small, thin silce of silicon that houses the IC. Contains millions - billions transistors and other components</t>
  </si>
  <si>
    <t>the active component of the electronic device, it is encased in packaging</t>
  </si>
  <si>
    <t>printed circuit board, a large, flat board which acts as a platform to connect and organize electronic components such as dies, capacitors, resistors, etc. provides power and communication between components via conductive traces (copper paths</t>
  </si>
  <si>
    <t>conductive traces</t>
  </si>
  <si>
    <t>packaging</t>
  </si>
  <si>
    <t>houses the die in a plastic or ceramic enclosure with pins or solder balls to form an IC chip</t>
  </si>
  <si>
    <t>integrated circuit</t>
  </si>
  <si>
    <t>Circuits were once made of discrete components: individual transistors, resistors, capacitors, diodes, all connected via wires on a circuit board. Jack Kilby and Robert Noyce developed methods to combine these materials on a silicon substrate.</t>
  </si>
  <si>
    <t>via</t>
  </si>
  <si>
    <t>BEOL</t>
  </si>
  <si>
    <t>back-end-of-line process is where multiple metal layers are deposited and patterned on a chip to form interconnections</t>
  </si>
  <si>
    <t>vertical connections that allow signal to pass through different layers of a device.</t>
  </si>
  <si>
    <t>TSV</t>
  </si>
  <si>
    <t>through-silicon vias are vias which pass through a silicon die in a 3D stacked IC</t>
  </si>
  <si>
    <t>HBM</t>
  </si>
  <si>
    <t>3D stacked IC</t>
  </si>
  <si>
    <t>3D NAND</t>
  </si>
  <si>
    <t>through-hole vias</t>
  </si>
  <si>
    <t>small drilled hole enabling connection to different layers of the board</t>
  </si>
  <si>
    <t>blind vias</t>
  </si>
  <si>
    <t>buried vias</t>
  </si>
  <si>
    <t>not visible, connects internal PCB layers</t>
  </si>
  <si>
    <t>connects an outer layer to an inner layer, but not through the entire board</t>
  </si>
  <si>
    <t>contact pitches</t>
  </si>
  <si>
    <t>trace routing</t>
  </si>
  <si>
    <t>see conductive traces</t>
  </si>
  <si>
    <t>pitch</t>
  </si>
  <si>
    <t>routing pitch</t>
  </si>
  <si>
    <t>bridging die</t>
  </si>
  <si>
    <t>FIVR</t>
  </si>
  <si>
    <t>MCI</t>
  </si>
  <si>
    <t>multilayer chip inductor</t>
  </si>
  <si>
    <t>fully integrated voltage regulator</t>
  </si>
  <si>
    <t>bridge</t>
  </si>
  <si>
    <t>bond pad</t>
  </si>
  <si>
    <t>electrical bond pad</t>
  </si>
  <si>
    <t>MEMS</t>
  </si>
  <si>
    <t>bump</t>
  </si>
  <si>
    <t>also known as a solder bump</t>
  </si>
  <si>
    <t>dielectric layer</t>
  </si>
  <si>
    <t>DBF</t>
  </si>
  <si>
    <t>die backside film</t>
  </si>
  <si>
    <t>epoxy film</t>
  </si>
  <si>
    <t>RAM die</t>
  </si>
  <si>
    <t>logic die</t>
  </si>
  <si>
    <t>power bus</t>
  </si>
  <si>
    <t>wet etch</t>
  </si>
  <si>
    <t>DRIE</t>
  </si>
  <si>
    <t>deep reactive ion etching</t>
  </si>
  <si>
    <t>PECVD</t>
  </si>
  <si>
    <t>plasma-enhanced chemical vapor deposition</t>
  </si>
  <si>
    <t>RF sputtering</t>
  </si>
  <si>
    <t>LPD</t>
  </si>
  <si>
    <t>liquid phase deposition</t>
  </si>
  <si>
    <t>electroplating</t>
  </si>
  <si>
    <t>photolithography</t>
  </si>
  <si>
    <t>adhesion layer</t>
  </si>
  <si>
    <t>carrier wafer</t>
  </si>
  <si>
    <t>ACF</t>
  </si>
  <si>
    <t>anisotropic conductive film</t>
  </si>
  <si>
    <t>BBUL</t>
  </si>
  <si>
    <t>bumpless build-up layer package</t>
  </si>
  <si>
    <t>FLI</t>
  </si>
  <si>
    <t>first-level interconnect</t>
  </si>
  <si>
    <t>microvias</t>
  </si>
  <si>
    <t>system-on-chip</t>
  </si>
  <si>
    <t>Processor Related Communications</t>
  </si>
  <si>
    <t>Chih-Jen Chang</t>
  </si>
  <si>
    <t>PCIe</t>
  </si>
  <si>
    <t>peripheral component interconnect express</t>
  </si>
  <si>
    <t>Infiniband</t>
  </si>
  <si>
    <t>Omni-Path</t>
  </si>
  <si>
    <t>Kent Lusted</t>
  </si>
  <si>
    <t>Device-to-Device Link Training</t>
  </si>
  <si>
    <t>Notes</t>
  </si>
  <si>
    <t>networking</t>
  </si>
  <si>
    <t>Intelligent Resource Selection for Received Content</t>
  </si>
  <si>
    <t>Francesc Guim Bernat</t>
  </si>
  <si>
    <t>Issued</t>
  </si>
  <si>
    <t>Gate-all-around integrated circuit structures having source or drain structures with epitaxial nubs</t>
  </si>
  <si>
    <t>Cory Bomberger</t>
  </si>
  <si>
    <t>gate-all-around</t>
  </si>
  <si>
    <t>transistor</t>
  </si>
  <si>
    <t>transistor, multigate</t>
  </si>
  <si>
    <t>transistor, trigate</t>
  </si>
  <si>
    <t>Tangible Book</t>
  </si>
  <si>
    <t>i9 270H</t>
  </si>
  <si>
    <t>i7 251TE</t>
  </si>
  <si>
    <t>i7 251E</t>
  </si>
  <si>
    <t>i7 250U</t>
  </si>
  <si>
    <t>i7 250H</t>
  </si>
  <si>
    <t>i7 240H</t>
  </si>
  <si>
    <t>Speed</t>
  </si>
  <si>
    <t>Cache (MB)</t>
  </si>
  <si>
    <t>i9 14900T</t>
  </si>
  <si>
    <t>i9 14900K</t>
  </si>
  <si>
    <t>i9 14900KF</t>
  </si>
  <si>
    <t>i9 14900HX</t>
  </si>
  <si>
    <t>i9 14901E</t>
  </si>
  <si>
    <t>i9 14901KE</t>
  </si>
  <si>
    <t>Xeon 6527P</t>
  </si>
  <si>
    <t>Xeon 6745P</t>
  </si>
  <si>
    <t>Xeon 6944P</t>
  </si>
  <si>
    <t>Nvidia staggered</t>
  </si>
  <si>
    <t>Intel Today's Dollars</t>
  </si>
  <si>
    <t>INTC Today's Dollars Adjustment</t>
  </si>
  <si>
    <t>NVDA Today's Dollars Adjustmnet</t>
  </si>
  <si>
    <t>Nvidia Today's Dollars Revenue</t>
  </si>
  <si>
    <t>Q126</t>
  </si>
  <si>
    <t>Q226</t>
  </si>
  <si>
    <t>Q326</t>
  </si>
  <si>
    <t>Q426</t>
  </si>
  <si>
    <t>CEO: Lip Bu-tan replaced Pat Gelsinger replaced Bob Swan replaced Craig Barret who replaced Andy Grove</t>
  </si>
  <si>
    <t>Government</t>
  </si>
  <si>
    <t>Acquisitions</t>
  </si>
  <si>
    <t>Foundry OpInc</t>
  </si>
  <si>
    <t>Third Party Foundry</t>
  </si>
  <si>
    <t>Without Foundry</t>
  </si>
  <si>
    <t>CCG Total</t>
  </si>
  <si>
    <t>31,800</t>
  </si>
  <si>
    <t>41,000</t>
  </si>
  <si>
    <t>AXG/All Other</t>
  </si>
  <si>
    <t>1,300</t>
  </si>
  <si>
    <t>6,600</t>
  </si>
  <si>
    <t>6,500</t>
  </si>
  <si>
    <t>1,100</t>
  </si>
  <si>
    <t>7,300</t>
  </si>
  <si>
    <t>1,200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</si>
</sst>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/>
    <xf numFmtId="0" fontId="2" fillId="0" borderId="0" xfId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/>
    <xf numFmtId="4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9" fontId="3" fillId="0" borderId="0" xfId="0" applyNumberFormat="1" applyFont="1"/>
    <xf numFmtId="9" fontId="0" fillId="0" borderId="0" xfId="0" applyNumberFormat="1" applyAlignment="1">
      <alignment horizontal="right"/>
    </xf>
    <xf numFmtId="4" fontId="3" fillId="0" borderId="0" xfId="0" applyNumberFormat="1" applyFont="1"/>
    <xf numFmtId="16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0" fillId="2" borderId="0" xfId="0" applyFill="1"/>
    <xf numFmtId="0" fontId="3" fillId="2" borderId="0" xfId="0" applyFont="1" applyFill="1"/>
    <xf numFmtId="3" fontId="3" fillId="2" borderId="0" xfId="0" applyNumberFormat="1" applyFont="1" applyFill="1"/>
    <xf numFmtId="4" fontId="3" fillId="2" borderId="0" xfId="0" applyNumberFormat="1" applyFont="1" applyFill="1"/>
    <xf numFmtId="3" fontId="0" fillId="2" borderId="0" xfId="0" applyNumberFormat="1" applyFill="1"/>
    <xf numFmtId="3" fontId="1" fillId="2" borderId="0" xfId="0" applyNumberFormat="1" applyFont="1" applyFill="1"/>
    <xf numFmtId="4" fontId="0" fillId="2" borderId="0" xfId="0" applyNumberFormat="1" applyFill="1"/>
    <xf numFmtId="9" fontId="1" fillId="2" borderId="0" xfId="0" applyNumberFormat="1" applyFont="1" applyFill="1"/>
    <xf numFmtId="9" fontId="0" fillId="2" borderId="0" xfId="0" applyNumberFormat="1" applyFill="1"/>
    <xf numFmtId="0" fontId="1" fillId="2" borderId="0" xfId="0" applyFont="1" applyFill="1"/>
    <xf numFmtId="0" fontId="0" fillId="3" borderId="0" xfId="0" applyFill="1"/>
    <xf numFmtId="0" fontId="3" fillId="3" borderId="0" xfId="0" applyFont="1" applyFill="1"/>
    <xf numFmtId="3" fontId="0" fillId="3" borderId="0" xfId="0" applyNumberFormat="1" applyFill="1"/>
    <xf numFmtId="3" fontId="1" fillId="3" borderId="0" xfId="0" applyNumberFormat="1" applyFont="1" applyFill="1"/>
    <xf numFmtId="4" fontId="0" fillId="3" borderId="0" xfId="0" applyNumberFormat="1" applyFill="1"/>
    <xf numFmtId="9" fontId="1" fillId="3" borderId="0" xfId="0" applyNumberFormat="1" applyFont="1" applyFill="1"/>
    <xf numFmtId="0" fontId="1" fillId="3" borderId="0" xfId="0" applyFont="1" applyFill="1"/>
    <xf numFmtId="3" fontId="3" fillId="3" borderId="0" xfId="0" applyNumberFormat="1" applyFont="1" applyFill="1"/>
    <xf numFmtId="4" fontId="3" fillId="0" borderId="0" xfId="0" applyNumberFormat="1" applyFont="1" applyAlignment="1">
      <alignment horizontal="right"/>
    </xf>
    <xf numFmtId="4" fontId="3" fillId="3" borderId="0" xfId="0" applyNumberFormat="1" applyFont="1" applyFill="1"/>
    <xf numFmtId="3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8BC6DE2-7325-4FE8-9C44-3D73230255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Model!$AI$2:$CL$2</c:f>
              <c:numCache>
                <c:formatCode>General</c:formatCode>
                <c:ptCount val="56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  <c:pt idx="54">
                  <c:v>2023</c:v>
                </c:pt>
                <c:pt idx="55">
                  <c:v>2024</c:v>
                </c:pt>
              </c:numCache>
            </c:numRef>
          </c:cat>
          <c:val>
            <c:numRef>
              <c:f>Model!$AI$7:$CL$7</c:f>
              <c:numCache>
                <c:formatCode>#,##0</c:formatCode>
                <c:ptCount val="56"/>
                <c:pt idx="0">
                  <c:v>2.4822000000000002</c:v>
                </c:pt>
                <c:pt idx="1">
                  <c:v>8.0587199999999992</c:v>
                </c:pt>
                <c:pt idx="2">
                  <c:v>58.723420000000004</c:v>
                </c:pt>
                <c:pt idx="3">
                  <c:v>25.935000000000002</c:v>
                </c:pt>
                <c:pt idx="4">
                  <c:v>300.65029999999996</c:v>
                </c:pt>
                <c:pt idx="5">
                  <c:v>692.83425</c:v>
                </c:pt>
                <c:pt idx="6">
                  <c:v>1345.5331200000001</c:v>
                </c:pt>
                <c:pt idx="7">
                  <c:v>2437.6583799999999</c:v>
                </c:pt>
                <c:pt idx="8">
                  <c:v>3284.2488399999997</c:v>
                </c:pt>
                <c:pt idx="9">
                  <c:v>3007.8592499999995</c:v>
                </c:pt>
                <c:pt idx="10">
                  <c:v>3216.0527999999999</c:v>
                </c:pt>
                <c:pt idx="11">
                  <c:v>3682.3148499999998</c:v>
                </c:pt>
                <c:pt idx="12">
                  <c:v>4633.8442100000002</c:v>
                </c:pt>
                <c:pt idx="13">
                  <c:v>6023.8541999999998</c:v>
                </c:pt>
                <c:pt idx="14">
                  <c:v>4966.0455499999998</c:v>
                </c:pt>
                <c:pt idx="15">
                  <c:v>4956.4030499999999</c:v>
                </c:pt>
                <c:pt idx="16">
                  <c:v>5102.3649599999999</c:v>
                </c:pt>
                <c:pt idx="17">
                  <c:v>5597.1019999999999</c:v>
                </c:pt>
                <c:pt idx="18">
                  <c:v>5906.6194199999991</c:v>
                </c:pt>
                <c:pt idx="19">
                  <c:v>5616.8</c:v>
                </c:pt>
                <c:pt idx="20">
                  <c:v>6273.88</c:v>
                </c:pt>
                <c:pt idx="21">
                  <c:v>6663.3</c:v>
                </c:pt>
                <c:pt idx="22">
                  <c:v>9052.1</c:v>
                </c:pt>
                <c:pt idx="23">
                  <c:v>12531.06</c:v>
                </c:pt>
                <c:pt idx="24">
                  <c:v>14996.48</c:v>
                </c:pt>
                <c:pt idx="25">
                  <c:v>13647.5</c:v>
                </c:pt>
                <c:pt idx="26">
                  <c:v>19343</c:v>
                </c:pt>
                <c:pt idx="27">
                  <c:v>29604.300000000003</c:v>
                </c:pt>
                <c:pt idx="28">
                  <c:v>28595.620000000003</c:v>
                </c:pt>
                <c:pt idx="29">
                  <c:v>62749.66</c:v>
                </c:pt>
                <c:pt idx="30">
                  <c:v>130497</c:v>
                </c:pt>
                <c:pt idx="31">
                  <c:v>197220</c:v>
                </c:pt>
                <c:pt idx="32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D9-47FD-998C-7EC0362B334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Model!$AI$2:$CL$2</c:f>
              <c:numCache>
                <c:formatCode>General</c:formatCode>
                <c:ptCount val="56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  <c:pt idx="54">
                  <c:v>2023</c:v>
                </c:pt>
                <c:pt idx="55">
                  <c:v>2024</c:v>
                </c:pt>
              </c:numCache>
            </c:numRef>
          </c:cat>
          <c:val>
            <c:numRef>
              <c:f>Model!$AI$8:$CL$8</c:f>
              <c:numCache>
                <c:formatCode>#,##0</c:formatCode>
                <c:ptCount val="56"/>
                <c:pt idx="0">
                  <c:v>5.28</c:v>
                </c:pt>
                <c:pt idx="1">
                  <c:v>34.860000000000007</c:v>
                </c:pt>
                <c:pt idx="2">
                  <c:v>74.260000000000005</c:v>
                </c:pt>
                <c:pt idx="3">
                  <c:v>180.18</c:v>
                </c:pt>
                <c:pt idx="4">
                  <c:v>483.26</c:v>
                </c:pt>
                <c:pt idx="5">
                  <c:v>887.69999999999993</c:v>
                </c:pt>
                <c:pt idx="6">
                  <c:v>820.80000000000007</c:v>
                </c:pt>
                <c:pt idx="7">
                  <c:v>1288.2</c:v>
                </c:pt>
                <c:pt idx="8">
                  <c:v>1497.25</c:v>
                </c:pt>
                <c:pt idx="9">
                  <c:v>1983.03</c:v>
                </c:pt>
                <c:pt idx="10">
                  <c:v>2948.06</c:v>
                </c:pt>
                <c:pt idx="11">
                  <c:v>3360.15</c:v>
                </c:pt>
                <c:pt idx="12">
                  <c:v>2808.84</c:v>
                </c:pt>
                <c:pt idx="13">
                  <c:v>2916</c:v>
                </c:pt>
                <c:pt idx="14">
                  <c:v>3511.8599999999997</c:v>
                </c:pt>
                <c:pt idx="15">
                  <c:v>4887</c:v>
                </c:pt>
                <c:pt idx="16">
                  <c:v>3972.15</c:v>
                </c:pt>
                <c:pt idx="17">
                  <c:v>3605.25</c:v>
                </c:pt>
                <c:pt idx="18">
                  <c:v>5244.25</c:v>
                </c:pt>
                <c:pt idx="19">
                  <c:v>7618.1378499999992</c:v>
                </c:pt>
                <c:pt idx="20">
                  <c:v>7879.6191600000002</c:v>
                </c:pt>
                <c:pt idx="21">
                  <c:v>9724.7595199999996</c:v>
                </c:pt>
                <c:pt idx="22">
                  <c:v>11135.07</c:v>
                </c:pt>
                <c:pt idx="23">
                  <c:v>13149</c:v>
                </c:pt>
                <c:pt idx="24">
                  <c:v>19144.760000000002</c:v>
                </c:pt>
                <c:pt idx="25">
                  <c:v>24654.940000000002</c:v>
                </c:pt>
                <c:pt idx="26">
                  <c:v>34024.200000000004</c:v>
                </c:pt>
                <c:pt idx="27">
                  <c:v>42944.82</c:v>
                </c:pt>
                <c:pt idx="28">
                  <c:v>50641.4</c:v>
                </c:pt>
                <c:pt idx="29">
                  <c:v>51232.35</c:v>
                </c:pt>
                <c:pt idx="30">
                  <c:v>55839.1</c:v>
                </c:pt>
                <c:pt idx="31">
                  <c:v>62393.100000000006</c:v>
                </c:pt>
                <c:pt idx="32">
                  <c:v>48566.37</c:v>
                </c:pt>
                <c:pt idx="33">
                  <c:v>47639.92</c:v>
                </c:pt>
                <c:pt idx="34">
                  <c:v>51842.52</c:v>
                </c:pt>
                <c:pt idx="35">
                  <c:v>56444.85</c:v>
                </c:pt>
                <c:pt idx="36">
                  <c:v>62121.600000000006</c:v>
                </c:pt>
                <c:pt idx="37">
                  <c:v>54842.1</c:v>
                </c:pt>
                <c:pt idx="38">
                  <c:v>57884.340000000004</c:v>
                </c:pt>
                <c:pt idx="39">
                  <c:v>55251.42</c:v>
                </c:pt>
                <c:pt idx="40">
                  <c:v>50934.15</c:v>
                </c:pt>
                <c:pt idx="41">
                  <c:v>64998.27</c:v>
                </c:pt>
                <c:pt idx="42">
                  <c:v>77758.559999999998</c:v>
                </c:pt>
                <c:pt idx="43">
                  <c:v>74677.399999999994</c:v>
                </c:pt>
                <c:pt idx="44">
                  <c:v>72737.039999999994</c:v>
                </c:pt>
                <c:pt idx="45">
                  <c:v>75983.200000000012</c:v>
                </c:pt>
                <c:pt idx="46">
                  <c:v>74175.700000000012</c:v>
                </c:pt>
                <c:pt idx="47">
                  <c:v>78984.710000000006</c:v>
                </c:pt>
                <c:pt idx="48">
                  <c:v>82216.91</c:v>
                </c:pt>
                <c:pt idx="49">
                  <c:v>91393.919999999998</c:v>
                </c:pt>
                <c:pt idx="50">
                  <c:v>92115.199999999997</c:v>
                </c:pt>
                <c:pt idx="51">
                  <c:v>97333.75</c:v>
                </c:pt>
                <c:pt idx="52">
                  <c:v>91667.839999999997</c:v>
                </c:pt>
                <c:pt idx="53">
                  <c:v>69359.400000000009</c:v>
                </c:pt>
                <c:pt idx="54">
                  <c:v>57481.68</c:v>
                </c:pt>
                <c:pt idx="55">
                  <c:v>54287.592000000004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9-47FD-998C-7EC0362B3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520671"/>
        <c:axId val="1037522591"/>
      </c:lineChart>
      <c:catAx>
        <c:axId val="103752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2591"/>
        <c:crosses val="autoZero"/>
        <c:auto val="1"/>
        <c:lblAlgn val="ctr"/>
        <c:lblOffset val="100"/>
        <c:noMultiLvlLbl val="0"/>
      </c:catAx>
      <c:valAx>
        <c:axId val="10375225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36034</xdr:colOff>
      <xdr:row>0</xdr:row>
      <xdr:rowOff>0</xdr:rowOff>
    </xdr:from>
    <xdr:to>
      <xdr:col>90</xdr:col>
      <xdr:colOff>36034</xdr:colOff>
      <xdr:row>114</xdr:row>
      <xdr:rowOff>54841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A93E111-9A1E-969E-B046-4678216F947D}"/>
            </a:ext>
          </a:extLst>
        </xdr:cNvPr>
        <xdr:cNvCxnSpPr/>
      </xdr:nvCxnSpPr>
      <xdr:spPr>
        <a:xfrm>
          <a:off x="56190239" y="0"/>
          <a:ext cx="0" cy="181148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44274</xdr:colOff>
      <xdr:row>0</xdr:row>
      <xdr:rowOff>0</xdr:rowOff>
    </xdr:from>
    <xdr:to>
      <xdr:col>26</xdr:col>
      <xdr:colOff>44274</xdr:colOff>
      <xdr:row>107</xdr:row>
      <xdr:rowOff>107156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DD1792C-2787-8FDE-6B43-CA52F6045161}"/>
            </a:ext>
          </a:extLst>
        </xdr:cNvPr>
        <xdr:cNvCxnSpPr/>
      </xdr:nvCxnSpPr>
      <xdr:spPr>
        <a:xfrm>
          <a:off x="17272618" y="0"/>
          <a:ext cx="0" cy="172600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24423</xdr:colOff>
      <xdr:row>11</xdr:row>
      <xdr:rowOff>37612</xdr:rowOff>
    </xdr:from>
    <xdr:to>
      <xdr:col>44</xdr:col>
      <xdr:colOff>449385</xdr:colOff>
      <xdr:row>31</xdr:row>
      <xdr:rowOff>1465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C7CBA-429E-136A-B231-32C0CB421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E7DF-8440-4CDE-A9CC-8CE68EF0CE24}">
  <dimension ref="B2:M33"/>
  <sheetViews>
    <sheetView topLeftCell="D1" zoomScale="205" zoomScaleNormal="205" workbookViewId="0">
      <selection activeCell="L3" sqref="L3"/>
    </sheetView>
  </sheetViews>
  <sheetFormatPr defaultRowHeight="12.5" x14ac:dyDescent="0.25"/>
  <sheetData>
    <row r="2" spans="2:13" ht="13" x14ac:dyDescent="0.3">
      <c r="B2" s="13"/>
      <c r="K2" t="s">
        <v>0</v>
      </c>
      <c r="L2" s="1">
        <v>48</v>
      </c>
    </row>
    <row r="3" spans="2:13" x14ac:dyDescent="0.25">
      <c r="B3" t="s">
        <v>104</v>
      </c>
      <c r="K3" t="s">
        <v>1</v>
      </c>
      <c r="L3" s="2">
        <v>4531</v>
      </c>
      <c r="M3" s="3" t="s">
        <v>147</v>
      </c>
    </row>
    <row r="4" spans="2:13" x14ac:dyDescent="0.25">
      <c r="B4" t="s">
        <v>49</v>
      </c>
      <c r="K4" t="s">
        <v>2</v>
      </c>
      <c r="L4" s="2">
        <f>+L2*L3</f>
        <v>217488</v>
      </c>
      <c r="M4" s="3"/>
    </row>
    <row r="5" spans="2:13" x14ac:dyDescent="0.25">
      <c r="B5" t="s">
        <v>64</v>
      </c>
      <c r="K5" t="s">
        <v>3</v>
      </c>
      <c r="L5" s="2">
        <v>39602</v>
      </c>
      <c r="M5" s="3" t="s">
        <v>147</v>
      </c>
    </row>
    <row r="6" spans="2:13" x14ac:dyDescent="0.25">
      <c r="B6" t="s">
        <v>65</v>
      </c>
      <c r="K6" t="s">
        <v>4</v>
      </c>
      <c r="L6" s="2">
        <v>46553</v>
      </c>
      <c r="M6" s="3" t="s">
        <v>147</v>
      </c>
    </row>
    <row r="7" spans="2:13" x14ac:dyDescent="0.25">
      <c r="B7" t="s">
        <v>105</v>
      </c>
      <c r="K7" t="s">
        <v>5</v>
      </c>
      <c r="L7" s="2">
        <f>+L4-L5+L6</f>
        <v>224439</v>
      </c>
    </row>
    <row r="8" spans="2:13" x14ac:dyDescent="0.25">
      <c r="B8" t="s">
        <v>106</v>
      </c>
      <c r="M8" s="2"/>
    </row>
    <row r="9" spans="2:13" x14ac:dyDescent="0.25">
      <c r="B9" t="s">
        <v>143</v>
      </c>
      <c r="M9" s="2"/>
    </row>
    <row r="10" spans="2:13" x14ac:dyDescent="0.25">
      <c r="L10" s="2"/>
    </row>
    <row r="11" spans="2:13" ht="13" x14ac:dyDescent="0.3">
      <c r="B11" s="13" t="s">
        <v>67</v>
      </c>
    </row>
    <row r="12" spans="2:13" x14ac:dyDescent="0.25">
      <c r="B12" t="s">
        <v>60</v>
      </c>
    </row>
    <row r="13" spans="2:13" x14ac:dyDescent="0.25">
      <c r="B13" t="s">
        <v>66</v>
      </c>
      <c r="K13" t="s">
        <v>284</v>
      </c>
    </row>
    <row r="14" spans="2:13" x14ac:dyDescent="0.25">
      <c r="B14" t="s">
        <v>130</v>
      </c>
      <c r="K14" t="s">
        <v>77</v>
      </c>
    </row>
    <row r="15" spans="2:13" x14ac:dyDescent="0.25">
      <c r="B15" t="s">
        <v>131</v>
      </c>
    </row>
    <row r="18" spans="2:9" ht="13" x14ac:dyDescent="0.3">
      <c r="B18" t="s">
        <v>52</v>
      </c>
      <c r="I18" s="13" t="s">
        <v>136</v>
      </c>
    </row>
    <row r="19" spans="2:9" x14ac:dyDescent="0.25">
      <c r="B19" t="s">
        <v>51</v>
      </c>
      <c r="I19" t="s">
        <v>137</v>
      </c>
    </row>
    <row r="21" spans="2:9" ht="13" x14ac:dyDescent="0.3">
      <c r="B21" s="13" t="s">
        <v>132</v>
      </c>
      <c r="I21" s="13" t="s">
        <v>138</v>
      </c>
    </row>
    <row r="22" spans="2:9" x14ac:dyDescent="0.25">
      <c r="B22" t="s">
        <v>135</v>
      </c>
      <c r="I22" t="s">
        <v>139</v>
      </c>
    </row>
    <row r="23" spans="2:9" x14ac:dyDescent="0.25">
      <c r="B23" t="s">
        <v>133</v>
      </c>
    </row>
    <row r="24" spans="2:9" x14ac:dyDescent="0.25">
      <c r="B24" t="s">
        <v>134</v>
      </c>
    </row>
    <row r="27" spans="2:9" x14ac:dyDescent="0.25">
      <c r="B27" t="s">
        <v>62</v>
      </c>
    </row>
    <row r="28" spans="2:9" ht="13" x14ac:dyDescent="0.3">
      <c r="B28" s="12" t="s">
        <v>140</v>
      </c>
    </row>
    <row r="29" spans="2:9" x14ac:dyDescent="0.25">
      <c r="B29" t="s">
        <v>63</v>
      </c>
    </row>
    <row r="32" spans="2:9" x14ac:dyDescent="0.25">
      <c r="B32" t="s">
        <v>141</v>
      </c>
    </row>
    <row r="33" spans="2:2" x14ac:dyDescent="0.25">
      <c r="B33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D04B-6226-42F4-9686-EE1156E609DE}">
  <dimension ref="A1:FW108"/>
  <sheetViews>
    <sheetView tabSelected="1" zoomScale="160" zoomScaleNormal="160" workbookViewId="0">
      <pane xSplit="2" ySplit="2" topLeftCell="S16" activePane="bottomRight" state="frozen"/>
      <selection pane="topRight" activeCell="C1" sqref="C1"/>
      <selection pane="bottomLeft" activeCell="A3" sqref="A3"/>
      <selection pane="bottomRight" activeCell="Z22" sqref="Z22"/>
    </sheetView>
  </sheetViews>
  <sheetFormatPr defaultRowHeight="12.5" x14ac:dyDescent="0.25"/>
  <cols>
    <col min="1" max="1" width="5" bestFit="1" customWidth="1"/>
    <col min="2" max="2" width="20.7265625" customWidth="1"/>
    <col min="3" max="26" width="9.1796875" style="3"/>
    <col min="27" max="30" width="8.7265625" style="3"/>
    <col min="35" max="40" width="8.7265625" style="34"/>
    <col min="41" max="41" width="8.7265625" style="24"/>
    <col min="42" max="46" width="8.7265625" style="34"/>
    <col min="47" max="47" width="8.7265625" style="24"/>
    <col min="48" max="50" width="8.7265625" style="34"/>
    <col min="51" max="52" width="8.7265625" style="24"/>
    <col min="53" max="54" width="8.7265625" style="34"/>
    <col min="55" max="55" width="8.7265625" style="24"/>
    <col min="56" max="63" width="8.7265625" style="34"/>
    <col min="64" max="64" width="8.7265625" style="24"/>
    <col min="65" max="66" width="8.7265625" style="34"/>
    <col min="67" max="68" width="8.7265625" style="24"/>
    <col min="72" max="72" width="8.7265625" style="24"/>
    <col min="74" max="75" width="8.7265625" style="24"/>
    <col min="105" max="105" width="10.7265625" customWidth="1"/>
  </cols>
  <sheetData>
    <row r="1" spans="1:106" x14ac:dyDescent="0.25">
      <c r="A1" s="11" t="s">
        <v>7</v>
      </c>
    </row>
    <row r="2" spans="1:106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6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78</v>
      </c>
      <c r="T2" s="3" t="s">
        <v>79</v>
      </c>
      <c r="U2" s="3" t="s">
        <v>80</v>
      </c>
      <c r="V2" s="3" t="s">
        <v>81</v>
      </c>
      <c r="W2" s="3" t="s">
        <v>145</v>
      </c>
      <c r="X2" s="3" t="s">
        <v>146</v>
      </c>
      <c r="Y2" s="3" t="s">
        <v>147</v>
      </c>
      <c r="Z2" s="3" t="s">
        <v>148</v>
      </c>
      <c r="AA2" s="3" t="s">
        <v>280</v>
      </c>
      <c r="AB2" s="3" t="s">
        <v>281</v>
      </c>
      <c r="AC2" s="3" t="s">
        <v>282</v>
      </c>
      <c r="AD2" s="3" t="s">
        <v>283</v>
      </c>
      <c r="AF2">
        <f t="shared" ref="AF2:AL2" si="0">+AG2-1</f>
        <v>1966</v>
      </c>
      <c r="AG2">
        <f t="shared" si="0"/>
        <v>1967</v>
      </c>
      <c r="AH2">
        <f t="shared" si="0"/>
        <v>1968</v>
      </c>
      <c r="AI2" s="34">
        <f t="shared" si="0"/>
        <v>1969</v>
      </c>
      <c r="AJ2" s="34">
        <f t="shared" si="0"/>
        <v>1970</v>
      </c>
      <c r="AK2" s="34">
        <f t="shared" si="0"/>
        <v>1971</v>
      </c>
      <c r="AL2" s="34">
        <f t="shared" si="0"/>
        <v>1972</v>
      </c>
      <c r="AM2" s="34">
        <f t="shared" ref="AM2:AV2" si="1">+AN2-1</f>
        <v>1973</v>
      </c>
      <c r="AN2" s="34">
        <f t="shared" si="1"/>
        <v>1974</v>
      </c>
      <c r="AO2" s="24">
        <f t="shared" si="1"/>
        <v>1975</v>
      </c>
      <c r="AP2" s="34">
        <f t="shared" si="1"/>
        <v>1976</v>
      </c>
      <c r="AQ2" s="34">
        <f t="shared" si="1"/>
        <v>1977</v>
      </c>
      <c r="AR2" s="34">
        <f t="shared" si="1"/>
        <v>1978</v>
      </c>
      <c r="AS2" s="34">
        <f t="shared" si="1"/>
        <v>1979</v>
      </c>
      <c r="AT2" s="34">
        <f t="shared" si="1"/>
        <v>1980</v>
      </c>
      <c r="AU2" s="24">
        <f t="shared" si="1"/>
        <v>1981</v>
      </c>
      <c r="AV2" s="34">
        <f t="shared" si="1"/>
        <v>1982</v>
      </c>
      <c r="AW2" s="34">
        <f t="shared" ref="AW2:BD2" si="2">+AX2-1</f>
        <v>1983</v>
      </c>
      <c r="AX2" s="34">
        <f t="shared" si="2"/>
        <v>1984</v>
      </c>
      <c r="AY2" s="24">
        <f t="shared" si="2"/>
        <v>1985</v>
      </c>
      <c r="AZ2" s="24">
        <f t="shared" si="2"/>
        <v>1986</v>
      </c>
      <c r="BA2" s="34">
        <f t="shared" si="2"/>
        <v>1987</v>
      </c>
      <c r="BB2" s="34">
        <f t="shared" si="2"/>
        <v>1988</v>
      </c>
      <c r="BC2" s="24">
        <f t="shared" si="2"/>
        <v>1989</v>
      </c>
      <c r="BD2" s="34">
        <f t="shared" si="2"/>
        <v>1990</v>
      </c>
      <c r="BE2" s="34">
        <f t="shared" ref="BE2:BQ2" si="3">+BF2-1</f>
        <v>1991</v>
      </c>
      <c r="BF2" s="34">
        <f t="shared" si="3"/>
        <v>1992</v>
      </c>
      <c r="BG2" s="34">
        <f t="shared" si="3"/>
        <v>1993</v>
      </c>
      <c r="BH2" s="34">
        <f t="shared" si="3"/>
        <v>1994</v>
      </c>
      <c r="BI2" s="34">
        <f t="shared" si="3"/>
        <v>1995</v>
      </c>
      <c r="BJ2" s="34">
        <f t="shared" si="3"/>
        <v>1996</v>
      </c>
      <c r="BK2" s="34">
        <f t="shared" si="3"/>
        <v>1997</v>
      </c>
      <c r="BL2" s="24">
        <f t="shared" si="3"/>
        <v>1998</v>
      </c>
      <c r="BM2" s="34">
        <f t="shared" si="3"/>
        <v>1999</v>
      </c>
      <c r="BN2" s="34">
        <f t="shared" si="3"/>
        <v>2000</v>
      </c>
      <c r="BO2" s="24">
        <f t="shared" si="3"/>
        <v>2001</v>
      </c>
      <c r="BP2" s="24">
        <f t="shared" si="3"/>
        <v>2002</v>
      </c>
      <c r="BQ2">
        <f t="shared" si="3"/>
        <v>2003</v>
      </c>
      <c r="BR2">
        <f>+BS2-1</f>
        <v>2004</v>
      </c>
      <c r="BS2">
        <v>2005</v>
      </c>
      <c r="BT2" s="24">
        <v>2006</v>
      </c>
      <c r="BU2">
        <v>2007</v>
      </c>
      <c r="BV2" s="24">
        <v>2008</v>
      </c>
      <c r="BW2" s="24">
        <v>2009</v>
      </c>
      <c r="BX2">
        <v>2010</v>
      </c>
      <c r="BY2">
        <v>2011</v>
      </c>
      <c r="BZ2">
        <v>2012</v>
      </c>
      <c r="CA2">
        <v>2013</v>
      </c>
      <c r="CB2">
        <v>2014</v>
      </c>
      <c r="CC2">
        <v>2015</v>
      </c>
      <c r="CD2">
        <v>2016</v>
      </c>
      <c r="CE2">
        <v>2017</v>
      </c>
      <c r="CF2">
        <v>2018</v>
      </c>
      <c r="CG2">
        <v>2019</v>
      </c>
      <c r="CH2">
        <v>2020</v>
      </c>
      <c r="CI2">
        <f>+CH2+1</f>
        <v>2021</v>
      </c>
      <c r="CJ2">
        <f>+CI2+1</f>
        <v>2022</v>
      </c>
      <c r="CK2">
        <v>2023</v>
      </c>
      <c r="CL2">
        <f>+CK2+1</f>
        <v>2024</v>
      </c>
      <c r="CM2">
        <f t="shared" ref="CM2:DB2" si="4">+CL2+1</f>
        <v>2025</v>
      </c>
      <c r="CN2">
        <f t="shared" si="4"/>
        <v>2026</v>
      </c>
      <c r="CO2">
        <f t="shared" si="4"/>
        <v>2027</v>
      </c>
      <c r="CP2">
        <f t="shared" si="4"/>
        <v>2028</v>
      </c>
      <c r="CQ2">
        <f t="shared" si="4"/>
        <v>2029</v>
      </c>
      <c r="CR2">
        <f t="shared" si="4"/>
        <v>2030</v>
      </c>
      <c r="CS2">
        <f t="shared" si="4"/>
        <v>2031</v>
      </c>
      <c r="CT2">
        <f t="shared" si="4"/>
        <v>2032</v>
      </c>
      <c r="CU2">
        <f t="shared" si="4"/>
        <v>2033</v>
      </c>
      <c r="CV2">
        <f t="shared" si="4"/>
        <v>2034</v>
      </c>
      <c r="CW2">
        <f t="shared" si="4"/>
        <v>2035</v>
      </c>
      <c r="CX2">
        <f t="shared" si="4"/>
        <v>2036</v>
      </c>
      <c r="CY2">
        <f t="shared" si="4"/>
        <v>2037</v>
      </c>
      <c r="CZ2">
        <f t="shared" si="4"/>
        <v>2038</v>
      </c>
      <c r="DA2">
        <f t="shared" si="4"/>
        <v>2039</v>
      </c>
      <c r="DB2">
        <f t="shared" si="4"/>
        <v>2040</v>
      </c>
    </row>
    <row r="3" spans="1:106" x14ac:dyDescent="0.25">
      <c r="B3" t="s">
        <v>69</v>
      </c>
      <c r="CG3" s="2">
        <f>+CG5+CG11+CG30</f>
        <v>89614</v>
      </c>
      <c r="CH3" s="2">
        <f>+CH5+CH11+CH30</f>
        <v>104305</v>
      </c>
      <c r="CI3" s="2">
        <f>+CI5+CI11+CI30</f>
        <v>122372</v>
      </c>
      <c r="CJ3" s="2">
        <f>+CJ5+CJ11+CJ30</f>
        <v>106411</v>
      </c>
      <c r="CK3" s="2">
        <f t="shared" ref="CK3" si="5">+CK5+CK11+CK30</f>
        <v>102351</v>
      </c>
      <c r="CL3" s="2">
        <f>+CK3*1.05</f>
        <v>107468.55</v>
      </c>
      <c r="CM3" s="2">
        <f t="shared" ref="CM3:CW3" si="6">+CL3*1.05</f>
        <v>112841.97750000001</v>
      </c>
      <c r="CN3" s="2">
        <f t="shared" si="6"/>
        <v>118484.07637500002</v>
      </c>
      <c r="CO3" s="2">
        <f t="shared" si="6"/>
        <v>124408.28019375002</v>
      </c>
      <c r="CP3" s="2">
        <f t="shared" si="6"/>
        <v>130628.69420343752</v>
      </c>
      <c r="CQ3" s="2">
        <f t="shared" si="6"/>
        <v>137160.1289136094</v>
      </c>
      <c r="CR3" s="2">
        <f t="shared" si="6"/>
        <v>144018.13535928988</v>
      </c>
      <c r="CS3" s="2">
        <f t="shared" si="6"/>
        <v>151219.04212725439</v>
      </c>
      <c r="CT3" s="2">
        <f t="shared" si="6"/>
        <v>158779.99423361712</v>
      </c>
      <c r="CU3" s="2">
        <f t="shared" si="6"/>
        <v>166718.99394529799</v>
      </c>
      <c r="CV3" s="2">
        <f t="shared" si="6"/>
        <v>175054.9436425629</v>
      </c>
      <c r="CW3" s="2">
        <f t="shared" si="6"/>
        <v>183807.69082469106</v>
      </c>
    </row>
    <row r="4" spans="1:106" ht="13" x14ac:dyDescent="0.3">
      <c r="B4" t="s">
        <v>70</v>
      </c>
      <c r="CG4" s="18">
        <f>+CG30/CG3</f>
        <v>0.80305532617671349</v>
      </c>
      <c r="CH4" s="18">
        <f>+CH30/CH3</f>
        <v>0.74653180576194811</v>
      </c>
      <c r="CI4" s="18">
        <f>+CI30/CI3</f>
        <v>0.64576863988494104</v>
      </c>
      <c r="CJ4" s="18">
        <f>+CJ30/CJ3</f>
        <v>0.59255152192912386</v>
      </c>
      <c r="CK4" s="18">
        <f>+CK30/CK3</f>
        <v>0.52982384148664885</v>
      </c>
      <c r="CL4" s="4">
        <v>0.51</v>
      </c>
      <c r="CM4" s="4">
        <v>0.52</v>
      </c>
      <c r="CN4" s="4">
        <v>0.53</v>
      </c>
      <c r="CO4" s="4">
        <v>0.53</v>
      </c>
      <c r="CP4" s="4">
        <v>0.54</v>
      </c>
      <c r="CQ4" s="4">
        <v>0.54</v>
      </c>
      <c r="CR4" s="4">
        <v>0.54</v>
      </c>
      <c r="CS4" s="4">
        <v>0.55000000000000004</v>
      </c>
      <c r="CT4" s="4">
        <v>0.56000000000000005</v>
      </c>
      <c r="CU4" s="4">
        <v>0.56000000000000005</v>
      </c>
      <c r="CV4" s="4">
        <v>0.56000000000000005</v>
      </c>
      <c r="CW4" s="4">
        <v>0.56000000000000005</v>
      </c>
    </row>
    <row r="5" spans="1:106" s="8" customFormat="1" ht="13" x14ac:dyDescent="0.3">
      <c r="B5" s="8" t="s">
        <v>36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I5" s="35"/>
      <c r="AJ5" s="35"/>
      <c r="AK5" s="35"/>
      <c r="AL5" s="35"/>
      <c r="AM5" s="35"/>
      <c r="AN5" s="35"/>
      <c r="AO5" s="25"/>
      <c r="AP5" s="35"/>
      <c r="AQ5" s="35"/>
      <c r="AR5" s="35"/>
      <c r="AS5" s="35"/>
      <c r="AT5" s="35"/>
      <c r="AU5" s="25"/>
      <c r="AV5" s="35"/>
      <c r="AW5" s="35"/>
      <c r="AX5" s="35"/>
      <c r="AY5" s="25"/>
      <c r="AZ5" s="25"/>
      <c r="BA5" s="35"/>
      <c r="BB5" s="35"/>
      <c r="BC5" s="25"/>
      <c r="BD5" s="35"/>
      <c r="BE5" s="35"/>
      <c r="BF5" s="35"/>
      <c r="BG5" s="35"/>
      <c r="BH5" s="35"/>
      <c r="BI5" s="35"/>
      <c r="BJ5" s="35"/>
      <c r="BK5" s="35"/>
      <c r="BL5" s="25"/>
      <c r="BM5" s="35"/>
      <c r="BN5" s="35"/>
      <c r="BO5" s="25"/>
      <c r="BP5" s="25"/>
      <c r="BT5" s="25"/>
      <c r="BV5" s="25"/>
      <c r="BW5" s="25"/>
      <c r="CG5" s="10">
        <v>10918</v>
      </c>
      <c r="CH5" s="10">
        <v>16675</v>
      </c>
      <c r="CI5" s="10">
        <v>26914</v>
      </c>
      <c r="CJ5" s="10">
        <v>26923</v>
      </c>
      <c r="CK5" s="10">
        <f>+CJ5</f>
        <v>26923</v>
      </c>
    </row>
    <row r="6" spans="1:106" s="8" customFormat="1" ht="13" x14ac:dyDescent="0.3">
      <c r="B6" s="8" t="s">
        <v>275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I6" s="41">
        <v>1.1819999999999999</v>
      </c>
      <c r="AJ6" s="41">
        <v>3.9119999999999999</v>
      </c>
      <c r="AK6" s="41">
        <v>29.071000000000002</v>
      </c>
      <c r="AL6" s="41">
        <v>13.3</v>
      </c>
      <c r="AM6" s="41">
        <v>158.23699999999999</v>
      </c>
      <c r="AN6" s="41">
        <v>374.505</v>
      </c>
      <c r="AO6" s="26">
        <v>735.26400000000001</v>
      </c>
      <c r="AP6" s="41">
        <v>1369.471</v>
      </c>
      <c r="AQ6" s="41">
        <v>1909.4469999999999</v>
      </c>
      <c r="AR6" s="41">
        <v>1822.9449999999999</v>
      </c>
      <c r="AS6" s="41">
        <v>2010.0329999999999</v>
      </c>
      <c r="AT6" s="41">
        <v>2375.6869999999999</v>
      </c>
      <c r="AU6" s="26">
        <v>3068.7710000000002</v>
      </c>
      <c r="AV6" s="41">
        <v>4097.8599999999997</v>
      </c>
      <c r="AW6" s="41">
        <v>3424.8589999999999</v>
      </c>
      <c r="AX6" s="41">
        <v>3326.4450000000002</v>
      </c>
      <c r="AY6" s="26">
        <v>3543.3090000000002</v>
      </c>
      <c r="AZ6" s="26">
        <v>3997.93</v>
      </c>
      <c r="BA6" s="41">
        <v>4280.1589999999997</v>
      </c>
      <c r="BB6" s="41">
        <v>4130</v>
      </c>
      <c r="BC6" s="26">
        <v>4682</v>
      </c>
      <c r="BD6" s="41">
        <v>5010</v>
      </c>
      <c r="BE6" s="41">
        <v>6910</v>
      </c>
      <c r="BF6" s="41">
        <v>9714</v>
      </c>
      <c r="BG6" s="41">
        <v>11716</v>
      </c>
      <c r="BH6" s="41">
        <v>10918</v>
      </c>
      <c r="BI6" s="41">
        <v>16675</v>
      </c>
      <c r="BJ6" s="41">
        <v>26913</v>
      </c>
      <c r="BK6" s="41">
        <v>26977</v>
      </c>
      <c r="BL6" s="26">
        <v>60922</v>
      </c>
      <c r="BM6" s="41">
        <v>130497</v>
      </c>
      <c r="BN6" s="41">
        <v>197220</v>
      </c>
      <c r="BO6" s="26">
        <v>300000</v>
      </c>
      <c r="BP6" s="25"/>
      <c r="BT6" s="25"/>
      <c r="BV6" s="25"/>
      <c r="BW6" s="25"/>
      <c r="CG6" s="10"/>
      <c r="CH6" s="10"/>
      <c r="CI6" s="10"/>
      <c r="CJ6" s="10"/>
      <c r="CK6" s="10"/>
    </row>
    <row r="7" spans="1:106" s="8" customFormat="1" ht="13" x14ac:dyDescent="0.3">
      <c r="B7" s="8" t="s">
        <v>279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I7" s="41">
        <f>+AI6*AI10</f>
        <v>2.4822000000000002</v>
      </c>
      <c r="AJ7" s="41">
        <f t="shared" ref="AJ7:BO7" si="7">+AJ6*AJ10</f>
        <v>8.0587199999999992</v>
      </c>
      <c r="AK7" s="41">
        <f t="shared" si="7"/>
        <v>58.723420000000004</v>
      </c>
      <c r="AL7" s="41">
        <f t="shared" si="7"/>
        <v>25.935000000000002</v>
      </c>
      <c r="AM7" s="41">
        <f t="shared" si="7"/>
        <v>300.65029999999996</v>
      </c>
      <c r="AN7" s="41">
        <f t="shared" si="7"/>
        <v>692.83425</v>
      </c>
      <c r="AO7" s="41">
        <f t="shared" si="7"/>
        <v>1345.5331200000001</v>
      </c>
      <c r="AP7" s="41">
        <f t="shared" si="7"/>
        <v>2437.6583799999999</v>
      </c>
      <c r="AQ7" s="41">
        <f t="shared" si="7"/>
        <v>3284.2488399999997</v>
      </c>
      <c r="AR7" s="41">
        <f t="shared" si="7"/>
        <v>3007.8592499999995</v>
      </c>
      <c r="AS7" s="41">
        <f t="shared" si="7"/>
        <v>3216.0527999999999</v>
      </c>
      <c r="AT7" s="41">
        <f t="shared" si="7"/>
        <v>3682.3148499999998</v>
      </c>
      <c r="AU7" s="41">
        <f t="shared" si="7"/>
        <v>4633.8442100000002</v>
      </c>
      <c r="AV7" s="41">
        <f t="shared" si="7"/>
        <v>6023.8541999999998</v>
      </c>
      <c r="AW7" s="41">
        <f t="shared" si="7"/>
        <v>4966.0455499999998</v>
      </c>
      <c r="AX7" s="41">
        <f t="shared" si="7"/>
        <v>4956.4030499999999</v>
      </c>
      <c r="AY7" s="41">
        <f t="shared" si="7"/>
        <v>5102.3649599999999</v>
      </c>
      <c r="AZ7" s="41">
        <f t="shared" si="7"/>
        <v>5597.1019999999999</v>
      </c>
      <c r="BA7" s="41">
        <f t="shared" si="7"/>
        <v>5906.6194199999991</v>
      </c>
      <c r="BB7" s="41">
        <f t="shared" si="7"/>
        <v>5616.8</v>
      </c>
      <c r="BC7" s="41">
        <f t="shared" si="7"/>
        <v>6273.88</v>
      </c>
      <c r="BD7" s="41">
        <f t="shared" si="7"/>
        <v>6663.3</v>
      </c>
      <c r="BE7" s="41">
        <f t="shared" si="7"/>
        <v>9052.1</v>
      </c>
      <c r="BF7" s="41">
        <f t="shared" si="7"/>
        <v>12531.06</v>
      </c>
      <c r="BG7" s="41">
        <f t="shared" si="7"/>
        <v>14996.48</v>
      </c>
      <c r="BH7" s="41">
        <f t="shared" si="7"/>
        <v>13647.5</v>
      </c>
      <c r="BI7" s="41">
        <f t="shared" si="7"/>
        <v>19343</v>
      </c>
      <c r="BJ7" s="41">
        <f t="shared" si="7"/>
        <v>29604.300000000003</v>
      </c>
      <c r="BK7" s="41">
        <f t="shared" si="7"/>
        <v>28595.620000000003</v>
      </c>
      <c r="BL7" s="41">
        <f t="shared" si="7"/>
        <v>62749.66</v>
      </c>
      <c r="BM7" s="41">
        <f t="shared" si="7"/>
        <v>130497</v>
      </c>
      <c r="BN7" s="41">
        <f t="shared" si="7"/>
        <v>197220</v>
      </c>
      <c r="BO7" s="41">
        <f t="shared" si="7"/>
        <v>300000</v>
      </c>
      <c r="BP7" s="25"/>
      <c r="BT7" s="25"/>
      <c r="BV7" s="25"/>
      <c r="BW7" s="25"/>
      <c r="CG7" s="10"/>
      <c r="CH7" s="10"/>
      <c r="CI7" s="10"/>
      <c r="CJ7" s="10"/>
      <c r="CK7" s="10"/>
    </row>
    <row r="8" spans="1:106" s="8" customFormat="1" ht="13" x14ac:dyDescent="0.3">
      <c r="B8" s="8" t="s">
        <v>276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I8" s="41">
        <f>+AI9*AI30</f>
        <v>5.28</v>
      </c>
      <c r="AJ8" s="41">
        <f t="shared" ref="AJ8:AN8" si="8">+AJ9*AJ30</f>
        <v>34.860000000000007</v>
      </c>
      <c r="AK8" s="41">
        <f t="shared" si="8"/>
        <v>74.260000000000005</v>
      </c>
      <c r="AL8" s="41">
        <f t="shared" si="8"/>
        <v>180.18</v>
      </c>
      <c r="AM8" s="41">
        <f t="shared" si="8"/>
        <v>483.26</v>
      </c>
      <c r="AN8" s="41">
        <f t="shared" si="8"/>
        <v>887.69999999999993</v>
      </c>
      <c r="AO8" s="26">
        <f>+AO9*AO30</f>
        <v>820.80000000000007</v>
      </c>
      <c r="AP8" s="41">
        <f>+AP9*AP30</f>
        <v>1288.2</v>
      </c>
      <c r="AQ8" s="41">
        <f t="shared" ref="AQ8" si="9">+AQ9*AQ30</f>
        <v>1497.25</v>
      </c>
      <c r="AR8" s="41">
        <f t="shared" ref="AR8" si="10">+AR9*AR30</f>
        <v>1983.03</v>
      </c>
      <c r="AS8" s="41">
        <f t="shared" ref="AS8" si="11">+AS9*AS30</f>
        <v>2948.06</v>
      </c>
      <c r="AT8" s="41">
        <f t="shared" ref="AT8" si="12">+AT9*AT30</f>
        <v>3360.15</v>
      </c>
      <c r="AU8" s="26">
        <f>+AU9*AU30</f>
        <v>2808.84</v>
      </c>
      <c r="AV8" s="41">
        <f t="shared" ref="AV8" si="13">+AV9*AV30</f>
        <v>2916</v>
      </c>
      <c r="AW8" s="41">
        <f t="shared" ref="AW8" si="14">+AW9*AW30</f>
        <v>3511.8599999999997</v>
      </c>
      <c r="AX8" s="41">
        <f t="shared" ref="AX8:AZ8" si="15">+AX9*AX30</f>
        <v>4887</v>
      </c>
      <c r="AY8" s="26">
        <f t="shared" si="15"/>
        <v>3972.15</v>
      </c>
      <c r="AZ8" s="26">
        <f t="shared" si="15"/>
        <v>3605.25</v>
      </c>
      <c r="BA8" s="41">
        <f t="shared" ref="BA8" si="16">+BA9*BA30</f>
        <v>5244.25</v>
      </c>
      <c r="BB8" s="41">
        <f t="shared" ref="BB8:BD8" si="17">+BB9*BB30</f>
        <v>7618.1378499999992</v>
      </c>
      <c r="BC8" s="26">
        <f t="shared" si="17"/>
        <v>7879.6191600000002</v>
      </c>
      <c r="BD8" s="41">
        <f t="shared" si="17"/>
        <v>9724.7595199999996</v>
      </c>
      <c r="BE8" s="41">
        <f t="shared" ref="BE8" si="18">+BE9*BE30</f>
        <v>11135.07</v>
      </c>
      <c r="BF8" s="41">
        <f t="shared" ref="BF8" si="19">+BF9*BF30</f>
        <v>13149</v>
      </c>
      <c r="BG8" s="41">
        <f t="shared" ref="BG8" si="20">+BG9*BG30</f>
        <v>19144.760000000002</v>
      </c>
      <c r="BH8" s="41">
        <f t="shared" ref="BH8" si="21">+BH9*BH30</f>
        <v>24654.940000000002</v>
      </c>
      <c r="BI8" s="41">
        <f t="shared" ref="BI8" si="22">+BI9*BI30</f>
        <v>34024.200000000004</v>
      </c>
      <c r="BJ8" s="41">
        <f t="shared" ref="BJ8" si="23">+BJ9*BJ30</f>
        <v>42944.82</v>
      </c>
      <c r="BK8" s="41">
        <f t="shared" ref="BK8:BL8" si="24">+BK9*BK30</f>
        <v>50641.4</v>
      </c>
      <c r="BL8" s="26">
        <f t="shared" si="24"/>
        <v>51232.35</v>
      </c>
      <c r="BM8" s="41">
        <f t="shared" ref="BM8" si="25">+BM9*BM30</f>
        <v>55839.1</v>
      </c>
      <c r="BN8" s="41">
        <f t="shared" ref="BN8:BP8" si="26">+BN9*BN30</f>
        <v>62393.100000000006</v>
      </c>
      <c r="BO8" s="26">
        <f t="shared" si="26"/>
        <v>48566.37</v>
      </c>
      <c r="BP8" s="26">
        <f t="shared" si="26"/>
        <v>47639.92</v>
      </c>
      <c r="BQ8" s="10">
        <f>+BQ9*BQ30</f>
        <v>51842.52</v>
      </c>
      <c r="BR8" s="10">
        <f>+BR9*BR30</f>
        <v>56444.85</v>
      </c>
      <c r="BS8" s="10">
        <f>+BS9*BS30</f>
        <v>62121.600000000006</v>
      </c>
      <c r="BT8" s="26">
        <f t="shared" ref="BT8" si="27">+BT9*BT30</f>
        <v>54842.1</v>
      </c>
      <c r="BU8" s="10">
        <f>+BU9*BU30</f>
        <v>57884.340000000004</v>
      </c>
      <c r="BV8" s="26">
        <f t="shared" ref="BV8:CF8" si="28">+BV9*BV30</f>
        <v>55251.42</v>
      </c>
      <c r="BW8" s="26">
        <f t="shared" si="28"/>
        <v>50934.15</v>
      </c>
      <c r="BX8" s="10">
        <f t="shared" si="28"/>
        <v>64998.27</v>
      </c>
      <c r="BY8" s="10">
        <f t="shared" si="28"/>
        <v>77758.559999999998</v>
      </c>
      <c r="BZ8" s="10">
        <f t="shared" si="28"/>
        <v>74677.399999999994</v>
      </c>
      <c r="CA8" s="10">
        <f t="shared" si="28"/>
        <v>72737.039999999994</v>
      </c>
      <c r="CB8" s="10">
        <f t="shared" si="28"/>
        <v>75983.200000000012</v>
      </c>
      <c r="CC8" s="10">
        <f t="shared" si="28"/>
        <v>74175.700000000012</v>
      </c>
      <c r="CD8" s="10">
        <f t="shared" si="28"/>
        <v>78984.710000000006</v>
      </c>
      <c r="CE8" s="10">
        <f t="shared" si="28"/>
        <v>82216.91</v>
      </c>
      <c r="CF8" s="10">
        <f t="shared" si="28"/>
        <v>91393.919999999998</v>
      </c>
      <c r="CG8" s="10">
        <f t="shared" ref="CG8" si="29">+CG9*CG30</f>
        <v>92115.199999999997</v>
      </c>
      <c r="CH8" s="10">
        <f t="shared" ref="CH8" si="30">+CH9*CH30</f>
        <v>97333.75</v>
      </c>
      <c r="CI8" s="10">
        <f t="shared" ref="CI8" si="31">+CI9*CI30</f>
        <v>91667.839999999997</v>
      </c>
      <c r="CJ8" s="10">
        <f t="shared" ref="CJ8" si="32">+CJ9*CJ30</f>
        <v>69359.400000000009</v>
      </c>
      <c r="CK8" s="10">
        <f t="shared" ref="CK8" si="33">+CK9*CK30</f>
        <v>57481.68</v>
      </c>
      <c r="CL8" s="10">
        <f t="shared" ref="CL8" si="34">+CL9*CL30</f>
        <v>54287.592000000004</v>
      </c>
    </row>
    <row r="9" spans="1:106" s="20" customFormat="1" ht="13" x14ac:dyDescent="0.3">
      <c r="B9" s="20" t="s">
        <v>277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I9" s="43">
        <v>8.8000000000000007</v>
      </c>
      <c r="AJ9" s="43">
        <v>8.3000000000000007</v>
      </c>
      <c r="AK9" s="43">
        <v>7.9</v>
      </c>
      <c r="AL9" s="43">
        <v>7.7</v>
      </c>
      <c r="AM9" s="43">
        <v>7.3</v>
      </c>
      <c r="AN9" s="43">
        <v>6.6</v>
      </c>
      <c r="AO9" s="27">
        <v>6</v>
      </c>
      <c r="AP9" s="43">
        <v>5.7</v>
      </c>
      <c r="AQ9" s="43">
        <v>5.3</v>
      </c>
      <c r="AR9" s="43">
        <v>4.97</v>
      </c>
      <c r="AS9" s="43">
        <v>4.46</v>
      </c>
      <c r="AT9" s="43">
        <v>3.93</v>
      </c>
      <c r="AU9" s="27">
        <v>3.56</v>
      </c>
      <c r="AV9" s="43">
        <v>3.24</v>
      </c>
      <c r="AW9" s="43">
        <v>3.13</v>
      </c>
      <c r="AX9" s="43">
        <v>3</v>
      </c>
      <c r="AY9" s="27">
        <v>2.91</v>
      </c>
      <c r="AZ9" s="27">
        <v>2.85</v>
      </c>
      <c r="BA9" s="43">
        <v>2.75</v>
      </c>
      <c r="BB9" s="43">
        <v>2.65</v>
      </c>
      <c r="BC9" s="27">
        <v>2.52</v>
      </c>
      <c r="BD9" s="43">
        <v>2.48</v>
      </c>
      <c r="BE9" s="43">
        <v>2.33</v>
      </c>
      <c r="BF9" s="43">
        <v>2.25</v>
      </c>
      <c r="BG9" s="43">
        <v>2.1800000000000002</v>
      </c>
      <c r="BH9" s="43">
        <v>2.14</v>
      </c>
      <c r="BI9" s="43">
        <v>2.1</v>
      </c>
      <c r="BJ9" s="43">
        <v>2.06</v>
      </c>
      <c r="BK9" s="43">
        <v>2.02</v>
      </c>
      <c r="BL9" s="27">
        <v>1.95</v>
      </c>
      <c r="BM9" s="43">
        <v>1.9</v>
      </c>
      <c r="BN9" s="43">
        <v>1.85</v>
      </c>
      <c r="BO9" s="27">
        <v>1.83</v>
      </c>
      <c r="BP9" s="27">
        <v>1.78</v>
      </c>
      <c r="BQ9" s="20">
        <v>1.72</v>
      </c>
      <c r="BR9" s="20">
        <v>1.65</v>
      </c>
      <c r="BS9" s="20">
        <v>1.6</v>
      </c>
      <c r="BT9" s="27">
        <v>1.55</v>
      </c>
      <c r="BU9" s="20">
        <v>1.51</v>
      </c>
      <c r="BV9" s="27">
        <v>1.47</v>
      </c>
      <c r="BW9" s="27">
        <v>1.45</v>
      </c>
      <c r="BX9" s="20">
        <v>1.49</v>
      </c>
      <c r="BY9" s="20">
        <v>1.44</v>
      </c>
      <c r="BZ9" s="20">
        <v>1.4</v>
      </c>
      <c r="CA9" s="20">
        <v>1.38</v>
      </c>
      <c r="CB9" s="20">
        <v>1.36</v>
      </c>
      <c r="CC9" s="20">
        <v>1.34</v>
      </c>
      <c r="CD9" s="20">
        <v>1.33</v>
      </c>
      <c r="CE9" s="20">
        <v>1.31</v>
      </c>
      <c r="CF9" s="20">
        <v>1.29</v>
      </c>
      <c r="CG9" s="20">
        <v>1.28</v>
      </c>
      <c r="CH9" s="20">
        <v>1.25</v>
      </c>
      <c r="CI9" s="20">
        <v>1.1599999999999999</v>
      </c>
      <c r="CJ9" s="20">
        <v>1.1000000000000001</v>
      </c>
      <c r="CK9" s="20">
        <v>1.06</v>
      </c>
      <c r="CL9" s="20">
        <v>1.03</v>
      </c>
      <c r="CM9" s="20">
        <v>1</v>
      </c>
    </row>
    <row r="10" spans="1:106" s="20" customFormat="1" ht="13" x14ac:dyDescent="0.3">
      <c r="B10" s="20" t="s">
        <v>278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I10" s="43">
        <v>2.1</v>
      </c>
      <c r="AJ10" s="43">
        <v>2.06</v>
      </c>
      <c r="AK10" s="43">
        <v>2.02</v>
      </c>
      <c r="AL10" s="27">
        <v>1.95</v>
      </c>
      <c r="AM10" s="43">
        <v>1.9</v>
      </c>
      <c r="AN10" s="43">
        <v>1.85</v>
      </c>
      <c r="AO10" s="27">
        <v>1.83</v>
      </c>
      <c r="AP10" s="27">
        <v>1.78</v>
      </c>
      <c r="AQ10" s="20">
        <v>1.72</v>
      </c>
      <c r="AR10" s="20">
        <v>1.65</v>
      </c>
      <c r="AS10" s="20">
        <v>1.6</v>
      </c>
      <c r="AT10" s="27">
        <v>1.55</v>
      </c>
      <c r="AU10" s="20">
        <v>1.51</v>
      </c>
      <c r="AV10" s="27">
        <v>1.47</v>
      </c>
      <c r="AW10" s="27">
        <v>1.45</v>
      </c>
      <c r="AX10" s="20">
        <v>1.49</v>
      </c>
      <c r="AY10" s="20">
        <v>1.44</v>
      </c>
      <c r="AZ10" s="20">
        <v>1.4</v>
      </c>
      <c r="BA10" s="20">
        <v>1.38</v>
      </c>
      <c r="BB10" s="20">
        <v>1.36</v>
      </c>
      <c r="BC10" s="20">
        <v>1.34</v>
      </c>
      <c r="BD10" s="20">
        <v>1.33</v>
      </c>
      <c r="BE10" s="20">
        <v>1.31</v>
      </c>
      <c r="BF10" s="20">
        <v>1.29</v>
      </c>
      <c r="BG10" s="20">
        <v>1.28</v>
      </c>
      <c r="BH10" s="20">
        <v>1.25</v>
      </c>
      <c r="BI10" s="20">
        <v>1.1599999999999999</v>
      </c>
      <c r="BJ10" s="20">
        <v>1.1000000000000001</v>
      </c>
      <c r="BK10" s="20">
        <v>1.06</v>
      </c>
      <c r="BL10" s="20">
        <v>1.03</v>
      </c>
      <c r="BM10" s="20">
        <v>1</v>
      </c>
      <c r="BN10" s="43">
        <v>1</v>
      </c>
      <c r="BO10" s="27">
        <v>1</v>
      </c>
      <c r="BP10" s="27"/>
      <c r="BT10" s="27"/>
      <c r="BV10" s="27"/>
      <c r="BW10" s="27"/>
    </row>
    <row r="11" spans="1:106" s="8" customFormat="1" ht="13" x14ac:dyDescent="0.3">
      <c r="B11" s="8" t="s">
        <v>68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I11" s="35"/>
      <c r="AJ11" s="35"/>
      <c r="AK11" s="35"/>
      <c r="AL11" s="35"/>
      <c r="AM11" s="35"/>
      <c r="AN11" s="35"/>
      <c r="AO11" s="25"/>
      <c r="AP11" s="35"/>
      <c r="AQ11" s="35"/>
      <c r="AR11" s="35"/>
      <c r="AS11" s="35"/>
      <c r="AT11" s="35"/>
      <c r="AU11" s="25"/>
      <c r="AV11" s="35"/>
      <c r="AW11" s="35"/>
      <c r="AX11" s="35"/>
      <c r="AY11" s="25"/>
      <c r="AZ11" s="25"/>
      <c r="BA11" s="35"/>
      <c r="BB11" s="35"/>
      <c r="BC11" s="25"/>
      <c r="BD11" s="35"/>
      <c r="BE11" s="35"/>
      <c r="BF11" s="35"/>
      <c r="BG11" s="35"/>
      <c r="BH11" s="35"/>
      <c r="BI11" s="35"/>
      <c r="BJ11" s="35"/>
      <c r="BK11" s="35"/>
      <c r="BL11" s="25"/>
      <c r="BM11" s="35"/>
      <c r="BN11" s="35"/>
      <c r="BO11" s="25"/>
      <c r="BP11" s="25"/>
      <c r="BT11" s="25"/>
      <c r="BV11" s="25"/>
      <c r="BW11" s="25"/>
      <c r="CA11" s="10">
        <v>5299</v>
      </c>
      <c r="CB11" s="10">
        <v>5506</v>
      </c>
      <c r="CC11" s="10">
        <v>3991</v>
      </c>
      <c r="CD11" s="10">
        <v>4272</v>
      </c>
      <c r="CE11" s="10">
        <v>5329</v>
      </c>
      <c r="CF11" s="10">
        <v>6475</v>
      </c>
      <c r="CG11" s="10">
        <v>6731</v>
      </c>
      <c r="CH11" s="10">
        <v>9763</v>
      </c>
      <c r="CI11" s="10">
        <v>16434</v>
      </c>
      <c r="CJ11" s="10">
        <f>+CI11</f>
        <v>16434</v>
      </c>
      <c r="CK11" s="10">
        <f>5300*4</f>
        <v>21200</v>
      </c>
    </row>
    <row r="12" spans="1:106" s="8" customFormat="1" ht="13" x14ac:dyDescent="0.3">
      <c r="B12" s="8" t="s">
        <v>96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I12" s="35"/>
      <c r="AJ12" s="35"/>
      <c r="AK12" s="35"/>
      <c r="AL12" s="35"/>
      <c r="AM12" s="35"/>
      <c r="AN12" s="35"/>
      <c r="AO12" s="25"/>
      <c r="AP12" s="35"/>
      <c r="AQ12" s="35"/>
      <c r="AR12" s="35"/>
      <c r="AS12" s="35"/>
      <c r="AT12" s="35"/>
      <c r="AU12" s="25"/>
      <c r="AV12" s="35"/>
      <c r="AW12" s="35"/>
      <c r="AX12" s="35"/>
      <c r="AY12" s="25"/>
      <c r="AZ12" s="25"/>
      <c r="BA12" s="35"/>
      <c r="BB12" s="35"/>
      <c r="BC12" s="25"/>
      <c r="BD12" s="35"/>
      <c r="BE12" s="35"/>
      <c r="BF12" s="35"/>
      <c r="BG12" s="35"/>
      <c r="BH12" s="35"/>
      <c r="BI12" s="35"/>
      <c r="BJ12" s="35"/>
      <c r="BK12" s="35"/>
      <c r="BL12" s="25"/>
      <c r="BM12" s="35"/>
      <c r="BN12" s="35"/>
      <c r="BO12" s="25"/>
      <c r="BP12" s="25"/>
      <c r="BT12" s="25"/>
      <c r="BV12" s="25"/>
      <c r="BW12" s="25"/>
      <c r="CG12" s="10"/>
      <c r="CH12" s="10"/>
      <c r="CI12" s="10"/>
      <c r="CJ12" s="10"/>
      <c r="CK12" s="10"/>
    </row>
    <row r="13" spans="1:106" s="8" customFormat="1" ht="13" x14ac:dyDescent="0.3">
      <c r="B13" s="8" t="s">
        <v>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I13" s="35"/>
      <c r="AJ13" s="35"/>
      <c r="AK13" s="35"/>
      <c r="AL13" s="35"/>
      <c r="AM13" s="35"/>
      <c r="AN13" s="35"/>
      <c r="AO13" s="25"/>
      <c r="AP13" s="35"/>
      <c r="AQ13" s="35"/>
      <c r="AR13" s="35"/>
      <c r="AS13" s="35"/>
      <c r="AT13" s="35"/>
      <c r="AU13" s="25"/>
      <c r="AV13" s="35"/>
      <c r="AW13" s="35"/>
      <c r="AX13" s="35"/>
      <c r="AY13" s="25"/>
      <c r="AZ13" s="25"/>
      <c r="BA13" s="35"/>
      <c r="BB13" s="35"/>
      <c r="BC13" s="25"/>
      <c r="BD13" s="35"/>
      <c r="BE13" s="35"/>
      <c r="BF13" s="35"/>
      <c r="BG13" s="35"/>
      <c r="BH13" s="35"/>
      <c r="BI13" s="35"/>
      <c r="BJ13" s="35"/>
      <c r="BK13" s="35"/>
      <c r="BL13" s="25"/>
      <c r="BM13" s="35"/>
      <c r="BN13" s="35"/>
      <c r="BO13" s="25"/>
      <c r="BP13" s="25"/>
      <c r="BT13" s="25"/>
      <c r="BV13" s="25"/>
      <c r="BW13" s="25"/>
      <c r="CG13" s="10"/>
      <c r="CH13" s="10"/>
      <c r="CI13" s="10"/>
      <c r="CJ13" s="10"/>
      <c r="CK13" s="10"/>
    </row>
    <row r="14" spans="1:106" s="8" customFormat="1" ht="13" x14ac:dyDescent="0.3">
      <c r="B14" s="8" t="s">
        <v>99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I14" s="35"/>
      <c r="AJ14" s="35"/>
      <c r="AK14" s="35"/>
      <c r="AL14" s="35"/>
      <c r="AM14" s="35"/>
      <c r="AN14" s="35"/>
      <c r="AO14" s="25"/>
      <c r="AP14" s="35"/>
      <c r="AQ14" s="35"/>
      <c r="AR14" s="35"/>
      <c r="AS14" s="35"/>
      <c r="AT14" s="35"/>
      <c r="AU14" s="25"/>
      <c r="AV14" s="35"/>
      <c r="AW14" s="35"/>
      <c r="AX14" s="35"/>
      <c r="AY14" s="25"/>
      <c r="AZ14" s="25"/>
      <c r="BA14" s="35"/>
      <c r="BB14" s="35"/>
      <c r="BC14" s="25"/>
      <c r="BD14" s="35"/>
      <c r="BE14" s="35"/>
      <c r="BF14" s="35"/>
      <c r="BG14" s="35"/>
      <c r="BH14" s="35"/>
      <c r="BI14" s="35"/>
      <c r="BJ14" s="35"/>
      <c r="BK14" s="35"/>
      <c r="BL14" s="25"/>
      <c r="BM14" s="35"/>
      <c r="BN14" s="35"/>
      <c r="BO14" s="25"/>
      <c r="BP14" s="25"/>
      <c r="BT14" s="25"/>
      <c r="BV14" s="25"/>
      <c r="BW14" s="25"/>
      <c r="CA14" s="10">
        <f>+CA11+CA30</f>
        <v>58007</v>
      </c>
      <c r="CB14" s="10">
        <f t="shared" ref="CB14:CK14" si="35">+CB11+CB30</f>
        <v>61376</v>
      </c>
      <c r="CC14" s="10">
        <f t="shared" si="35"/>
        <v>59346</v>
      </c>
      <c r="CD14" s="10">
        <f t="shared" si="35"/>
        <v>63659</v>
      </c>
      <c r="CE14" s="10">
        <f t="shared" si="35"/>
        <v>68090</v>
      </c>
      <c r="CF14" s="10">
        <f t="shared" si="35"/>
        <v>77323</v>
      </c>
      <c r="CG14" s="10">
        <f t="shared" si="35"/>
        <v>78696</v>
      </c>
      <c r="CH14" s="10">
        <f t="shared" si="35"/>
        <v>87630</v>
      </c>
      <c r="CI14" s="10">
        <f t="shared" si="35"/>
        <v>95458</v>
      </c>
      <c r="CJ14" s="10">
        <f t="shared" si="35"/>
        <v>79488</v>
      </c>
      <c r="CK14" s="10">
        <f t="shared" si="35"/>
        <v>75428</v>
      </c>
    </row>
    <row r="15" spans="1:106" s="8" customFormat="1" ht="13" x14ac:dyDescent="0.3">
      <c r="B15" s="8" t="s">
        <v>100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I15" s="35"/>
      <c r="AJ15" s="35"/>
      <c r="AK15" s="35"/>
      <c r="AL15" s="35"/>
      <c r="AM15" s="35"/>
      <c r="AN15" s="35"/>
      <c r="AO15" s="25"/>
      <c r="AP15" s="35"/>
      <c r="AQ15" s="35"/>
      <c r="AR15" s="35"/>
      <c r="AS15" s="35"/>
      <c r="AT15" s="35"/>
      <c r="AU15" s="25"/>
      <c r="AV15" s="35"/>
      <c r="AW15" s="35"/>
      <c r="AX15" s="35"/>
      <c r="AY15" s="25"/>
      <c r="AZ15" s="25"/>
      <c r="BA15" s="35"/>
      <c r="BB15" s="35"/>
      <c r="BC15" s="25"/>
      <c r="BD15" s="35"/>
      <c r="BE15" s="35"/>
      <c r="BF15" s="35"/>
      <c r="BG15" s="35"/>
      <c r="BH15" s="35"/>
      <c r="BI15" s="35"/>
      <c r="BJ15" s="35"/>
      <c r="BK15" s="35"/>
      <c r="BL15" s="25"/>
      <c r="BM15" s="35"/>
      <c r="BN15" s="35"/>
      <c r="BO15" s="25"/>
      <c r="BP15" s="25"/>
      <c r="BT15" s="25"/>
      <c r="BV15" s="25"/>
      <c r="BW15" s="25"/>
      <c r="CA15" s="18">
        <f>+CA30/CA14</f>
        <v>0.90864895616046337</v>
      </c>
      <c r="CB15" s="18">
        <f t="shared" ref="CB15:CK15" si="36">+CB30/CB14</f>
        <v>0.91029066736183528</v>
      </c>
      <c r="CC15" s="18">
        <f t="shared" si="36"/>
        <v>0.93275031173120349</v>
      </c>
      <c r="CD15" s="18">
        <f t="shared" si="36"/>
        <v>0.93289244254543746</v>
      </c>
      <c r="CE15" s="18">
        <f t="shared" si="36"/>
        <v>0.92173593772947571</v>
      </c>
      <c r="CF15" s="18">
        <f t="shared" si="36"/>
        <v>0.91626036237600716</v>
      </c>
      <c r="CG15" s="18">
        <f t="shared" si="36"/>
        <v>0.91446833384161841</v>
      </c>
      <c r="CH15" s="18">
        <f t="shared" si="36"/>
        <v>0.88858838297386744</v>
      </c>
      <c r="CI15" s="18">
        <f t="shared" si="36"/>
        <v>0.82784051624798338</v>
      </c>
      <c r="CJ15" s="18">
        <f t="shared" si="36"/>
        <v>0.79325181159420288</v>
      </c>
      <c r="CK15" s="18">
        <f t="shared" si="36"/>
        <v>0.71893726467624752</v>
      </c>
    </row>
    <row r="16" spans="1:106" s="8" customFormat="1" ht="13" x14ac:dyDescent="0.3">
      <c r="B16" s="8" t="s">
        <v>98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I16" s="35"/>
      <c r="AJ16" s="35"/>
      <c r="AK16" s="35"/>
      <c r="AL16" s="35"/>
      <c r="AM16" s="35"/>
      <c r="AN16" s="35"/>
      <c r="AO16" s="25"/>
      <c r="AP16" s="35"/>
      <c r="AQ16" s="35"/>
      <c r="AR16" s="35"/>
      <c r="AS16" s="35"/>
      <c r="AT16" s="35"/>
      <c r="AU16" s="25"/>
      <c r="AV16" s="35"/>
      <c r="AW16" s="35"/>
      <c r="AX16" s="35"/>
      <c r="AY16" s="25"/>
      <c r="AZ16" s="25"/>
      <c r="BA16" s="35"/>
      <c r="BB16" s="35"/>
      <c r="BC16" s="25"/>
      <c r="BD16" s="35"/>
      <c r="BE16" s="35"/>
      <c r="BF16" s="35"/>
      <c r="BG16" s="35"/>
      <c r="BH16" s="35"/>
      <c r="BI16" s="35"/>
      <c r="BJ16" s="35"/>
      <c r="BK16" s="35"/>
      <c r="BL16" s="25"/>
      <c r="BM16" s="35"/>
      <c r="BN16" s="35"/>
      <c r="BO16" s="25"/>
      <c r="BP16" s="25"/>
      <c r="BT16" s="26">
        <v>239.2</v>
      </c>
      <c r="BU16" s="10">
        <v>272.45</v>
      </c>
      <c r="BV16" s="26">
        <v>290.8</v>
      </c>
      <c r="BW16" s="26">
        <v>308.33999999999997</v>
      </c>
      <c r="BX16" s="10">
        <v>350.9</v>
      </c>
      <c r="BY16" s="10">
        <v>365.36</v>
      </c>
      <c r="BZ16" s="10">
        <v>351.06</v>
      </c>
      <c r="CA16" s="10">
        <v>316.39999999999998</v>
      </c>
      <c r="CB16" s="10">
        <v>313.68</v>
      </c>
      <c r="CC16" s="10">
        <v>287.68</v>
      </c>
      <c r="CD16" s="10">
        <v>269.7</v>
      </c>
      <c r="CE16" s="10">
        <v>262.60000000000002</v>
      </c>
      <c r="CF16" s="10">
        <v>259.7</v>
      </c>
      <c r="CG16" s="10">
        <v>262.55</v>
      </c>
      <c r="CH16" s="10">
        <v>309.08</v>
      </c>
      <c r="CI16" s="10">
        <v>341.73</v>
      </c>
      <c r="CJ16" s="10">
        <v>284.05</v>
      </c>
      <c r="CK16" s="10">
        <v>241.89</v>
      </c>
    </row>
    <row r="17" spans="2:101" s="8" customFormat="1" ht="13" x14ac:dyDescent="0.3">
      <c r="B17" s="8" t="s">
        <v>102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I17" s="35"/>
      <c r="AJ17" s="35"/>
      <c r="AK17" s="35"/>
      <c r="AL17" s="35"/>
      <c r="AM17" s="35"/>
      <c r="AN17" s="35"/>
      <c r="AO17" s="25"/>
      <c r="AP17" s="35"/>
      <c r="AQ17" s="35"/>
      <c r="AR17" s="35"/>
      <c r="AS17" s="35"/>
      <c r="AT17" s="35"/>
      <c r="AU17" s="25"/>
      <c r="AV17" s="35"/>
      <c r="AW17" s="35"/>
      <c r="AX17" s="35"/>
      <c r="AY17" s="25"/>
      <c r="AZ17" s="25"/>
      <c r="BA17" s="35"/>
      <c r="BB17" s="35"/>
      <c r="BC17" s="25"/>
      <c r="BD17" s="35"/>
      <c r="BE17" s="35"/>
      <c r="BF17" s="35"/>
      <c r="BG17" s="35"/>
      <c r="BH17" s="35"/>
      <c r="BI17" s="35"/>
      <c r="BJ17" s="35"/>
      <c r="BK17" s="35"/>
      <c r="BL17" s="25"/>
      <c r="BM17" s="35"/>
      <c r="BN17" s="35"/>
      <c r="BO17" s="25"/>
      <c r="BP17" s="25"/>
      <c r="BT17" s="27">
        <f>+BT30/BT16</f>
        <v>147.91806020066889</v>
      </c>
      <c r="BU17" s="20">
        <f t="shared" ref="BU17:CK17" si="37">+BU30/BU16</f>
        <v>140.7010460634979</v>
      </c>
      <c r="BV17" s="27">
        <f t="shared" si="37"/>
        <v>129.2503438789546</v>
      </c>
      <c r="BW17" s="27">
        <f t="shared" si="37"/>
        <v>113.92294220665499</v>
      </c>
      <c r="BX17" s="20">
        <f t="shared" si="37"/>
        <v>124.31746936449132</v>
      </c>
      <c r="BY17" s="20">
        <f t="shared" si="37"/>
        <v>147.79669367199475</v>
      </c>
      <c r="BZ17" s="20">
        <f t="shared" si="37"/>
        <v>151.94268785962512</v>
      </c>
      <c r="CA17" s="20">
        <f t="shared" si="37"/>
        <v>166.5865992414665</v>
      </c>
      <c r="CB17" s="20">
        <f t="shared" si="37"/>
        <v>178.11145116041826</v>
      </c>
      <c r="CC17" s="20">
        <f t="shared" si="37"/>
        <v>192.41865962180199</v>
      </c>
      <c r="CD17" s="20">
        <f t="shared" si="37"/>
        <v>220.19651464590285</v>
      </c>
      <c r="CE17" s="20">
        <f t="shared" si="37"/>
        <v>238.99847677075397</v>
      </c>
      <c r="CF17" s="20">
        <f t="shared" si="37"/>
        <v>272.80708509819021</v>
      </c>
      <c r="CG17" s="20">
        <f t="shared" si="37"/>
        <v>274.10017139592458</v>
      </c>
      <c r="CH17" s="20">
        <f t="shared" si="37"/>
        <v>251.93153876019156</v>
      </c>
      <c r="CI17" s="20">
        <f t="shared" si="37"/>
        <v>231.24689082023818</v>
      </c>
      <c r="CJ17" s="20">
        <f t="shared" si="37"/>
        <v>221.9820454145397</v>
      </c>
      <c r="CK17" s="20">
        <f t="shared" si="37"/>
        <v>224.18454669477862</v>
      </c>
    </row>
    <row r="18" spans="2:101" s="8" customFormat="1" ht="13" x14ac:dyDescent="0.3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I18" s="35"/>
      <c r="AJ18" s="35"/>
      <c r="AK18" s="35"/>
      <c r="AL18" s="35"/>
      <c r="AM18" s="35"/>
      <c r="AN18" s="35"/>
      <c r="AO18" s="25"/>
      <c r="AP18" s="35"/>
      <c r="AQ18" s="35"/>
      <c r="AR18" s="35"/>
      <c r="AS18" s="35"/>
      <c r="AT18" s="35"/>
      <c r="AU18" s="25"/>
      <c r="AV18" s="35"/>
      <c r="AW18" s="35"/>
      <c r="AX18" s="35"/>
      <c r="AY18" s="25"/>
      <c r="AZ18" s="25"/>
      <c r="BA18" s="35"/>
      <c r="BB18" s="35"/>
      <c r="BC18" s="25"/>
      <c r="BD18" s="35"/>
      <c r="BE18" s="35"/>
      <c r="BF18" s="35"/>
      <c r="BG18" s="35"/>
      <c r="BH18" s="35"/>
      <c r="BI18" s="35"/>
      <c r="BJ18" s="35"/>
      <c r="BK18" s="35"/>
      <c r="BL18" s="25"/>
      <c r="BM18" s="35"/>
      <c r="BN18" s="35"/>
      <c r="BO18" s="25"/>
      <c r="BP18" s="25"/>
      <c r="BT18" s="25"/>
      <c r="BV18" s="25"/>
      <c r="BW18" s="25"/>
      <c r="CH18" s="10"/>
      <c r="CI18" s="10"/>
      <c r="CJ18" s="10"/>
    </row>
    <row r="19" spans="2:101" x14ac:dyDescent="0.25">
      <c r="B19" t="s">
        <v>288</v>
      </c>
      <c r="Q19" s="3">
        <v>312</v>
      </c>
      <c r="S19" s="3">
        <v>13</v>
      </c>
      <c r="T19" s="3">
        <v>39</v>
      </c>
      <c r="U19" s="3">
        <v>55</v>
      </c>
      <c r="V19" s="3">
        <f>385-U19-T19-S19</f>
        <v>278</v>
      </c>
      <c r="W19" s="3">
        <v>31</v>
      </c>
      <c r="X19" s="3">
        <v>22</v>
      </c>
      <c r="Y19" s="3">
        <v>32</v>
      </c>
      <c r="CH19" s="2"/>
      <c r="CI19" s="2"/>
      <c r="CJ19" s="2">
        <v>474</v>
      </c>
      <c r="CK19">
        <v>953</v>
      </c>
      <c r="CL19">
        <v>385</v>
      </c>
      <c r="CM19">
        <f>SUM(W19:Z19)</f>
        <v>85</v>
      </c>
    </row>
    <row r="20" spans="2:101" s="8" customFormat="1" ht="13" x14ac:dyDescent="0.3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I20" s="35"/>
      <c r="AJ20" s="35"/>
      <c r="AK20" s="35"/>
      <c r="AL20" s="35"/>
      <c r="AM20" s="35"/>
      <c r="AN20" s="35"/>
      <c r="AO20" s="25"/>
      <c r="AP20" s="35"/>
      <c r="AQ20" s="35"/>
      <c r="AR20" s="35"/>
      <c r="AS20" s="35"/>
      <c r="AT20" s="35"/>
      <c r="AU20" s="25"/>
      <c r="AV20" s="35"/>
      <c r="AW20" s="35"/>
      <c r="AX20" s="35"/>
      <c r="AY20" s="25"/>
      <c r="AZ20" s="25"/>
      <c r="BA20" s="35"/>
      <c r="BB20" s="35"/>
      <c r="BC20" s="25"/>
      <c r="BD20" s="35"/>
      <c r="BE20" s="35"/>
      <c r="BF20" s="35"/>
      <c r="BG20" s="35"/>
      <c r="BH20" s="35"/>
      <c r="BI20" s="35"/>
      <c r="BJ20" s="35"/>
      <c r="BK20" s="35"/>
      <c r="BL20" s="25"/>
      <c r="BM20" s="35"/>
      <c r="BN20" s="35"/>
      <c r="BO20" s="25"/>
      <c r="BP20" s="25"/>
      <c r="BT20" s="25"/>
      <c r="BV20" s="25"/>
      <c r="BW20" s="25"/>
      <c r="CH20" s="10"/>
      <c r="CI20" s="10"/>
      <c r="CJ20" s="10"/>
    </row>
    <row r="21" spans="2:101" x14ac:dyDescent="0.25">
      <c r="B21" t="s">
        <v>59</v>
      </c>
      <c r="K21" s="5">
        <v>156</v>
      </c>
      <c r="L21" s="3">
        <v>57</v>
      </c>
      <c r="O21" s="5">
        <v>118</v>
      </c>
      <c r="P21" s="5">
        <v>4172</v>
      </c>
      <c r="Q21" s="5">
        <v>4732</v>
      </c>
      <c r="S21" s="3">
        <f>4356-4376</f>
        <v>-20</v>
      </c>
      <c r="T21" s="5">
        <v>4320</v>
      </c>
      <c r="U21" s="5">
        <v>4339</v>
      </c>
      <c r="W21" s="3">
        <f>4667-4698</f>
        <v>-31</v>
      </c>
      <c r="X21" s="5">
        <f>4417-4421</f>
        <v>-4</v>
      </c>
      <c r="Y21" s="5">
        <f>4235-4227</f>
        <v>8</v>
      </c>
      <c r="Z21" s="3">
        <f>4507-4337</f>
        <v>170</v>
      </c>
      <c r="CH21" s="2">
        <v>700</v>
      </c>
      <c r="CI21" s="2">
        <v>800</v>
      </c>
      <c r="CJ21" s="2">
        <v>900</v>
      </c>
      <c r="CL21">
        <f>17543-17215</f>
        <v>328</v>
      </c>
    </row>
    <row r="22" spans="2:101" x14ac:dyDescent="0.25">
      <c r="B22" t="s">
        <v>293</v>
      </c>
      <c r="K22" s="5">
        <v>268</v>
      </c>
      <c r="L22" s="3">
        <v>220</v>
      </c>
      <c r="O22" s="5">
        <v>165</v>
      </c>
      <c r="P22" s="3">
        <v>848</v>
      </c>
      <c r="Q22" s="3">
        <v>735</v>
      </c>
      <c r="S22" s="3">
        <v>643</v>
      </c>
      <c r="T22" s="3">
        <v>361</v>
      </c>
      <c r="U22" s="3">
        <v>412</v>
      </c>
      <c r="W22" s="3">
        <v>943</v>
      </c>
      <c r="X22" s="5">
        <v>1053</v>
      </c>
      <c r="Y22" s="3">
        <v>993</v>
      </c>
      <c r="CH22" s="2">
        <v>700</v>
      </c>
      <c r="CI22" s="2">
        <v>800</v>
      </c>
      <c r="CJ22" s="2">
        <v>800</v>
      </c>
      <c r="CL22" s="2">
        <v>3824</v>
      </c>
    </row>
    <row r="23" spans="2:101" x14ac:dyDescent="0.25">
      <c r="B23" t="s">
        <v>58</v>
      </c>
      <c r="K23" s="5">
        <v>394</v>
      </c>
      <c r="L23" s="3">
        <v>460</v>
      </c>
      <c r="O23" s="5">
        <v>458</v>
      </c>
      <c r="P23" s="5">
        <v>454</v>
      </c>
      <c r="Q23" s="3">
        <v>530</v>
      </c>
      <c r="T23" s="5">
        <v>440</v>
      </c>
      <c r="U23" s="5">
        <v>485</v>
      </c>
      <c r="X23" s="5"/>
      <c r="CH23" s="2">
        <v>1000</v>
      </c>
      <c r="CI23" s="2">
        <v>1400</v>
      </c>
      <c r="CJ23" s="2">
        <v>1900</v>
      </c>
    </row>
    <row r="24" spans="2:101" x14ac:dyDescent="0.25">
      <c r="B24" t="s">
        <v>57</v>
      </c>
      <c r="K24" s="5">
        <v>2139</v>
      </c>
      <c r="L24" s="3">
        <v>2211</v>
      </c>
      <c r="O24" s="5">
        <v>1489</v>
      </c>
      <c r="P24" s="5">
        <v>1364</v>
      </c>
      <c r="Q24" s="5">
        <v>1450</v>
      </c>
      <c r="T24" s="5">
        <v>1344</v>
      </c>
      <c r="U24" s="5">
        <v>1511</v>
      </c>
      <c r="X24" s="5"/>
      <c r="CH24" s="2">
        <v>7100</v>
      </c>
      <c r="CI24" s="2">
        <v>8000</v>
      </c>
      <c r="CJ24" s="2">
        <v>8900</v>
      </c>
      <c r="CL24" s="2">
        <v>5842</v>
      </c>
    </row>
    <row r="25" spans="2:101" x14ac:dyDescent="0.25">
      <c r="B25" t="s">
        <v>56</v>
      </c>
      <c r="K25" s="5">
        <v>6074</v>
      </c>
      <c r="L25" s="5">
        <v>4695</v>
      </c>
      <c r="O25" s="5">
        <v>3718</v>
      </c>
      <c r="P25" s="5">
        <v>3155</v>
      </c>
      <c r="Q25" s="5">
        <v>3076</v>
      </c>
      <c r="R25" s="5"/>
      <c r="S25" s="5">
        <v>3828</v>
      </c>
      <c r="T25" s="5">
        <v>3805</v>
      </c>
      <c r="U25" s="5">
        <v>4141</v>
      </c>
      <c r="W25" s="5">
        <v>4126</v>
      </c>
      <c r="X25" s="5">
        <v>3939</v>
      </c>
      <c r="Y25" s="5">
        <v>4117</v>
      </c>
      <c r="CH25" s="2">
        <v>23400</v>
      </c>
      <c r="CI25" s="2">
        <v>22700</v>
      </c>
      <c r="CJ25" s="2">
        <v>19200</v>
      </c>
      <c r="CL25" s="2">
        <v>12817</v>
      </c>
      <c r="CM25" s="4"/>
    </row>
    <row r="26" spans="2:101" x14ac:dyDescent="0.25">
      <c r="B26" t="s">
        <v>290</v>
      </c>
      <c r="K26" s="5"/>
      <c r="L26" s="5"/>
      <c r="O26" s="5"/>
      <c r="P26" s="5"/>
      <c r="Q26" s="5"/>
      <c r="R26" s="5"/>
      <c r="S26" s="5">
        <v>8273</v>
      </c>
      <c r="T26" s="44">
        <v>8143</v>
      </c>
      <c r="U26" s="44">
        <v>8161</v>
      </c>
      <c r="W26" s="5">
        <v>7629</v>
      </c>
      <c r="X26" s="5">
        <v>7871</v>
      </c>
      <c r="Y26" s="5">
        <v>8535</v>
      </c>
      <c r="CH26" s="2"/>
      <c r="CI26" s="44" t="s">
        <v>292</v>
      </c>
      <c r="CJ26" s="44" t="s">
        <v>291</v>
      </c>
      <c r="CL26" s="2">
        <v>30290</v>
      </c>
      <c r="CM26" s="4"/>
    </row>
    <row r="27" spans="2:101" x14ac:dyDescent="0.25">
      <c r="B27" t="s">
        <v>55</v>
      </c>
      <c r="K27" s="5">
        <v>722</v>
      </c>
      <c r="L27" s="5">
        <v>638</v>
      </c>
      <c r="O27" s="5">
        <v>481</v>
      </c>
      <c r="P27" s="3">
        <v>514</v>
      </c>
      <c r="Q27" s="3">
        <v>611</v>
      </c>
      <c r="T27" s="3">
        <v>403</v>
      </c>
      <c r="U27" s="3">
        <v>372</v>
      </c>
      <c r="W27" s="45" t="s">
        <v>297</v>
      </c>
      <c r="X27" s="45" t="s">
        <v>294</v>
      </c>
      <c r="Y27" s="45" t="s">
        <v>299</v>
      </c>
      <c r="CH27" s="2">
        <v>4500</v>
      </c>
      <c r="CI27" s="2">
        <v>3200</v>
      </c>
      <c r="CJ27" s="2">
        <v>2300</v>
      </c>
    </row>
    <row r="28" spans="2:101" s="2" customFormat="1" x14ac:dyDescent="0.25">
      <c r="B28" s="2" t="s">
        <v>54</v>
      </c>
      <c r="C28" s="5"/>
      <c r="D28" s="5"/>
      <c r="E28" s="5"/>
      <c r="F28" s="5"/>
      <c r="G28" s="5"/>
      <c r="H28" s="5"/>
      <c r="I28" s="5"/>
      <c r="J28" s="5"/>
      <c r="K28" s="5">
        <v>2641</v>
      </c>
      <c r="L28" s="5">
        <v>2289</v>
      </c>
      <c r="M28" s="5"/>
      <c r="N28" s="5"/>
      <c r="O28" s="5">
        <v>1879</v>
      </c>
      <c r="P28" s="5">
        <v>2370</v>
      </c>
      <c r="Q28" s="5">
        <v>2753</v>
      </c>
      <c r="R28" s="5"/>
      <c r="S28" s="5"/>
      <c r="T28" s="5">
        <v>2527</v>
      </c>
      <c r="U28" s="5">
        <v>2070</v>
      </c>
      <c r="V28" s="5"/>
      <c r="W28" s="5"/>
      <c r="X28" s="5"/>
      <c r="Y28" s="5"/>
      <c r="Z28" s="5"/>
      <c r="AA28" s="5"/>
      <c r="AB28" s="5"/>
      <c r="AC28" s="5"/>
      <c r="AD28" s="5"/>
      <c r="AI28" s="36"/>
      <c r="AJ28" s="36"/>
      <c r="AK28" s="36"/>
      <c r="AL28" s="36"/>
      <c r="AM28" s="36"/>
      <c r="AN28" s="36"/>
      <c r="AO28" s="28"/>
      <c r="AP28" s="36"/>
      <c r="AQ28" s="36"/>
      <c r="AR28" s="36"/>
      <c r="AS28" s="36"/>
      <c r="AT28" s="36"/>
      <c r="AU28" s="28"/>
      <c r="AV28" s="36"/>
      <c r="AW28" s="36"/>
      <c r="AX28" s="36"/>
      <c r="AY28" s="28"/>
      <c r="AZ28" s="28"/>
      <c r="BA28" s="36"/>
      <c r="BB28" s="36"/>
      <c r="BC28" s="28"/>
      <c r="BD28" s="36"/>
      <c r="BE28" s="36"/>
      <c r="BF28" s="36"/>
      <c r="BG28" s="36"/>
      <c r="BH28" s="36"/>
      <c r="BI28" s="36"/>
      <c r="BJ28" s="36"/>
      <c r="BK28" s="36"/>
      <c r="BL28" s="28"/>
      <c r="BM28" s="36"/>
      <c r="BN28" s="36"/>
      <c r="BO28" s="28"/>
      <c r="BP28" s="28"/>
      <c r="BT28" s="28"/>
      <c r="BV28" s="28"/>
      <c r="BW28" s="28"/>
      <c r="CH28" s="2">
        <v>11200</v>
      </c>
      <c r="CI28" s="2">
        <v>12400</v>
      </c>
      <c r="CJ28" s="2">
        <v>10700</v>
      </c>
    </row>
    <row r="29" spans="2:101" s="2" customFormat="1" x14ac:dyDescent="0.25">
      <c r="B29" s="2" t="s">
        <v>53</v>
      </c>
      <c r="C29" s="5"/>
      <c r="D29" s="5"/>
      <c r="E29" s="5"/>
      <c r="F29" s="5"/>
      <c r="G29" s="5"/>
      <c r="H29" s="5"/>
      <c r="I29" s="5"/>
      <c r="J29" s="5"/>
      <c r="K29" s="5">
        <v>5959</v>
      </c>
      <c r="L29" s="5">
        <v>4751</v>
      </c>
      <c r="M29" s="5"/>
      <c r="N29" s="5"/>
      <c r="O29" s="5">
        <v>3407</v>
      </c>
      <c r="P29" s="5">
        <v>3896</v>
      </c>
      <c r="Q29" s="5">
        <v>4503</v>
      </c>
      <c r="R29" s="5"/>
      <c r="S29" s="5"/>
      <c r="T29" s="5">
        <v>4480</v>
      </c>
      <c r="U29" s="5">
        <v>4888</v>
      </c>
      <c r="V29" s="5"/>
      <c r="W29" s="44" t="s">
        <v>296</v>
      </c>
      <c r="X29" s="44" t="s">
        <v>295</v>
      </c>
      <c r="Y29" s="44" t="s">
        <v>298</v>
      </c>
      <c r="Z29" s="5"/>
      <c r="AA29" s="5"/>
      <c r="AB29" s="5"/>
      <c r="AC29" s="5"/>
      <c r="AD29" s="5"/>
      <c r="AI29" s="36"/>
      <c r="AJ29" s="36"/>
      <c r="AK29" s="36"/>
      <c r="AL29" s="36"/>
      <c r="AM29" s="36"/>
      <c r="AN29" s="36"/>
      <c r="AO29" s="28"/>
      <c r="AP29" s="36"/>
      <c r="AQ29" s="36"/>
      <c r="AR29" s="36"/>
      <c r="AS29" s="36"/>
      <c r="AT29" s="36"/>
      <c r="AU29" s="28"/>
      <c r="AV29" s="36"/>
      <c r="AW29" s="36"/>
      <c r="AX29" s="36"/>
      <c r="AY29" s="28"/>
      <c r="AZ29" s="28"/>
      <c r="BA29" s="36"/>
      <c r="BB29" s="36"/>
      <c r="BC29" s="28"/>
      <c r="BD29" s="36"/>
      <c r="BE29" s="36"/>
      <c r="BF29" s="36"/>
      <c r="BG29" s="36"/>
      <c r="BH29" s="36"/>
      <c r="BI29" s="36"/>
      <c r="BJ29" s="36"/>
      <c r="BK29" s="36"/>
      <c r="BL29" s="28"/>
      <c r="BM29" s="36"/>
      <c r="BN29" s="36"/>
      <c r="BO29" s="28"/>
      <c r="BP29" s="28"/>
      <c r="BT29" s="28"/>
      <c r="BV29" s="28"/>
      <c r="BW29" s="28"/>
      <c r="CH29" s="2">
        <v>24900</v>
      </c>
      <c r="CI29" s="2">
        <v>25400</v>
      </c>
      <c r="CJ29" s="2">
        <v>18800</v>
      </c>
    </row>
    <row r="30" spans="2:101" s="6" customFormat="1" ht="13" x14ac:dyDescent="0.3">
      <c r="B30" s="6" t="s">
        <v>8</v>
      </c>
      <c r="C30" s="7"/>
      <c r="D30" s="7"/>
      <c r="E30" s="7"/>
      <c r="F30" s="7"/>
      <c r="G30" s="7">
        <v>19673</v>
      </c>
      <c r="H30" s="7">
        <v>19631</v>
      </c>
      <c r="I30" s="7">
        <v>19192</v>
      </c>
      <c r="J30" s="7">
        <v>20528</v>
      </c>
      <c r="K30" s="7">
        <v>18353</v>
      </c>
      <c r="L30" s="7">
        <v>15321</v>
      </c>
      <c r="M30" s="7">
        <v>15338</v>
      </c>
      <c r="N30" s="7">
        <v>14042</v>
      </c>
      <c r="O30" s="7">
        <v>11715</v>
      </c>
      <c r="P30" s="7">
        <v>12949</v>
      </c>
      <c r="Q30" s="7">
        <v>14158</v>
      </c>
      <c r="R30" s="7">
        <v>15406</v>
      </c>
      <c r="S30" s="7">
        <v>12724</v>
      </c>
      <c r="T30" s="7">
        <v>12833</v>
      </c>
      <c r="U30" s="7">
        <v>13284</v>
      </c>
      <c r="V30" s="7">
        <f>+R30*0.9</f>
        <v>13865.4</v>
      </c>
      <c r="W30" s="7">
        <v>12667</v>
      </c>
      <c r="X30" s="7">
        <f>SUM(X21:X26)</f>
        <v>12859</v>
      </c>
      <c r="Y30" s="7">
        <f>SUM(Y21:Y26)</f>
        <v>13653</v>
      </c>
      <c r="Z30" s="7">
        <v>13674</v>
      </c>
      <c r="AA30" s="7">
        <f>+W30*0.95</f>
        <v>12033.65</v>
      </c>
      <c r="AB30" s="7">
        <f t="shared" ref="AA30:AD30" si="38">+X30*0.9</f>
        <v>11573.1</v>
      </c>
      <c r="AC30" s="7">
        <f t="shared" si="38"/>
        <v>12287.7</v>
      </c>
      <c r="AD30" s="7">
        <f t="shared" si="38"/>
        <v>12306.6</v>
      </c>
      <c r="AI30" s="37">
        <v>0.6</v>
      </c>
      <c r="AJ30" s="37">
        <v>4.2</v>
      </c>
      <c r="AK30" s="37">
        <v>9.4</v>
      </c>
      <c r="AL30" s="37">
        <v>23.4</v>
      </c>
      <c r="AM30" s="37">
        <v>66.2</v>
      </c>
      <c r="AN30" s="37">
        <v>134.5</v>
      </c>
      <c r="AO30" s="29">
        <v>136.80000000000001</v>
      </c>
      <c r="AP30" s="37">
        <v>226</v>
      </c>
      <c r="AQ30" s="37">
        <v>282.5</v>
      </c>
      <c r="AR30" s="37">
        <v>399</v>
      </c>
      <c r="AS30" s="37">
        <v>661</v>
      </c>
      <c r="AT30" s="37">
        <v>855</v>
      </c>
      <c r="AU30" s="29">
        <v>789</v>
      </c>
      <c r="AV30" s="37">
        <v>900</v>
      </c>
      <c r="AW30" s="37">
        <v>1122</v>
      </c>
      <c r="AX30" s="37">
        <v>1629</v>
      </c>
      <c r="AY30" s="29">
        <v>1365</v>
      </c>
      <c r="AZ30" s="29">
        <v>1265</v>
      </c>
      <c r="BA30" s="37">
        <v>1907</v>
      </c>
      <c r="BB30" s="37">
        <v>2874.7689999999998</v>
      </c>
      <c r="BC30" s="29">
        <v>3126.8330000000001</v>
      </c>
      <c r="BD30" s="37">
        <v>3921.2739999999999</v>
      </c>
      <c r="BE30" s="37">
        <v>4779</v>
      </c>
      <c r="BF30" s="37">
        <v>5844</v>
      </c>
      <c r="BG30" s="37">
        <v>8782</v>
      </c>
      <c r="BH30" s="37">
        <v>11521</v>
      </c>
      <c r="BI30" s="37">
        <v>16202</v>
      </c>
      <c r="BJ30" s="37">
        <v>20847</v>
      </c>
      <c r="BK30" s="37">
        <v>25070</v>
      </c>
      <c r="BL30" s="29">
        <v>26273</v>
      </c>
      <c r="BM30" s="37">
        <v>29389</v>
      </c>
      <c r="BN30" s="37">
        <v>33726</v>
      </c>
      <c r="BO30" s="29">
        <v>26539</v>
      </c>
      <c r="BP30" s="29">
        <v>26764</v>
      </c>
      <c r="BQ30" s="6">
        <v>30141</v>
      </c>
      <c r="BR30" s="6">
        <v>34209</v>
      </c>
      <c r="BS30" s="6">
        <v>38826</v>
      </c>
      <c r="BT30" s="29">
        <v>35382</v>
      </c>
      <c r="BU30" s="6">
        <v>38334</v>
      </c>
      <c r="BV30" s="29">
        <v>37586</v>
      </c>
      <c r="BW30" s="29">
        <v>35127</v>
      </c>
      <c r="BX30" s="6">
        <v>43623</v>
      </c>
      <c r="BY30" s="6">
        <v>53999</v>
      </c>
      <c r="BZ30" s="6">
        <v>53341</v>
      </c>
      <c r="CA30" s="6">
        <v>52708</v>
      </c>
      <c r="CB30" s="6">
        <v>55870</v>
      </c>
      <c r="CC30" s="6">
        <v>55355</v>
      </c>
      <c r="CD30" s="6">
        <v>59387</v>
      </c>
      <c r="CE30" s="6">
        <v>62761</v>
      </c>
      <c r="CF30" s="6">
        <v>70848</v>
      </c>
      <c r="CG30" s="6">
        <v>71965</v>
      </c>
      <c r="CH30" s="6">
        <v>77867</v>
      </c>
      <c r="CI30" s="6">
        <v>79024</v>
      </c>
      <c r="CJ30" s="6">
        <v>63054</v>
      </c>
      <c r="CK30" s="6">
        <f>SUM(O30:R30)</f>
        <v>54228</v>
      </c>
      <c r="CL30" s="6">
        <f>SUM(S30:V30)</f>
        <v>52706.400000000001</v>
      </c>
      <c r="CM30" s="6">
        <f>SUM(W30:Z30)</f>
        <v>52853</v>
      </c>
      <c r="CN30" s="6">
        <f>+CM30*1.05</f>
        <v>55495.65</v>
      </c>
      <c r="CO30" s="6">
        <f t="shared" ref="CO30:CW30" si="39">+CN30*1.05</f>
        <v>58270.432500000003</v>
      </c>
      <c r="CP30" s="6">
        <f t="shared" si="39"/>
        <v>61183.954125000004</v>
      </c>
      <c r="CQ30" s="6">
        <f t="shared" si="39"/>
        <v>64243.151831250005</v>
      </c>
      <c r="CR30" s="6">
        <f t="shared" si="39"/>
        <v>67455.309422812512</v>
      </c>
      <c r="CS30" s="6">
        <f t="shared" si="39"/>
        <v>70828.074893953148</v>
      </c>
      <c r="CT30" s="6">
        <f t="shared" si="39"/>
        <v>74369.478638650806</v>
      </c>
      <c r="CU30" s="6">
        <f t="shared" si="39"/>
        <v>78087.952570583351</v>
      </c>
      <c r="CV30" s="6">
        <f t="shared" si="39"/>
        <v>81992.350199112523</v>
      </c>
      <c r="CW30" s="6">
        <f t="shared" si="39"/>
        <v>86091.967709068151</v>
      </c>
    </row>
    <row r="31" spans="2:101" s="2" customFormat="1" x14ac:dyDescent="0.25">
      <c r="B31" s="2" t="s">
        <v>26</v>
      </c>
      <c r="C31" s="5"/>
      <c r="D31" s="5"/>
      <c r="E31" s="5"/>
      <c r="F31" s="5"/>
      <c r="G31" s="5">
        <v>8819</v>
      </c>
      <c r="H31" s="5">
        <v>8425</v>
      </c>
      <c r="I31" s="5">
        <v>8446</v>
      </c>
      <c r="J31" s="5">
        <v>9519</v>
      </c>
      <c r="K31" s="5">
        <v>9109</v>
      </c>
      <c r="L31" s="5">
        <v>9734</v>
      </c>
      <c r="M31" s="5">
        <v>8803</v>
      </c>
      <c r="N31" s="5">
        <v>8542</v>
      </c>
      <c r="O31" s="5">
        <v>7707</v>
      </c>
      <c r="P31" s="5">
        <v>8311</v>
      </c>
      <c r="Q31" s="5">
        <v>8140</v>
      </c>
      <c r="R31" s="5">
        <v>8359</v>
      </c>
      <c r="S31" s="5">
        <v>7507</v>
      </c>
      <c r="T31" s="5">
        <v>8286</v>
      </c>
      <c r="U31" s="5">
        <v>11287</v>
      </c>
      <c r="V31" s="5">
        <f>+V30-V32</f>
        <v>8319.24</v>
      </c>
      <c r="W31" s="5">
        <v>7995</v>
      </c>
      <c r="X31" s="5">
        <v>9317</v>
      </c>
      <c r="Y31" s="5">
        <v>8435</v>
      </c>
      <c r="Z31" s="5">
        <v>8731</v>
      </c>
      <c r="AA31" s="5"/>
      <c r="AB31" s="5"/>
      <c r="AC31" s="5"/>
      <c r="AD31" s="5"/>
      <c r="AI31" s="36"/>
      <c r="AJ31" s="36"/>
      <c r="AK31" s="36"/>
      <c r="AL31" s="36"/>
      <c r="AM31" s="36"/>
      <c r="AN31" s="36"/>
      <c r="AO31" s="28"/>
      <c r="AP31" s="36"/>
      <c r="AQ31" s="36"/>
      <c r="AR31" s="36"/>
      <c r="AS31" s="36"/>
      <c r="AT31" s="36"/>
      <c r="AU31" s="28"/>
      <c r="AV31" s="36"/>
      <c r="AW31" s="36"/>
      <c r="AX31" s="36"/>
      <c r="AY31" s="28"/>
      <c r="AZ31" s="28"/>
      <c r="BA31" s="36"/>
      <c r="BB31" s="36">
        <v>1505.925</v>
      </c>
      <c r="BC31" s="28">
        <v>1720.979</v>
      </c>
      <c r="BD31" s="36">
        <v>1930.288</v>
      </c>
      <c r="BE31" s="36">
        <v>2316</v>
      </c>
      <c r="BF31" s="36">
        <v>2557</v>
      </c>
      <c r="BG31" s="36">
        <v>3252</v>
      </c>
      <c r="BH31" s="36">
        <v>5576</v>
      </c>
      <c r="BI31" s="36">
        <v>7811</v>
      </c>
      <c r="BJ31" s="36">
        <v>9164</v>
      </c>
      <c r="BK31" s="36">
        <v>9945</v>
      </c>
      <c r="BL31" s="28">
        <v>12088</v>
      </c>
      <c r="BM31" s="36">
        <v>11836</v>
      </c>
      <c r="BN31" s="36">
        <v>12650</v>
      </c>
      <c r="BO31" s="28">
        <v>13487</v>
      </c>
      <c r="BP31" s="28">
        <v>13446</v>
      </c>
      <c r="BQ31" s="2">
        <v>13047</v>
      </c>
      <c r="BR31" s="2">
        <v>14463</v>
      </c>
      <c r="BS31" s="2">
        <v>15777</v>
      </c>
      <c r="BT31" s="28">
        <v>17164</v>
      </c>
      <c r="BU31" s="2">
        <v>18430</v>
      </c>
      <c r="BV31" s="28">
        <v>16742</v>
      </c>
      <c r="BW31" s="28">
        <v>15566</v>
      </c>
      <c r="BX31" s="2">
        <v>15132</v>
      </c>
      <c r="BY31" s="2">
        <v>20242</v>
      </c>
      <c r="BZ31" s="2">
        <v>20190</v>
      </c>
      <c r="CA31" s="2">
        <v>21187</v>
      </c>
      <c r="CB31" s="2">
        <v>20261</v>
      </c>
      <c r="CC31" s="2">
        <v>20676</v>
      </c>
      <c r="CD31" s="2">
        <v>23196</v>
      </c>
      <c r="CE31" s="2">
        <v>23692</v>
      </c>
      <c r="CF31" s="2">
        <v>27111</v>
      </c>
      <c r="CG31" s="2">
        <v>29825</v>
      </c>
      <c r="CH31" s="2">
        <v>34255</v>
      </c>
      <c r="CI31" s="2">
        <v>35209</v>
      </c>
      <c r="CJ31" s="2">
        <v>36188</v>
      </c>
      <c r="CK31" s="2">
        <f>SUM(O31:R31)</f>
        <v>32517</v>
      </c>
      <c r="CL31" s="2">
        <f>SUM(S31:V31)</f>
        <v>35399.24</v>
      </c>
    </row>
    <row r="32" spans="2:101" s="2" customFormat="1" x14ac:dyDescent="0.25">
      <c r="B32" s="2" t="s">
        <v>25</v>
      </c>
      <c r="C32" s="5"/>
      <c r="D32" s="5"/>
      <c r="E32" s="5"/>
      <c r="F32" s="5"/>
      <c r="G32" s="5">
        <f t="shared" ref="G32:N32" si="40">+G30-G31</f>
        <v>10854</v>
      </c>
      <c r="H32" s="5">
        <f t="shared" si="40"/>
        <v>11206</v>
      </c>
      <c r="I32" s="5">
        <f t="shared" si="40"/>
        <v>10746</v>
      </c>
      <c r="J32" s="5">
        <f t="shared" si="40"/>
        <v>11009</v>
      </c>
      <c r="K32" s="5">
        <f t="shared" si="40"/>
        <v>9244</v>
      </c>
      <c r="L32" s="5">
        <f t="shared" si="40"/>
        <v>5587</v>
      </c>
      <c r="M32" s="5">
        <f t="shared" si="40"/>
        <v>6535</v>
      </c>
      <c r="N32" s="5">
        <f t="shared" si="40"/>
        <v>5500</v>
      </c>
      <c r="O32" s="5">
        <f t="shared" ref="O32:T32" si="41">+O30-O31</f>
        <v>4008</v>
      </c>
      <c r="P32" s="5">
        <f t="shared" si="41"/>
        <v>4638</v>
      </c>
      <c r="Q32" s="5">
        <f t="shared" si="41"/>
        <v>6018</v>
      </c>
      <c r="R32" s="5">
        <f t="shared" si="41"/>
        <v>7047</v>
      </c>
      <c r="S32" s="5">
        <f t="shared" si="41"/>
        <v>5217</v>
      </c>
      <c r="T32" s="5">
        <f t="shared" si="41"/>
        <v>4547</v>
      </c>
      <c r="U32" s="5">
        <f>+U30-U31</f>
        <v>1997</v>
      </c>
      <c r="V32" s="5">
        <f>+V30*0.4</f>
        <v>5546.16</v>
      </c>
      <c r="W32" s="5">
        <f>+W30-W31</f>
        <v>4672</v>
      </c>
      <c r="X32" s="5">
        <f>+X30-X31</f>
        <v>3542</v>
      </c>
      <c r="Y32" s="5">
        <f>+Y30-Y31</f>
        <v>5218</v>
      </c>
      <c r="Z32" s="5">
        <f>+Z30-Z31</f>
        <v>4943</v>
      </c>
      <c r="AA32" s="5"/>
      <c r="AB32" s="5"/>
      <c r="AC32" s="5"/>
      <c r="AD32" s="5"/>
      <c r="AI32" s="36"/>
      <c r="AJ32" s="36"/>
      <c r="AK32" s="36"/>
      <c r="AL32" s="36"/>
      <c r="AM32" s="36"/>
      <c r="AN32" s="36"/>
      <c r="AO32" s="28"/>
      <c r="AP32" s="36"/>
      <c r="AQ32" s="36"/>
      <c r="AR32" s="36"/>
      <c r="AS32" s="36"/>
      <c r="AT32" s="36"/>
      <c r="AU32" s="28"/>
      <c r="AV32" s="36"/>
      <c r="AW32" s="36"/>
      <c r="AX32" s="36"/>
      <c r="AY32" s="28"/>
      <c r="AZ32" s="28"/>
      <c r="BA32" s="36"/>
      <c r="BB32" s="36">
        <f t="shared" ref="BB32:BC32" si="42">+BB30-BB31</f>
        <v>1368.8439999999998</v>
      </c>
      <c r="BC32" s="28">
        <f t="shared" si="42"/>
        <v>1405.854</v>
      </c>
      <c r="BD32" s="36">
        <f t="shared" ref="BD32" si="43">+BD30-BD31</f>
        <v>1990.9859999999999</v>
      </c>
      <c r="BE32" s="36">
        <f t="shared" ref="BE32:BF32" si="44">+BE30-BE31</f>
        <v>2463</v>
      </c>
      <c r="BF32" s="36">
        <f t="shared" si="44"/>
        <v>3287</v>
      </c>
      <c r="BG32" s="36">
        <f>+BG30-BG31</f>
        <v>5530</v>
      </c>
      <c r="BH32" s="36">
        <f>+BH30-BH31</f>
        <v>5945</v>
      </c>
      <c r="BI32" s="36">
        <f>+BI30-BI31</f>
        <v>8391</v>
      </c>
      <c r="BJ32" s="36">
        <f t="shared" ref="BJ32" si="45">+BJ30-BJ31</f>
        <v>11683</v>
      </c>
      <c r="BK32" s="36">
        <f t="shared" ref="BK32" si="46">+BK30-BK31</f>
        <v>15125</v>
      </c>
      <c r="BL32" s="28">
        <f t="shared" ref="BL32" si="47">+BL30-BL31</f>
        <v>14185</v>
      </c>
      <c r="BM32" s="36">
        <f t="shared" ref="BM32" si="48">+BM30-BM31</f>
        <v>17553</v>
      </c>
      <c r="BN32" s="36">
        <f t="shared" ref="BN32:BQ32" si="49">+BN30-BN31</f>
        <v>21076</v>
      </c>
      <c r="BO32" s="28">
        <f t="shared" si="49"/>
        <v>13052</v>
      </c>
      <c r="BP32" s="28">
        <f t="shared" si="49"/>
        <v>13318</v>
      </c>
      <c r="BQ32" s="2">
        <f t="shared" si="49"/>
        <v>17094</v>
      </c>
      <c r="BR32" s="2">
        <f>+BR30-BR31</f>
        <v>19746</v>
      </c>
      <c r="BS32" s="2">
        <f>+BS30-BS31</f>
        <v>23049</v>
      </c>
      <c r="BT32" s="28">
        <f>+BT30-BT31</f>
        <v>18218</v>
      </c>
      <c r="BU32" s="2">
        <f>+BU30-BU31</f>
        <v>19904</v>
      </c>
      <c r="BV32" s="28">
        <f>+BV30-BV31</f>
        <v>20844</v>
      </c>
      <c r="BW32" s="28">
        <f t="shared" ref="BW32" si="50">+BW30-BW31</f>
        <v>19561</v>
      </c>
      <c r="BX32" s="2">
        <f t="shared" ref="BX32" si="51">+BX30-BX31</f>
        <v>28491</v>
      </c>
      <c r="BY32" s="2">
        <f t="shared" ref="BY32" si="52">+BY30-BY31</f>
        <v>33757</v>
      </c>
      <c r="BZ32" s="2">
        <f t="shared" ref="BZ32" si="53">+BZ30-BZ31</f>
        <v>33151</v>
      </c>
      <c r="CA32" s="2">
        <f t="shared" ref="CA32:CJ32" si="54">+CA30-CA31</f>
        <v>31521</v>
      </c>
      <c r="CB32" s="2">
        <f t="shared" si="54"/>
        <v>35609</v>
      </c>
      <c r="CC32" s="2">
        <f t="shared" si="54"/>
        <v>34679</v>
      </c>
      <c r="CD32" s="2">
        <f t="shared" si="54"/>
        <v>36191</v>
      </c>
      <c r="CE32" s="2">
        <f t="shared" si="54"/>
        <v>39069</v>
      </c>
      <c r="CF32" s="2">
        <f t="shared" si="54"/>
        <v>43737</v>
      </c>
      <c r="CG32" s="2">
        <f t="shared" si="54"/>
        <v>42140</v>
      </c>
      <c r="CH32" s="2">
        <f t="shared" si="54"/>
        <v>43612</v>
      </c>
      <c r="CI32" s="2">
        <f t="shared" si="54"/>
        <v>43815</v>
      </c>
      <c r="CJ32" s="2">
        <f t="shared" si="54"/>
        <v>26866</v>
      </c>
      <c r="CK32" s="2">
        <f>+CK30-CK31</f>
        <v>21711</v>
      </c>
      <c r="CL32" s="2">
        <f>SUM(S32:V32)</f>
        <v>17307.16</v>
      </c>
      <c r="CM32" s="2">
        <f>+CM30*0.48</f>
        <v>25369.439999999999</v>
      </c>
      <c r="CN32" s="2">
        <f>+CN30*0.48</f>
        <v>26637.912</v>
      </c>
      <c r="CO32" s="2">
        <f>+CO30*0.49</f>
        <v>28552.511925000003</v>
      </c>
      <c r="CP32" s="2">
        <f>+CP30*0.49</f>
        <v>29980.137521250002</v>
      </c>
      <c r="CQ32" s="2">
        <f>+CQ30*0.5</f>
        <v>32121.575915625002</v>
      </c>
      <c r="CR32" s="2">
        <f>+CR30*0.5</f>
        <v>33727.654711406256</v>
      </c>
      <c r="CS32" s="2">
        <f>+CS30*0.51</f>
        <v>36122.318195916108</v>
      </c>
      <c r="CT32" s="2">
        <f>+CT30*0.51</f>
        <v>37928.434105711909</v>
      </c>
      <c r="CU32" s="2">
        <f>+CU30*0.52</f>
        <v>40605.735336703343</v>
      </c>
      <c r="CV32" s="2">
        <f>+CV30*0.52</f>
        <v>42636.022103538511</v>
      </c>
      <c r="CW32" s="2">
        <f>+CW30*0.53</f>
        <v>45628.742885806125</v>
      </c>
    </row>
    <row r="33" spans="2:179" x14ac:dyDescent="0.25">
      <c r="B33" s="2" t="s">
        <v>27</v>
      </c>
      <c r="G33" s="5">
        <v>3623</v>
      </c>
      <c r="H33" s="5">
        <v>3715</v>
      </c>
      <c r="I33" s="5">
        <v>3803</v>
      </c>
      <c r="J33" s="5">
        <v>4049</v>
      </c>
      <c r="K33" s="5">
        <v>4362</v>
      </c>
      <c r="L33" s="5">
        <v>4400</v>
      </c>
      <c r="M33" s="5">
        <v>4302</v>
      </c>
      <c r="N33" s="5">
        <v>4464</v>
      </c>
      <c r="O33" s="5">
        <v>4109</v>
      </c>
      <c r="P33" s="5">
        <v>4080</v>
      </c>
      <c r="Q33" s="5">
        <v>3870</v>
      </c>
      <c r="R33" s="5">
        <v>3987</v>
      </c>
      <c r="S33" s="5">
        <v>4382</v>
      </c>
      <c r="T33" s="5">
        <v>4239</v>
      </c>
      <c r="U33" s="5">
        <v>4049</v>
      </c>
      <c r="V33" s="5">
        <v>3750</v>
      </c>
      <c r="W33" s="5">
        <v>3640</v>
      </c>
      <c r="X33" s="5">
        <v>3684</v>
      </c>
      <c r="Y33" s="5">
        <v>3231</v>
      </c>
      <c r="Z33" s="5">
        <v>3219</v>
      </c>
      <c r="BB33" s="36">
        <v>318.33100000000002</v>
      </c>
      <c r="BC33" s="28">
        <v>365.10399999999998</v>
      </c>
      <c r="BD33" s="36">
        <v>516.74699999999996</v>
      </c>
      <c r="BE33" s="36">
        <v>618</v>
      </c>
      <c r="BF33" s="36">
        <v>780</v>
      </c>
      <c r="BG33" s="36">
        <v>970</v>
      </c>
      <c r="BH33" s="36">
        <v>1111</v>
      </c>
      <c r="BI33" s="36">
        <v>1296</v>
      </c>
      <c r="BJ33" s="36">
        <v>1808</v>
      </c>
      <c r="BK33" s="36">
        <v>2347</v>
      </c>
      <c r="BL33" s="28">
        <v>2509</v>
      </c>
      <c r="BM33" s="36">
        <v>3111</v>
      </c>
      <c r="BN33" s="36">
        <v>3897</v>
      </c>
      <c r="BO33" s="28">
        <v>3796</v>
      </c>
      <c r="BP33" s="28">
        <v>4034</v>
      </c>
      <c r="BQ33" s="2">
        <v>4360</v>
      </c>
      <c r="BR33" s="2">
        <v>4778</v>
      </c>
      <c r="BS33" s="2">
        <v>5145</v>
      </c>
      <c r="BT33" s="28">
        <v>5873</v>
      </c>
      <c r="BU33" s="2">
        <v>5755</v>
      </c>
      <c r="BV33" s="28">
        <v>5722</v>
      </c>
      <c r="BW33" s="28">
        <v>5653</v>
      </c>
      <c r="BX33" s="2">
        <v>6576</v>
      </c>
      <c r="BY33" s="2">
        <v>8350</v>
      </c>
      <c r="BZ33" s="2">
        <v>10148</v>
      </c>
      <c r="CA33" s="2">
        <v>10611</v>
      </c>
      <c r="CB33" s="2">
        <v>11537</v>
      </c>
      <c r="CC33" s="2">
        <v>12128</v>
      </c>
      <c r="CD33" s="2">
        <v>12740</v>
      </c>
      <c r="CE33" s="2">
        <v>13098</v>
      </c>
      <c r="CF33" s="2">
        <v>13543</v>
      </c>
      <c r="CG33" s="2">
        <v>13362</v>
      </c>
      <c r="CH33" s="2">
        <v>13556</v>
      </c>
      <c r="CI33" s="2">
        <v>15190</v>
      </c>
      <c r="CJ33" s="2">
        <v>17528</v>
      </c>
      <c r="CK33" s="2">
        <f>SUM(O33:R33)</f>
        <v>16046</v>
      </c>
      <c r="CL33" s="2">
        <f>SUM(S33:V33)</f>
        <v>16420</v>
      </c>
      <c r="CM33" s="2">
        <f t="shared" ref="CM33" si="55">+CL33*1.03</f>
        <v>16912.600000000002</v>
      </c>
      <c r="CN33" s="2">
        <f>+CM33*1.01</f>
        <v>17081.726000000002</v>
      </c>
      <c r="CO33" s="2">
        <f t="shared" ref="CO33:CW33" si="56">+CN33*1.01</f>
        <v>17252.543260000002</v>
      </c>
      <c r="CP33" s="2">
        <f t="shared" si="56"/>
        <v>17425.068692600002</v>
      </c>
      <c r="CQ33" s="2">
        <f t="shared" si="56"/>
        <v>17599.319379526001</v>
      </c>
      <c r="CR33" s="2">
        <f t="shared" si="56"/>
        <v>17775.312573321262</v>
      </c>
      <c r="CS33" s="2">
        <f t="shared" si="56"/>
        <v>17953.065699054474</v>
      </c>
      <c r="CT33" s="2">
        <f t="shared" si="56"/>
        <v>18132.596356045018</v>
      </c>
      <c r="CU33" s="2">
        <f t="shared" si="56"/>
        <v>18313.92231960547</v>
      </c>
      <c r="CV33" s="2">
        <f t="shared" si="56"/>
        <v>18497.061542801526</v>
      </c>
      <c r="CW33" s="2">
        <f t="shared" si="56"/>
        <v>18682.03215822954</v>
      </c>
    </row>
    <row r="34" spans="2:179" x14ac:dyDescent="0.25">
      <c r="B34" s="2" t="s">
        <v>28</v>
      </c>
      <c r="G34" s="5">
        <v>1328</v>
      </c>
      <c r="H34" s="5">
        <v>1599</v>
      </c>
      <c r="I34" s="5">
        <v>1674</v>
      </c>
      <c r="J34" s="5">
        <v>1942</v>
      </c>
      <c r="K34" s="5">
        <v>1752</v>
      </c>
      <c r="L34" s="5">
        <v>1800</v>
      </c>
      <c r="M34" s="5">
        <v>1744</v>
      </c>
      <c r="N34" s="5">
        <v>1706</v>
      </c>
      <c r="O34" s="5">
        <v>1303</v>
      </c>
      <c r="P34" s="5">
        <v>1374</v>
      </c>
      <c r="Q34" s="5">
        <v>1340</v>
      </c>
      <c r="R34" s="5">
        <v>1617</v>
      </c>
      <c r="S34" s="5">
        <v>1556</v>
      </c>
      <c r="T34" s="5">
        <v>1329</v>
      </c>
      <c r="U34" s="5">
        <v>1383</v>
      </c>
      <c r="V34" s="5">
        <v>1000</v>
      </c>
      <c r="W34" s="5">
        <v>1177</v>
      </c>
      <c r="X34" s="5">
        <v>1144</v>
      </c>
      <c r="Y34" s="5">
        <v>1129</v>
      </c>
      <c r="Z34" s="5">
        <v>1174</v>
      </c>
      <c r="BB34" s="36">
        <v>456.2</v>
      </c>
      <c r="BC34" s="28">
        <v>483.43599999999998</v>
      </c>
      <c r="BD34" s="36">
        <v>615.904</v>
      </c>
      <c r="BE34" s="36">
        <v>765</v>
      </c>
      <c r="BF34" s="36">
        <v>1017</v>
      </c>
      <c r="BG34" s="36">
        <v>1168</v>
      </c>
      <c r="BH34" s="36">
        <v>1447</v>
      </c>
      <c r="BI34" s="36">
        <v>1843</v>
      </c>
      <c r="BJ34" s="36">
        <v>2322</v>
      </c>
      <c r="BK34" s="36">
        <v>2891</v>
      </c>
      <c r="BL34" s="28">
        <v>3076</v>
      </c>
      <c r="BM34" s="36">
        <v>3872</v>
      </c>
      <c r="BN34" s="36">
        <v>5089</v>
      </c>
      <c r="BO34" s="28">
        <v>4464</v>
      </c>
      <c r="BP34" s="28">
        <v>4334</v>
      </c>
      <c r="BQ34" s="2">
        <v>4278</v>
      </c>
      <c r="BR34" s="2">
        <v>4659</v>
      </c>
      <c r="BS34" s="2">
        <v>5688</v>
      </c>
      <c r="BT34" s="28">
        <v>6096</v>
      </c>
      <c r="BU34" s="2">
        <v>5401</v>
      </c>
      <c r="BV34" s="28">
        <v>5458</v>
      </c>
      <c r="BW34" s="28">
        <v>7931</v>
      </c>
      <c r="BX34" s="2">
        <v>6309</v>
      </c>
      <c r="BY34" s="2">
        <v>7670</v>
      </c>
      <c r="BZ34" s="2">
        <v>8057</v>
      </c>
      <c r="CA34" s="2">
        <v>8088</v>
      </c>
      <c r="CB34" s="2">
        <v>8136</v>
      </c>
      <c r="CC34" s="2">
        <v>7930</v>
      </c>
      <c r="CD34" s="2">
        <v>8397</v>
      </c>
      <c r="CE34" s="2">
        <v>7474</v>
      </c>
      <c r="CF34" s="2">
        <v>6950</v>
      </c>
      <c r="CG34" s="2">
        <v>6350</v>
      </c>
      <c r="CH34" s="2">
        <v>6180</v>
      </c>
      <c r="CI34" s="2">
        <v>6543</v>
      </c>
      <c r="CJ34" s="2">
        <v>7002</v>
      </c>
      <c r="CK34" s="2">
        <f>SUM(O34:R34)</f>
        <v>5634</v>
      </c>
      <c r="CL34" s="2">
        <f>SUM(S34:V34)</f>
        <v>5268</v>
      </c>
      <c r="CM34" s="2">
        <f t="shared" ref="CM34" si="57">+CL34*1.03</f>
        <v>5426.04</v>
      </c>
      <c r="CN34" s="2">
        <f>+CM34*1.01</f>
        <v>5480.3004000000001</v>
      </c>
      <c r="CO34" s="2">
        <f t="shared" ref="CO34:CW34" si="58">+CN34*1.01</f>
        <v>5535.1034040000004</v>
      </c>
      <c r="CP34" s="2">
        <f t="shared" si="58"/>
        <v>5590.4544380400002</v>
      </c>
      <c r="CQ34" s="2">
        <f t="shared" si="58"/>
        <v>5646.3589824204</v>
      </c>
      <c r="CR34" s="2">
        <f t="shared" si="58"/>
        <v>5702.8225722446041</v>
      </c>
      <c r="CS34" s="2">
        <f t="shared" si="58"/>
        <v>5759.8507979670503</v>
      </c>
      <c r="CT34" s="2">
        <f t="shared" si="58"/>
        <v>5817.4493059467204</v>
      </c>
      <c r="CU34" s="2">
        <f t="shared" si="58"/>
        <v>5875.6237990061873</v>
      </c>
      <c r="CV34" s="2">
        <f t="shared" si="58"/>
        <v>5934.3800369962491</v>
      </c>
      <c r="CW34" s="2">
        <f t="shared" si="58"/>
        <v>5993.7238373662121</v>
      </c>
    </row>
    <row r="35" spans="2:179" x14ac:dyDescent="0.25">
      <c r="B35" s="2" t="s">
        <v>29</v>
      </c>
      <c r="G35" s="5">
        <f t="shared" ref="G35:N35" si="59">+G33+G34</f>
        <v>4951</v>
      </c>
      <c r="H35" s="5">
        <f t="shared" si="59"/>
        <v>5314</v>
      </c>
      <c r="I35" s="5">
        <f t="shared" si="59"/>
        <v>5477</v>
      </c>
      <c r="J35" s="5">
        <f t="shared" si="59"/>
        <v>5991</v>
      </c>
      <c r="K35" s="5">
        <f t="shared" si="59"/>
        <v>6114</v>
      </c>
      <c r="L35" s="5">
        <f t="shared" si="59"/>
        <v>6200</v>
      </c>
      <c r="M35" s="5">
        <f t="shared" si="59"/>
        <v>6046</v>
      </c>
      <c r="N35" s="5">
        <f t="shared" si="59"/>
        <v>6170</v>
      </c>
      <c r="O35" s="5">
        <f t="shared" ref="O35" si="60">+O33+O34</f>
        <v>5412</v>
      </c>
      <c r="P35" s="5">
        <f t="shared" ref="P35" si="61">+P33+P34</f>
        <v>5454</v>
      </c>
      <c r="Q35" s="5">
        <f t="shared" ref="Q35" si="62">+Q33+Q34</f>
        <v>5210</v>
      </c>
      <c r="R35" s="5">
        <f t="shared" ref="R35:T35" si="63">+R33+R34</f>
        <v>5604</v>
      </c>
      <c r="S35" s="5">
        <f t="shared" ref="S35" si="64">+S33+S34</f>
        <v>5938</v>
      </c>
      <c r="T35" s="5">
        <f t="shared" si="63"/>
        <v>5568</v>
      </c>
      <c r="U35" s="5">
        <f t="shared" ref="U35:W35" si="65">+U33+U34</f>
        <v>5432</v>
      </c>
      <c r="V35" s="5">
        <f t="shared" si="65"/>
        <v>4750</v>
      </c>
      <c r="W35" s="5">
        <f t="shared" si="65"/>
        <v>4817</v>
      </c>
      <c r="X35" s="5">
        <f t="shared" ref="X35:Z35" si="66">+X33+X34</f>
        <v>4828</v>
      </c>
      <c r="Y35" s="5">
        <f t="shared" si="66"/>
        <v>4360</v>
      </c>
      <c r="Z35" s="5">
        <f t="shared" si="66"/>
        <v>4393</v>
      </c>
      <c r="AA35" s="5"/>
      <c r="AB35" s="5"/>
      <c r="AC35" s="5"/>
      <c r="AD35" s="5"/>
      <c r="BB35" s="36">
        <f t="shared" ref="BB35:BC35" si="67">+BB33+BB34</f>
        <v>774.53099999999995</v>
      </c>
      <c r="BC35" s="28">
        <f t="shared" si="67"/>
        <v>848.54</v>
      </c>
      <c r="BD35" s="36">
        <f t="shared" ref="BD35" si="68">+BD33+BD34</f>
        <v>1132.6509999999998</v>
      </c>
      <c r="BE35" s="36">
        <f t="shared" ref="BE35" si="69">+BE33+BE34</f>
        <v>1383</v>
      </c>
      <c r="BF35" s="36">
        <f t="shared" ref="BF35" si="70">+BF33+BF34</f>
        <v>1797</v>
      </c>
      <c r="BG35" s="36">
        <f t="shared" ref="BG35:BH35" si="71">+BG33+BG34</f>
        <v>2138</v>
      </c>
      <c r="BH35" s="36">
        <f t="shared" si="71"/>
        <v>2558</v>
      </c>
      <c r="BI35" s="36">
        <f t="shared" ref="BI35" si="72">+BI33+BI34</f>
        <v>3139</v>
      </c>
      <c r="BJ35" s="36">
        <f t="shared" ref="BJ35" si="73">+BJ33+BJ34</f>
        <v>4130</v>
      </c>
      <c r="BK35" s="36">
        <f t="shared" ref="BK35" si="74">+BK33+BK34</f>
        <v>5238</v>
      </c>
      <c r="BL35" s="28">
        <f t="shared" ref="BL35" si="75">+BL33+BL34</f>
        <v>5585</v>
      </c>
      <c r="BM35" s="36">
        <f t="shared" ref="BM35" si="76">+BM33+BM34</f>
        <v>6983</v>
      </c>
      <c r="BN35" s="36">
        <f t="shared" ref="BN35:BQ35" si="77">+BN33+BN34</f>
        <v>8986</v>
      </c>
      <c r="BO35" s="28">
        <f t="shared" si="77"/>
        <v>8260</v>
      </c>
      <c r="BP35" s="28">
        <f t="shared" si="77"/>
        <v>8368</v>
      </c>
      <c r="BQ35" s="2">
        <f t="shared" si="77"/>
        <v>8638</v>
      </c>
      <c r="BR35" s="2">
        <f>+BR33+BR34</f>
        <v>9437</v>
      </c>
      <c r="BS35" s="2">
        <f>+BS33+BS34</f>
        <v>10833</v>
      </c>
      <c r="BT35" s="28">
        <f>+BT33+BT34</f>
        <v>11969</v>
      </c>
      <c r="BU35" s="2">
        <f>+BU33+BU34</f>
        <v>11156</v>
      </c>
      <c r="BV35" s="28">
        <f>+BV33+BV34</f>
        <v>11180</v>
      </c>
      <c r="BW35" s="28">
        <f t="shared" ref="BW35" si="78">+BW33+BW34</f>
        <v>13584</v>
      </c>
      <c r="BX35" s="2">
        <f t="shared" ref="BX35" si="79">+BX33+BX34</f>
        <v>12885</v>
      </c>
      <c r="BY35" s="2">
        <f t="shared" ref="BY35" si="80">+BY33+BY34</f>
        <v>16020</v>
      </c>
      <c r="BZ35" s="2">
        <f t="shared" ref="BZ35" si="81">+BZ33+BZ34</f>
        <v>18205</v>
      </c>
      <c r="CA35" s="2">
        <f>+CA33+CA34</f>
        <v>18699</v>
      </c>
      <c r="CB35" s="2">
        <f t="shared" ref="CB35:CD35" si="82">+CB33+CB34</f>
        <v>19673</v>
      </c>
      <c r="CC35" s="2">
        <f t="shared" si="82"/>
        <v>20058</v>
      </c>
      <c r="CD35" s="2">
        <f t="shared" si="82"/>
        <v>21137</v>
      </c>
      <c r="CE35" s="2">
        <f>+CE33+CE34</f>
        <v>20572</v>
      </c>
      <c r="CF35" s="2">
        <f>+CF33+CF34</f>
        <v>20493</v>
      </c>
      <c r="CG35" s="2">
        <f>+CG33+CG34</f>
        <v>19712</v>
      </c>
      <c r="CH35" s="2">
        <f>+CH33+CH34</f>
        <v>19736</v>
      </c>
      <c r="CI35" s="2">
        <f t="shared" ref="CI35:CJ35" si="83">+CI33+CI34</f>
        <v>21733</v>
      </c>
      <c r="CJ35" s="2">
        <f t="shared" si="83"/>
        <v>24530</v>
      </c>
      <c r="CK35" s="2">
        <f>+CK33+CK34</f>
        <v>21680</v>
      </c>
      <c r="CL35" s="2">
        <f t="shared" ref="CL35:CW35" si="84">+CL33+CL34</f>
        <v>21688</v>
      </c>
      <c r="CM35" s="2">
        <f t="shared" si="84"/>
        <v>22338.640000000003</v>
      </c>
      <c r="CN35" s="2">
        <f t="shared" si="84"/>
        <v>22562.026400000002</v>
      </c>
      <c r="CO35" s="2">
        <f t="shared" si="84"/>
        <v>22787.646664000004</v>
      </c>
      <c r="CP35" s="2">
        <f t="shared" si="84"/>
        <v>23015.523130640002</v>
      </c>
      <c r="CQ35" s="2">
        <f t="shared" si="84"/>
        <v>23245.6783619464</v>
      </c>
      <c r="CR35" s="2">
        <f t="shared" si="84"/>
        <v>23478.135145565866</v>
      </c>
      <c r="CS35" s="2">
        <f t="shared" si="84"/>
        <v>23712.916497021524</v>
      </c>
      <c r="CT35" s="2">
        <f t="shared" si="84"/>
        <v>23950.045661991739</v>
      </c>
      <c r="CU35" s="2">
        <f t="shared" si="84"/>
        <v>24189.546118611659</v>
      </c>
      <c r="CV35" s="2">
        <f t="shared" si="84"/>
        <v>24431.441579797774</v>
      </c>
      <c r="CW35" s="2">
        <f t="shared" si="84"/>
        <v>24675.755995595751</v>
      </c>
    </row>
    <row r="36" spans="2:179" x14ac:dyDescent="0.25">
      <c r="B36" s="2" t="s">
        <v>30</v>
      </c>
      <c r="G36" s="5">
        <f t="shared" ref="G36:N36" si="85">+G32-G35</f>
        <v>5903</v>
      </c>
      <c r="H36" s="5">
        <f t="shared" si="85"/>
        <v>5892</v>
      </c>
      <c r="I36" s="5">
        <f t="shared" si="85"/>
        <v>5269</v>
      </c>
      <c r="J36" s="5">
        <f t="shared" si="85"/>
        <v>5018</v>
      </c>
      <c r="K36" s="5">
        <f t="shared" si="85"/>
        <v>3130</v>
      </c>
      <c r="L36" s="5">
        <f t="shared" si="85"/>
        <v>-613</v>
      </c>
      <c r="M36" s="5">
        <f t="shared" si="85"/>
        <v>489</v>
      </c>
      <c r="N36" s="5">
        <f t="shared" si="85"/>
        <v>-670</v>
      </c>
      <c r="O36" s="5">
        <f t="shared" ref="O36" si="86">+O32-O35</f>
        <v>-1404</v>
      </c>
      <c r="P36" s="5">
        <f t="shared" ref="P36" si="87">+P32-P35</f>
        <v>-816</v>
      </c>
      <c r="Q36" s="5">
        <f t="shared" ref="Q36" si="88">+Q32-Q35</f>
        <v>808</v>
      </c>
      <c r="R36" s="5">
        <f t="shared" ref="R36:T36" si="89">+R32-R35</f>
        <v>1443</v>
      </c>
      <c r="S36" s="5">
        <f t="shared" ref="S36" si="90">+S32-S35</f>
        <v>-721</v>
      </c>
      <c r="T36" s="5">
        <f t="shared" si="89"/>
        <v>-1021</v>
      </c>
      <c r="U36" s="5">
        <f t="shared" ref="U36:W36" si="91">+U32-U35</f>
        <v>-3435</v>
      </c>
      <c r="V36" s="5">
        <f t="shared" si="91"/>
        <v>796.15999999999985</v>
      </c>
      <c r="W36" s="5">
        <f t="shared" si="91"/>
        <v>-145</v>
      </c>
      <c r="X36" s="5">
        <f t="shared" ref="X36:Z36" si="92">+X32-X35</f>
        <v>-1286</v>
      </c>
      <c r="Y36" s="5">
        <f t="shared" si="92"/>
        <v>858</v>
      </c>
      <c r="Z36" s="5">
        <f t="shared" si="92"/>
        <v>550</v>
      </c>
      <c r="AA36" s="5"/>
      <c r="AB36" s="5"/>
      <c r="AC36" s="5"/>
      <c r="AD36" s="5"/>
      <c r="BB36" s="36">
        <f t="shared" ref="BB36:BC36" si="93">+BB32-BB35</f>
        <v>594.31299999999987</v>
      </c>
      <c r="BC36" s="28">
        <f t="shared" si="93"/>
        <v>557.31400000000008</v>
      </c>
      <c r="BD36" s="36">
        <f t="shared" ref="BD36" si="94">+BD32-BD35</f>
        <v>858.33500000000004</v>
      </c>
      <c r="BE36" s="36">
        <f t="shared" ref="BE36" si="95">+BE32-BE35</f>
        <v>1080</v>
      </c>
      <c r="BF36" s="36">
        <f t="shared" ref="BF36" si="96">+BF32-BF35</f>
        <v>1490</v>
      </c>
      <c r="BG36" s="36">
        <f t="shared" ref="BG36:BH36" si="97">+BG32-BG35</f>
        <v>3392</v>
      </c>
      <c r="BH36" s="36">
        <f t="shared" si="97"/>
        <v>3387</v>
      </c>
      <c r="BI36" s="36">
        <f t="shared" ref="BI36" si="98">+BI32-BI35</f>
        <v>5252</v>
      </c>
      <c r="BJ36" s="36">
        <f t="shared" ref="BJ36" si="99">+BJ32-BJ35</f>
        <v>7553</v>
      </c>
      <c r="BK36" s="36">
        <f t="shared" ref="BK36" si="100">+BK32-BK35</f>
        <v>9887</v>
      </c>
      <c r="BL36" s="28">
        <f t="shared" ref="BL36" si="101">+BL32-BL35</f>
        <v>8600</v>
      </c>
      <c r="BM36" s="36">
        <f t="shared" ref="BM36" si="102">+BM32-BM35</f>
        <v>10570</v>
      </c>
      <c r="BN36" s="36">
        <f t="shared" ref="BN36:BQ36" si="103">+BN32-BN35</f>
        <v>12090</v>
      </c>
      <c r="BO36" s="28">
        <f t="shared" si="103"/>
        <v>4792</v>
      </c>
      <c r="BP36" s="28">
        <f t="shared" si="103"/>
        <v>4950</v>
      </c>
      <c r="BQ36" s="2">
        <f t="shared" si="103"/>
        <v>8456</v>
      </c>
      <c r="BR36" s="2">
        <f>+BR32-BR35</f>
        <v>10309</v>
      </c>
      <c r="BS36" s="2">
        <f>+BS32-BS35</f>
        <v>12216</v>
      </c>
      <c r="BT36" s="28">
        <f>+BT32-BT35</f>
        <v>6249</v>
      </c>
      <c r="BU36" s="2">
        <f>+BU32-BU35</f>
        <v>8748</v>
      </c>
      <c r="BV36" s="28">
        <f>+BV32-BV35</f>
        <v>9664</v>
      </c>
      <c r="BW36" s="28">
        <f t="shared" ref="BW36" si="104">+BW32-BW35</f>
        <v>5977</v>
      </c>
      <c r="BX36" s="2">
        <f t="shared" ref="BX36" si="105">+BX32-BX35</f>
        <v>15606</v>
      </c>
      <c r="BY36" s="2">
        <f t="shared" ref="BY36" si="106">+BY32-BY35</f>
        <v>17737</v>
      </c>
      <c r="BZ36" s="2">
        <f t="shared" ref="BZ36" si="107">+BZ32-BZ35</f>
        <v>14946</v>
      </c>
      <c r="CA36" s="2">
        <f>+CA32-CA35</f>
        <v>12822</v>
      </c>
      <c r="CB36" s="2">
        <f t="shared" ref="CB36:CD36" si="108">+CB32-CB35</f>
        <v>15936</v>
      </c>
      <c r="CC36" s="2">
        <f t="shared" si="108"/>
        <v>14621</v>
      </c>
      <c r="CD36" s="2">
        <f t="shared" si="108"/>
        <v>15054</v>
      </c>
      <c r="CE36" s="2">
        <f t="shared" ref="CE36:CK36" si="109">+CE32-CE35</f>
        <v>18497</v>
      </c>
      <c r="CF36" s="2">
        <f t="shared" si="109"/>
        <v>23244</v>
      </c>
      <c r="CG36" s="2">
        <f t="shared" si="109"/>
        <v>22428</v>
      </c>
      <c r="CH36" s="2">
        <f t="shared" si="109"/>
        <v>23876</v>
      </c>
      <c r="CI36" s="2">
        <f t="shared" si="109"/>
        <v>22082</v>
      </c>
      <c r="CJ36" s="2">
        <f t="shared" si="109"/>
        <v>2336</v>
      </c>
      <c r="CK36" s="2">
        <f t="shared" si="109"/>
        <v>31</v>
      </c>
      <c r="CL36" s="2">
        <f t="shared" ref="CL36:CW36" si="110">+CL32-CL35</f>
        <v>-4380.84</v>
      </c>
      <c r="CM36" s="2">
        <f t="shared" si="110"/>
        <v>3030.7999999999956</v>
      </c>
      <c r="CN36" s="2">
        <f t="shared" si="110"/>
        <v>4075.8855999999978</v>
      </c>
      <c r="CO36" s="2">
        <f t="shared" si="110"/>
        <v>5764.865260999999</v>
      </c>
      <c r="CP36" s="2">
        <f t="shared" si="110"/>
        <v>6964.6143906100006</v>
      </c>
      <c r="CQ36" s="2">
        <f t="shared" si="110"/>
        <v>8875.897553678602</v>
      </c>
      <c r="CR36" s="2">
        <f t="shared" si="110"/>
        <v>10249.51956584039</v>
      </c>
      <c r="CS36" s="2">
        <f t="shared" si="110"/>
        <v>12409.401698894584</v>
      </c>
      <c r="CT36" s="2">
        <f t="shared" si="110"/>
        <v>13978.38844372017</v>
      </c>
      <c r="CU36" s="2">
        <f t="shared" si="110"/>
        <v>16416.189218091684</v>
      </c>
      <c r="CV36" s="2">
        <f t="shared" si="110"/>
        <v>18204.580523740737</v>
      </c>
      <c r="CW36" s="2">
        <f t="shared" si="110"/>
        <v>20952.986890210374</v>
      </c>
    </row>
    <row r="37" spans="2:179" x14ac:dyDescent="0.25">
      <c r="B37" s="2" t="s">
        <v>31</v>
      </c>
      <c r="G37" s="5">
        <v>-156</v>
      </c>
      <c r="H37" s="5">
        <v>-96</v>
      </c>
      <c r="I37" s="5">
        <v>-76</v>
      </c>
      <c r="J37" s="5">
        <v>-154</v>
      </c>
      <c r="K37" s="5">
        <v>997</v>
      </c>
      <c r="L37" s="5">
        <v>-119</v>
      </c>
      <c r="M37" s="5">
        <v>138</v>
      </c>
      <c r="N37" s="5">
        <v>150</v>
      </c>
      <c r="O37" s="3">
        <v>141</v>
      </c>
      <c r="P37" s="3">
        <v>224</v>
      </c>
      <c r="Q37" s="3">
        <v>147</v>
      </c>
      <c r="R37" s="3">
        <v>117</v>
      </c>
      <c r="S37" s="3">
        <v>145</v>
      </c>
      <c r="T37" s="3">
        <v>80</v>
      </c>
      <c r="U37" s="3">
        <v>130</v>
      </c>
      <c r="W37" s="3">
        <v>-173</v>
      </c>
      <c r="X37" s="3">
        <v>0</v>
      </c>
      <c r="Y37" s="3">
        <v>0</v>
      </c>
      <c r="Z37" s="3">
        <v>-145</v>
      </c>
      <c r="BB37" s="36">
        <v>110.955</v>
      </c>
      <c r="BC37" s="28">
        <v>121.834</v>
      </c>
      <c r="BD37" s="36">
        <v>227.28899999999999</v>
      </c>
      <c r="BE37" s="36">
        <v>197</v>
      </c>
      <c r="BF37" s="36">
        <v>133</v>
      </c>
      <c r="BG37" s="36">
        <v>188</v>
      </c>
      <c r="BH37" s="36">
        <v>273</v>
      </c>
      <c r="BI37" s="36">
        <v>415</v>
      </c>
      <c r="BJ37" s="36">
        <v>406</v>
      </c>
      <c r="BK37" s="36">
        <v>799</v>
      </c>
      <c r="BL37" s="28">
        <v>792</v>
      </c>
      <c r="BM37" s="36">
        <v>1497</v>
      </c>
      <c r="BN37" s="36">
        <v>987</v>
      </c>
      <c r="BO37" s="28">
        <v>393</v>
      </c>
      <c r="BP37" s="28">
        <v>194</v>
      </c>
      <c r="BQ37" s="2">
        <v>192</v>
      </c>
      <c r="BR37" s="2">
        <f>289-2</f>
        <v>287</v>
      </c>
      <c r="BS37" s="2">
        <v>-565</v>
      </c>
      <c r="BT37" s="28">
        <v>-1202</v>
      </c>
      <c r="BU37" s="2">
        <v>-793</v>
      </c>
      <c r="BV37" s="28">
        <v>-488</v>
      </c>
      <c r="BW37" s="28">
        <v>-163</v>
      </c>
      <c r="BX37" s="2">
        <v>-109</v>
      </c>
      <c r="BY37" s="2">
        <v>-192</v>
      </c>
      <c r="BZ37" s="2">
        <v>-94</v>
      </c>
      <c r="CA37" s="2">
        <v>-151</v>
      </c>
      <c r="CB37" s="2">
        <v>43</v>
      </c>
      <c r="CC37" s="2">
        <v>-105</v>
      </c>
      <c r="CD37" s="2">
        <v>-444</v>
      </c>
      <c r="CE37" s="2">
        <v>-235</v>
      </c>
      <c r="CF37" s="2">
        <v>126</v>
      </c>
      <c r="CG37" s="2">
        <v>484</v>
      </c>
      <c r="CH37" s="2">
        <v>-504</v>
      </c>
      <c r="CI37" s="2">
        <v>-482</v>
      </c>
      <c r="CJ37" s="2">
        <v>1166</v>
      </c>
      <c r="CK37" s="2">
        <f>SUM(O37:R37)</f>
        <v>629</v>
      </c>
      <c r="CL37" s="2">
        <f>SUM(S37:V37)</f>
        <v>355</v>
      </c>
      <c r="CP37" s="2">
        <f>+CO50*$DA$44</f>
        <v>316.64015118059984</v>
      </c>
      <c r="CQ37" s="2">
        <f t="shared" ref="CQ37:CW37" si="111">+CP50*$DA$44</f>
        <v>495.75901290864863</v>
      </c>
      <c r="CR37" s="2">
        <f t="shared" si="111"/>
        <v>726.30176444669496</v>
      </c>
      <c r="CS37" s="2">
        <f t="shared" si="111"/>
        <v>996.30696917175726</v>
      </c>
      <c r="CT37" s="2">
        <f t="shared" si="111"/>
        <v>1326.0874024061893</v>
      </c>
      <c r="CU37" s="2">
        <f t="shared" si="111"/>
        <v>1702.5775082208977</v>
      </c>
      <c r="CV37" s="2">
        <f t="shared" si="111"/>
        <v>2148.2991696881872</v>
      </c>
      <c r="CW37" s="2">
        <f t="shared" si="111"/>
        <v>2648.9800101465385</v>
      </c>
    </row>
    <row r="38" spans="2:179" x14ac:dyDescent="0.25">
      <c r="B38" s="2" t="s">
        <v>32</v>
      </c>
      <c r="G38" s="5">
        <f t="shared" ref="G38:N38" si="112">+G36+G37</f>
        <v>5747</v>
      </c>
      <c r="H38" s="5">
        <f t="shared" si="112"/>
        <v>5796</v>
      </c>
      <c r="I38" s="5">
        <f t="shared" si="112"/>
        <v>5193</v>
      </c>
      <c r="J38" s="5">
        <f t="shared" si="112"/>
        <v>4864</v>
      </c>
      <c r="K38" s="5">
        <f t="shared" si="112"/>
        <v>4127</v>
      </c>
      <c r="L38" s="5">
        <f t="shared" si="112"/>
        <v>-732</v>
      </c>
      <c r="M38" s="5">
        <f t="shared" si="112"/>
        <v>627</v>
      </c>
      <c r="N38" s="5">
        <f t="shared" si="112"/>
        <v>-520</v>
      </c>
      <c r="O38" s="5">
        <f t="shared" ref="O38:T38" si="113">+O36+O37</f>
        <v>-1263</v>
      </c>
      <c r="P38" s="5">
        <f t="shared" si="113"/>
        <v>-592</v>
      </c>
      <c r="Q38" s="5">
        <f t="shared" si="113"/>
        <v>955</v>
      </c>
      <c r="R38" s="5">
        <f t="shared" si="113"/>
        <v>1560</v>
      </c>
      <c r="S38" s="5">
        <f t="shared" si="113"/>
        <v>-576</v>
      </c>
      <c r="T38" s="5">
        <f t="shared" si="113"/>
        <v>-941</v>
      </c>
      <c r="U38" s="5">
        <f t="shared" ref="U38:Z38" si="114">+U36+U37</f>
        <v>-3305</v>
      </c>
      <c r="V38" s="5">
        <f t="shared" si="114"/>
        <v>796.15999999999985</v>
      </c>
      <c r="W38" s="5">
        <f t="shared" si="114"/>
        <v>-318</v>
      </c>
      <c r="X38" s="5">
        <f t="shared" si="114"/>
        <v>-1286</v>
      </c>
      <c r="Y38" s="5">
        <f t="shared" si="114"/>
        <v>858</v>
      </c>
      <c r="Z38" s="5">
        <f t="shared" si="114"/>
        <v>405</v>
      </c>
      <c r="AA38" s="5"/>
      <c r="AB38" s="5"/>
      <c r="AC38" s="5"/>
      <c r="AD38" s="5"/>
      <c r="BB38" s="36">
        <f t="shared" ref="BB38:BC38" si="115">+BB36+BB37</f>
        <v>705.26799999999992</v>
      </c>
      <c r="BC38" s="28">
        <f t="shared" si="115"/>
        <v>679.14800000000014</v>
      </c>
      <c r="BD38" s="36">
        <f t="shared" ref="BD38" si="116">+BD36+BD37</f>
        <v>1085.624</v>
      </c>
      <c r="BE38" s="36">
        <f t="shared" ref="BE38" si="117">+BE36+BE37</f>
        <v>1277</v>
      </c>
      <c r="BF38" s="36">
        <f t="shared" ref="BF38" si="118">+BF36+BF37</f>
        <v>1623</v>
      </c>
      <c r="BG38" s="36">
        <f t="shared" ref="BG38:BH38" si="119">+BG36+BG37</f>
        <v>3580</v>
      </c>
      <c r="BH38" s="36">
        <f t="shared" si="119"/>
        <v>3660</v>
      </c>
      <c r="BI38" s="36">
        <f t="shared" ref="BI38" si="120">+BI36+BI37</f>
        <v>5667</v>
      </c>
      <c r="BJ38" s="36">
        <f t="shared" ref="BJ38" si="121">+BJ36+BJ37</f>
        <v>7959</v>
      </c>
      <c r="BK38" s="36">
        <f t="shared" ref="BK38" si="122">+BK36+BK37</f>
        <v>10686</v>
      </c>
      <c r="BL38" s="28">
        <f t="shared" ref="BL38" si="123">+BL36+BL37</f>
        <v>9392</v>
      </c>
      <c r="BM38" s="36">
        <f t="shared" ref="BM38" si="124">+BM36+BM37</f>
        <v>12067</v>
      </c>
      <c r="BN38" s="36">
        <f t="shared" ref="BN38:BQ38" si="125">+BN36+BN37</f>
        <v>13077</v>
      </c>
      <c r="BO38" s="28">
        <f t="shared" si="125"/>
        <v>5185</v>
      </c>
      <c r="BP38" s="28">
        <f t="shared" si="125"/>
        <v>5144</v>
      </c>
      <c r="BQ38" s="2">
        <f t="shared" si="125"/>
        <v>8648</v>
      </c>
      <c r="BR38" s="2">
        <f>+BR36+BR37</f>
        <v>10596</v>
      </c>
      <c r="BS38" s="2">
        <f>+BS36+BS37</f>
        <v>11651</v>
      </c>
      <c r="BT38" s="28">
        <f>+BT36+BT37</f>
        <v>5047</v>
      </c>
      <c r="BU38" s="2">
        <f>+BU36+BU37</f>
        <v>7955</v>
      </c>
      <c r="BV38" s="28">
        <f>+BV36+BV37</f>
        <v>9176</v>
      </c>
      <c r="BW38" s="28">
        <f t="shared" ref="BW38" si="126">+BW36+BW37</f>
        <v>5814</v>
      </c>
      <c r="BX38" s="2">
        <f t="shared" ref="BX38" si="127">+BX36+BX37</f>
        <v>15497</v>
      </c>
      <c r="BY38" s="2">
        <f t="shared" ref="BY38" si="128">+BY36+BY37</f>
        <v>17545</v>
      </c>
      <c r="BZ38" s="2">
        <f t="shared" ref="BZ38" si="129">+BZ36+BZ37</f>
        <v>14852</v>
      </c>
      <c r="CA38" s="2">
        <f>+CA36+CA37</f>
        <v>12671</v>
      </c>
      <c r="CB38" s="2">
        <f>+CB36+CB37</f>
        <v>15979</v>
      </c>
      <c r="CC38" s="2">
        <f>+CC36+CC37</f>
        <v>14516</v>
      </c>
      <c r="CD38" s="2">
        <f t="shared" ref="CD38" si="130">+CD36+CD37</f>
        <v>14610</v>
      </c>
      <c r="CE38" s="2">
        <f t="shared" ref="CE38:CJ38" si="131">+CE36+CE37</f>
        <v>18262</v>
      </c>
      <c r="CF38" s="2">
        <f t="shared" si="131"/>
        <v>23370</v>
      </c>
      <c r="CG38" s="2">
        <f t="shared" si="131"/>
        <v>22912</v>
      </c>
      <c r="CH38" s="2">
        <f t="shared" si="131"/>
        <v>23372</v>
      </c>
      <c r="CI38" s="2">
        <f t="shared" si="131"/>
        <v>21600</v>
      </c>
      <c r="CJ38" s="2">
        <f t="shared" si="131"/>
        <v>3502</v>
      </c>
      <c r="CK38" s="2">
        <f t="shared" ref="CK38:CW38" si="132">+CK36+CK37</f>
        <v>660</v>
      </c>
      <c r="CL38" s="2">
        <f t="shared" si="132"/>
        <v>-4025.84</v>
      </c>
      <c r="CM38" s="2">
        <f t="shared" si="132"/>
        <v>3030.7999999999956</v>
      </c>
      <c r="CN38" s="2">
        <f t="shared" si="132"/>
        <v>4075.8855999999978</v>
      </c>
      <c r="CO38" s="2">
        <f t="shared" si="132"/>
        <v>5764.865260999999</v>
      </c>
      <c r="CP38" s="2">
        <f t="shared" si="132"/>
        <v>7281.2545417906003</v>
      </c>
      <c r="CQ38" s="2">
        <f t="shared" si="132"/>
        <v>9371.6565665872513</v>
      </c>
      <c r="CR38" s="2">
        <f t="shared" si="132"/>
        <v>10975.821330287084</v>
      </c>
      <c r="CS38" s="2">
        <f t="shared" si="132"/>
        <v>13405.708668066341</v>
      </c>
      <c r="CT38" s="2">
        <f t="shared" si="132"/>
        <v>15304.475846126359</v>
      </c>
      <c r="CU38" s="2">
        <f t="shared" si="132"/>
        <v>18118.76672631258</v>
      </c>
      <c r="CV38" s="2">
        <f t="shared" si="132"/>
        <v>20352.879693428924</v>
      </c>
      <c r="CW38" s="2">
        <f t="shared" si="132"/>
        <v>23601.966900356911</v>
      </c>
      <c r="CX38" s="2"/>
    </row>
    <row r="39" spans="2:179" x14ac:dyDescent="0.25">
      <c r="B39" s="2" t="s">
        <v>33</v>
      </c>
      <c r="G39" s="5">
        <v>545</v>
      </c>
      <c r="H39" s="5">
        <v>684</v>
      </c>
      <c r="I39" s="5">
        <v>35</v>
      </c>
      <c r="J39" s="5">
        <v>571</v>
      </c>
      <c r="K39" s="5">
        <v>1548</v>
      </c>
      <c r="L39" s="5">
        <v>0</v>
      </c>
      <c r="M39" s="5">
        <v>0</v>
      </c>
      <c r="N39" s="5">
        <v>0</v>
      </c>
      <c r="O39" s="3">
        <v>0</v>
      </c>
      <c r="P39" s="3">
        <v>0</v>
      </c>
      <c r="Q39" s="3">
        <v>0</v>
      </c>
      <c r="R39" s="3">
        <v>128</v>
      </c>
      <c r="S39" s="3">
        <v>0</v>
      </c>
      <c r="T39" s="3">
        <v>0</v>
      </c>
      <c r="U39" s="3">
        <v>0</v>
      </c>
      <c r="W39" s="3">
        <v>301</v>
      </c>
      <c r="X39" s="3">
        <v>255</v>
      </c>
      <c r="Y39" s="3">
        <v>304</v>
      </c>
      <c r="Z39" s="3">
        <v>671</v>
      </c>
      <c r="BB39" s="36">
        <v>176.14</v>
      </c>
      <c r="BC39" s="28">
        <v>192</v>
      </c>
      <c r="BD39" s="36">
        <v>336</v>
      </c>
      <c r="BE39" s="36">
        <v>376</v>
      </c>
      <c r="BF39" s="36">
        <v>502</v>
      </c>
      <c r="BG39" s="36">
        <v>1235</v>
      </c>
      <c r="BH39" s="36">
        <v>1315</v>
      </c>
      <c r="BI39" s="36">
        <v>2072</v>
      </c>
      <c r="BJ39" s="36">
        <v>2777</v>
      </c>
      <c r="BK39" s="36">
        <v>3714</v>
      </c>
      <c r="BL39" s="28">
        <v>3069</v>
      </c>
      <c r="BM39" s="36">
        <v>3914</v>
      </c>
      <c r="BN39" s="36">
        <v>4606</v>
      </c>
      <c r="BO39" s="28">
        <v>892</v>
      </c>
      <c r="BP39" s="28">
        <v>1087</v>
      </c>
      <c r="BQ39" s="2">
        <v>1801</v>
      </c>
      <c r="BR39" s="2">
        <v>2901</v>
      </c>
      <c r="BS39" s="2">
        <v>3946</v>
      </c>
      <c r="BT39" s="28">
        <v>2024</v>
      </c>
      <c r="BU39" s="2">
        <v>2190</v>
      </c>
      <c r="BV39" s="28">
        <v>2394</v>
      </c>
      <c r="BW39" s="28">
        <v>1335</v>
      </c>
      <c r="BX39" s="2">
        <v>4581</v>
      </c>
      <c r="BY39" s="2">
        <v>4839</v>
      </c>
      <c r="BZ39" s="2">
        <v>3868</v>
      </c>
      <c r="CA39" s="2">
        <v>2991</v>
      </c>
      <c r="CB39" s="2">
        <v>4097</v>
      </c>
      <c r="CC39" s="2">
        <v>2792</v>
      </c>
      <c r="CD39" s="2">
        <v>2620</v>
      </c>
      <c r="CE39" s="2">
        <v>0</v>
      </c>
      <c r="CF39" s="2">
        <v>2264</v>
      </c>
      <c r="CG39" s="2">
        <v>3010</v>
      </c>
      <c r="CH39" s="2">
        <v>4179</v>
      </c>
      <c r="CI39" s="2">
        <v>1835</v>
      </c>
      <c r="CJ39" s="2">
        <v>-249</v>
      </c>
      <c r="CK39" s="2">
        <f>SUM(O39:R39)</f>
        <v>128</v>
      </c>
      <c r="CL39" s="2">
        <f>SUM(S39:V39)</f>
        <v>0</v>
      </c>
      <c r="CM39" s="2">
        <f t="shared" ref="CM39:CW39" si="133">+CM38*0.18</f>
        <v>545.54399999999919</v>
      </c>
      <c r="CN39" s="2">
        <f t="shared" si="133"/>
        <v>733.65940799999953</v>
      </c>
      <c r="CO39" s="2">
        <f t="shared" si="133"/>
        <v>1037.6757469799998</v>
      </c>
      <c r="CP39" s="2">
        <f t="shared" si="133"/>
        <v>1310.6258175223081</v>
      </c>
      <c r="CQ39" s="2">
        <f t="shared" si="133"/>
        <v>1686.8981819857052</v>
      </c>
      <c r="CR39" s="2">
        <f t="shared" si="133"/>
        <v>1975.6478394516751</v>
      </c>
      <c r="CS39" s="2">
        <f t="shared" si="133"/>
        <v>2413.0275602519414</v>
      </c>
      <c r="CT39" s="2">
        <f t="shared" si="133"/>
        <v>2754.8056523027444</v>
      </c>
      <c r="CU39" s="2">
        <f t="shared" si="133"/>
        <v>3261.3780107362645</v>
      </c>
      <c r="CV39" s="2">
        <f t="shared" si="133"/>
        <v>3663.5183448172061</v>
      </c>
      <c r="CW39" s="2">
        <f t="shared" si="133"/>
        <v>4248.3540420642439</v>
      </c>
    </row>
    <row r="40" spans="2:179" x14ac:dyDescent="0.25">
      <c r="B40" s="2" t="s">
        <v>34</v>
      </c>
      <c r="G40" s="5">
        <f t="shared" ref="G40:N40" si="134">+G38-G39</f>
        <v>5202</v>
      </c>
      <c r="H40" s="5">
        <f t="shared" si="134"/>
        <v>5112</v>
      </c>
      <c r="I40" s="5">
        <f t="shared" si="134"/>
        <v>5158</v>
      </c>
      <c r="J40" s="5">
        <f t="shared" si="134"/>
        <v>4293</v>
      </c>
      <c r="K40" s="5">
        <f t="shared" si="134"/>
        <v>2579</v>
      </c>
      <c r="L40" s="5">
        <f t="shared" si="134"/>
        <v>-732</v>
      </c>
      <c r="M40" s="5">
        <f t="shared" si="134"/>
        <v>627</v>
      </c>
      <c r="N40" s="5">
        <f t="shared" si="134"/>
        <v>-520</v>
      </c>
      <c r="O40" s="5">
        <f t="shared" ref="O40:T40" si="135">+O38-O39</f>
        <v>-1263</v>
      </c>
      <c r="P40" s="5">
        <f t="shared" si="135"/>
        <v>-592</v>
      </c>
      <c r="Q40" s="5">
        <f t="shared" si="135"/>
        <v>955</v>
      </c>
      <c r="R40" s="5">
        <f t="shared" si="135"/>
        <v>1432</v>
      </c>
      <c r="S40" s="5">
        <f t="shared" si="135"/>
        <v>-576</v>
      </c>
      <c r="T40" s="5">
        <f t="shared" si="135"/>
        <v>-941</v>
      </c>
      <c r="U40" s="5">
        <f t="shared" ref="U40:Z40" si="136">+U38-U39</f>
        <v>-3305</v>
      </c>
      <c r="V40" s="5">
        <f t="shared" si="136"/>
        <v>796.15999999999985</v>
      </c>
      <c r="W40" s="5">
        <f t="shared" si="136"/>
        <v>-619</v>
      </c>
      <c r="X40" s="5">
        <f t="shared" si="136"/>
        <v>-1541</v>
      </c>
      <c r="Y40" s="5">
        <f t="shared" si="136"/>
        <v>554</v>
      </c>
      <c r="Z40" s="5">
        <f t="shared" si="136"/>
        <v>-266</v>
      </c>
      <c r="AA40" s="5"/>
      <c r="AB40" s="5"/>
      <c r="AC40" s="5"/>
      <c r="AD40" s="5"/>
      <c r="BB40" s="36">
        <f t="shared" ref="BB40:BC40" si="137">+BB38-BB39</f>
        <v>529.12799999999993</v>
      </c>
      <c r="BC40" s="28">
        <f t="shared" si="137"/>
        <v>487.14800000000014</v>
      </c>
      <c r="BD40" s="36">
        <f t="shared" ref="BD40" si="138">+BD38-BD39</f>
        <v>749.62400000000002</v>
      </c>
      <c r="BE40" s="36">
        <f t="shared" ref="BE40" si="139">+BE38-BE39</f>
        <v>901</v>
      </c>
      <c r="BF40" s="36">
        <f t="shared" ref="BF40" si="140">+BF38-BF39</f>
        <v>1121</v>
      </c>
      <c r="BG40" s="36">
        <f t="shared" ref="BG40:BH40" si="141">+BG38-BG39</f>
        <v>2345</v>
      </c>
      <c r="BH40" s="36">
        <f t="shared" si="141"/>
        <v>2345</v>
      </c>
      <c r="BI40" s="36">
        <f t="shared" ref="BI40" si="142">+BI38-BI39</f>
        <v>3595</v>
      </c>
      <c r="BJ40" s="36">
        <f t="shared" ref="BJ40" si="143">+BJ38-BJ39</f>
        <v>5182</v>
      </c>
      <c r="BK40" s="36">
        <f t="shared" ref="BK40" si="144">+BK38-BK39</f>
        <v>6972</v>
      </c>
      <c r="BL40" s="28">
        <f t="shared" ref="BL40" si="145">+BL38-BL39</f>
        <v>6323</v>
      </c>
      <c r="BM40" s="36">
        <f t="shared" ref="BM40" si="146">+BM38-BM39</f>
        <v>8153</v>
      </c>
      <c r="BN40" s="36">
        <f t="shared" ref="BN40:BQ40" si="147">+BN38-BN39</f>
        <v>8471</v>
      </c>
      <c r="BO40" s="28">
        <f t="shared" si="147"/>
        <v>4293</v>
      </c>
      <c r="BP40" s="28">
        <f t="shared" si="147"/>
        <v>4057</v>
      </c>
      <c r="BQ40" s="2">
        <f t="shared" si="147"/>
        <v>6847</v>
      </c>
      <c r="BR40" s="2">
        <f>+BR38-BR39</f>
        <v>7695</v>
      </c>
      <c r="BS40" s="2">
        <f>+BS38-BS39</f>
        <v>7705</v>
      </c>
      <c r="BT40" s="28">
        <f>+BT38-BT39</f>
        <v>3023</v>
      </c>
      <c r="BU40" s="2">
        <f>+BU38-BU39</f>
        <v>5765</v>
      </c>
      <c r="BV40" s="28">
        <f>+BV38-BV39</f>
        <v>6782</v>
      </c>
      <c r="BW40" s="28">
        <f t="shared" ref="BW40" si="148">+BW38-BW39</f>
        <v>4479</v>
      </c>
      <c r="BX40" s="2">
        <f t="shared" ref="BX40" si="149">+BX38-BX39</f>
        <v>10916</v>
      </c>
      <c r="BY40" s="2">
        <f t="shared" ref="BY40" si="150">+BY38-BY39</f>
        <v>12706</v>
      </c>
      <c r="BZ40" s="2">
        <f t="shared" ref="BZ40" si="151">+BZ38-BZ39</f>
        <v>10984</v>
      </c>
      <c r="CA40" s="2">
        <f>+CA38-CA39</f>
        <v>9680</v>
      </c>
      <c r="CB40" s="2">
        <f>+CB38-CB39</f>
        <v>11882</v>
      </c>
      <c r="CC40" s="2">
        <f>+CC38-CC39</f>
        <v>11724</v>
      </c>
      <c r="CD40" s="2">
        <f t="shared" ref="CD40" si="152">+CD38-CD39</f>
        <v>11990</v>
      </c>
      <c r="CE40" s="2">
        <f>+CE38-CE39</f>
        <v>18262</v>
      </c>
      <c r="CF40" s="2">
        <f>+CF38-CF39</f>
        <v>21106</v>
      </c>
      <c r="CG40" s="2">
        <f>+CG38-CG39</f>
        <v>19902</v>
      </c>
      <c r="CH40" s="2">
        <f>+CH38-CH39</f>
        <v>19193</v>
      </c>
      <c r="CI40" s="2">
        <f t="shared" ref="CI40:CJ40" si="153">+CI38-CI39</f>
        <v>19765</v>
      </c>
      <c r="CJ40" s="2">
        <f t="shared" si="153"/>
        <v>3751</v>
      </c>
      <c r="CK40" s="2">
        <f t="shared" ref="CK40" si="154">+CK38-CK39</f>
        <v>532</v>
      </c>
      <c r="CL40" s="2">
        <f t="shared" ref="CL40" si="155">+CL38-CL39</f>
        <v>-4025.84</v>
      </c>
      <c r="CM40" s="2">
        <f t="shared" ref="CM40" si="156">+CM38-CM39</f>
        <v>2485.2559999999967</v>
      </c>
      <c r="CN40" s="2">
        <f t="shared" ref="CN40" si="157">+CN38-CN39</f>
        <v>3342.2261919999983</v>
      </c>
      <c r="CO40" s="2">
        <f t="shared" ref="CO40" si="158">+CO38-CO39</f>
        <v>4727.1895140199995</v>
      </c>
      <c r="CP40" s="2">
        <f t="shared" ref="CP40" si="159">+CP38-CP39</f>
        <v>5970.628724268292</v>
      </c>
      <c r="CQ40" s="2">
        <f t="shared" ref="CQ40" si="160">+CQ38-CQ39</f>
        <v>7684.7583846015459</v>
      </c>
      <c r="CR40" s="2">
        <f t="shared" ref="CR40" si="161">+CR38-CR39</f>
        <v>9000.1734908354101</v>
      </c>
      <c r="CS40" s="2">
        <f t="shared" ref="CS40" si="162">+CS38-CS39</f>
        <v>10992.6811078144</v>
      </c>
      <c r="CT40" s="2">
        <f t="shared" ref="CT40" si="163">+CT38-CT39</f>
        <v>12549.670193823615</v>
      </c>
      <c r="CU40" s="2">
        <f t="shared" ref="CU40" si="164">+CU38-CU39</f>
        <v>14857.388715576315</v>
      </c>
      <c r="CV40" s="2">
        <f t="shared" ref="CV40" si="165">+CV38-CV39</f>
        <v>16689.361348611717</v>
      </c>
      <c r="CW40" s="2">
        <f t="shared" ref="CW40" si="166">+CW38-CW39</f>
        <v>19353.612858292669</v>
      </c>
      <c r="CX40" s="2">
        <f t="shared" ref="CX40:EC40" si="167">+CW40*(1+$DA$45)</f>
        <v>19547.148986875596</v>
      </c>
      <c r="CY40" s="2">
        <f t="shared" si="167"/>
        <v>19742.620476744352</v>
      </c>
      <c r="CZ40" s="2">
        <f t="shared" si="167"/>
        <v>19940.046681511794</v>
      </c>
      <c r="DA40" s="2">
        <f t="shared" si="167"/>
        <v>20139.447148326912</v>
      </c>
      <c r="DB40" s="2">
        <f t="shared" si="167"/>
        <v>20340.84161981018</v>
      </c>
      <c r="DC40" s="2">
        <f t="shared" si="167"/>
        <v>20544.250036008281</v>
      </c>
      <c r="DD40" s="2">
        <f t="shared" si="167"/>
        <v>20749.692536368366</v>
      </c>
      <c r="DE40" s="2">
        <f t="shared" si="167"/>
        <v>20957.18946173205</v>
      </c>
      <c r="DF40" s="2">
        <f t="shared" si="167"/>
        <v>21166.761356349372</v>
      </c>
      <c r="DG40" s="2">
        <f t="shared" si="167"/>
        <v>21378.428969912868</v>
      </c>
      <c r="DH40" s="2">
        <f t="shared" si="167"/>
        <v>21592.213259611995</v>
      </c>
      <c r="DI40" s="2">
        <f t="shared" si="167"/>
        <v>21808.135392208114</v>
      </c>
      <c r="DJ40" s="2">
        <f t="shared" si="167"/>
        <v>22026.216746130194</v>
      </c>
      <c r="DK40" s="2">
        <f t="shared" si="167"/>
        <v>22246.478913591498</v>
      </c>
      <c r="DL40" s="2">
        <f t="shared" si="167"/>
        <v>22468.943702727414</v>
      </c>
      <c r="DM40" s="2">
        <f t="shared" si="167"/>
        <v>22693.633139754689</v>
      </c>
      <c r="DN40" s="2">
        <f t="shared" si="167"/>
        <v>22920.569471152237</v>
      </c>
      <c r="DO40" s="2">
        <f t="shared" si="167"/>
        <v>23149.775165863761</v>
      </c>
      <c r="DP40" s="2">
        <f t="shared" si="167"/>
        <v>23381.272917522398</v>
      </c>
      <c r="DQ40" s="2">
        <f t="shared" si="167"/>
        <v>23615.085646697622</v>
      </c>
      <c r="DR40" s="2">
        <f t="shared" si="167"/>
        <v>23851.236503164597</v>
      </c>
      <c r="DS40" s="2">
        <f t="shared" si="167"/>
        <v>24089.748868196242</v>
      </c>
      <c r="DT40" s="2">
        <f t="shared" si="167"/>
        <v>24330.646356878206</v>
      </c>
      <c r="DU40" s="2">
        <f t="shared" si="167"/>
        <v>24573.952820446986</v>
      </c>
      <c r="DV40" s="2">
        <f t="shared" si="167"/>
        <v>24819.692348651457</v>
      </c>
      <c r="DW40" s="2">
        <f t="shared" si="167"/>
        <v>25067.889272137971</v>
      </c>
      <c r="DX40" s="2">
        <f t="shared" si="167"/>
        <v>25318.568164859349</v>
      </c>
      <c r="DY40" s="2">
        <f t="shared" si="167"/>
        <v>25571.753846507941</v>
      </c>
      <c r="DZ40" s="2">
        <f t="shared" si="167"/>
        <v>25827.471384973021</v>
      </c>
      <c r="EA40" s="2">
        <f t="shared" si="167"/>
        <v>26085.74609882275</v>
      </c>
      <c r="EB40" s="2">
        <f t="shared" si="167"/>
        <v>26346.603559810977</v>
      </c>
      <c r="EC40" s="2">
        <f t="shared" si="167"/>
        <v>26610.069595409088</v>
      </c>
      <c r="ED40" s="2">
        <f t="shared" ref="ED40:FI40" si="168">+EC40*(1+$DA$45)</f>
        <v>26876.170291363178</v>
      </c>
      <c r="EE40" s="2">
        <f t="shared" si="168"/>
        <v>27144.931994276809</v>
      </c>
      <c r="EF40" s="2">
        <f t="shared" si="168"/>
        <v>27416.381314219576</v>
      </c>
      <c r="EG40" s="2">
        <f t="shared" si="168"/>
        <v>27690.545127361773</v>
      </c>
      <c r="EH40" s="2">
        <f t="shared" si="168"/>
        <v>27967.450578635391</v>
      </c>
      <c r="EI40" s="2">
        <f t="shared" si="168"/>
        <v>28247.125084421747</v>
      </c>
      <c r="EJ40" s="2">
        <f t="shared" si="168"/>
        <v>28529.596335265964</v>
      </c>
      <c r="EK40" s="2">
        <f t="shared" si="168"/>
        <v>28814.892298618623</v>
      </c>
      <c r="EL40" s="2">
        <f t="shared" si="168"/>
        <v>29103.04122160481</v>
      </c>
      <c r="EM40" s="2">
        <f t="shared" si="168"/>
        <v>29394.071633820859</v>
      </c>
      <c r="EN40" s="2">
        <f t="shared" si="168"/>
        <v>29688.012350159068</v>
      </c>
      <c r="EO40" s="2">
        <f t="shared" si="168"/>
        <v>29984.89247366066</v>
      </c>
      <c r="EP40" s="2">
        <f t="shared" si="168"/>
        <v>30284.741398397266</v>
      </c>
      <c r="EQ40" s="2">
        <f t="shared" si="168"/>
        <v>30587.58881238124</v>
      </c>
      <c r="ER40" s="2">
        <f t="shared" si="168"/>
        <v>30893.464700505054</v>
      </c>
      <c r="ES40" s="2">
        <f t="shared" si="168"/>
        <v>31202.399347510105</v>
      </c>
      <c r="ET40" s="2">
        <f t="shared" si="168"/>
        <v>31514.423340985206</v>
      </c>
      <c r="EU40" s="2">
        <f t="shared" si="168"/>
        <v>31829.56757439506</v>
      </c>
      <c r="EV40" s="2">
        <f t="shared" si="168"/>
        <v>32147.863250139009</v>
      </c>
      <c r="EW40" s="2">
        <f t="shared" si="168"/>
        <v>32469.341882640401</v>
      </c>
      <c r="EX40" s="2">
        <f t="shared" si="168"/>
        <v>32794.035301466807</v>
      </c>
      <c r="EY40" s="2">
        <f t="shared" si="168"/>
        <v>33121.975654481474</v>
      </c>
      <c r="EZ40" s="2">
        <f t="shared" si="168"/>
        <v>33453.195411026289</v>
      </c>
      <c r="FA40" s="2">
        <f t="shared" si="168"/>
        <v>33787.727365136554</v>
      </c>
      <c r="FB40" s="2">
        <f t="shared" si="168"/>
        <v>34125.604638787918</v>
      </c>
      <c r="FC40" s="2">
        <f t="shared" si="168"/>
        <v>34466.860685175794</v>
      </c>
      <c r="FD40" s="2">
        <f t="shared" si="168"/>
        <v>34811.529292027553</v>
      </c>
      <c r="FE40" s="2">
        <f t="shared" si="168"/>
        <v>35159.644584947826</v>
      </c>
      <c r="FF40" s="2">
        <f t="shared" si="168"/>
        <v>35511.241030797304</v>
      </c>
      <c r="FG40" s="2">
        <f t="shared" si="168"/>
        <v>35866.353441105275</v>
      </c>
      <c r="FH40" s="2">
        <f t="shared" si="168"/>
        <v>36225.01697551633</v>
      </c>
      <c r="FI40" s="2">
        <f t="shared" si="168"/>
        <v>36587.267145271493</v>
      </c>
      <c r="FJ40" s="2">
        <f t="shared" ref="FJ40:FW40" si="169">+FI40*(1+$DA$45)</f>
        <v>36953.139816724208</v>
      </c>
      <c r="FK40" s="2">
        <f t="shared" si="169"/>
        <v>37322.671214891452</v>
      </c>
      <c r="FL40" s="2">
        <f t="shared" si="169"/>
        <v>37695.897927040365</v>
      </c>
      <c r="FM40" s="2">
        <f t="shared" si="169"/>
        <v>38072.856906310772</v>
      </c>
      <c r="FN40" s="2">
        <f t="shared" si="169"/>
        <v>38453.585475373882</v>
      </c>
      <c r="FO40" s="2">
        <f t="shared" si="169"/>
        <v>38838.121330127622</v>
      </c>
      <c r="FP40" s="2">
        <f t="shared" si="169"/>
        <v>39226.502543428898</v>
      </c>
      <c r="FQ40" s="2">
        <f t="shared" si="169"/>
        <v>39618.767568863186</v>
      </c>
      <c r="FR40" s="2">
        <f t="shared" si="169"/>
        <v>40014.95524455182</v>
      </c>
      <c r="FS40" s="2">
        <f t="shared" si="169"/>
        <v>40415.104796997337</v>
      </c>
      <c r="FT40" s="2">
        <f t="shared" si="169"/>
        <v>40819.255844967309</v>
      </c>
      <c r="FU40" s="2">
        <f t="shared" si="169"/>
        <v>41227.44840341698</v>
      </c>
      <c r="FV40" s="2">
        <f t="shared" si="169"/>
        <v>41639.722887451149</v>
      </c>
      <c r="FW40" s="2">
        <f t="shared" si="169"/>
        <v>42056.120116325663</v>
      </c>
    </row>
    <row r="41" spans="2:179" x14ac:dyDescent="0.25">
      <c r="B41" s="2" t="s">
        <v>35</v>
      </c>
      <c r="G41" s="16">
        <f t="shared" ref="G41:N41" si="170">+G40/G42</f>
        <v>1.27001953125</v>
      </c>
      <c r="H41" s="16">
        <f t="shared" si="170"/>
        <v>1.2517140058765917</v>
      </c>
      <c r="I41" s="16">
        <f t="shared" si="170"/>
        <v>1.2623592755751345</v>
      </c>
      <c r="J41" s="16">
        <f t="shared" si="170"/>
        <v>1.0483516483516484</v>
      </c>
      <c r="K41" s="16">
        <f t="shared" si="170"/>
        <v>0.62795227660092523</v>
      </c>
      <c r="L41" s="16">
        <f t="shared" si="170"/>
        <v>-0.17853658536585365</v>
      </c>
      <c r="M41" s="16">
        <f t="shared" si="170"/>
        <v>0.152</v>
      </c>
      <c r="N41" s="16">
        <f t="shared" si="170"/>
        <v>-0.12581659811275103</v>
      </c>
      <c r="O41" s="16">
        <f t="shared" ref="O41:Z41" si="171">+O40/O42</f>
        <v>-0.3040442946557535</v>
      </c>
      <c r="P41" s="16">
        <f t="shared" si="171"/>
        <v>-0.14108674928503337</v>
      </c>
      <c r="Q41" s="16">
        <f t="shared" si="171"/>
        <v>0.22582170725939937</v>
      </c>
      <c r="R41" s="16">
        <f t="shared" si="171"/>
        <v>0.33615023474178402</v>
      </c>
      <c r="S41" s="16">
        <f t="shared" si="171"/>
        <v>-0.13578500707213578</v>
      </c>
      <c r="T41" s="16">
        <f t="shared" si="171"/>
        <v>-0.22052964612139678</v>
      </c>
      <c r="U41" s="16">
        <f t="shared" si="171"/>
        <v>-0.77003727865796834</v>
      </c>
      <c r="V41" s="16">
        <f t="shared" si="171"/>
        <v>0.18549860205032614</v>
      </c>
      <c r="W41" s="16">
        <f t="shared" si="171"/>
        <v>-0.14252820630900298</v>
      </c>
      <c r="X41" s="16">
        <f t="shared" si="171"/>
        <v>-0.35271229114213781</v>
      </c>
      <c r="Y41" s="16">
        <f t="shared" si="171"/>
        <v>0.1222688148311631</v>
      </c>
      <c r="Z41" s="16">
        <f t="shared" si="171"/>
        <v>-5.4777594728171335E-2</v>
      </c>
      <c r="AA41" s="16"/>
      <c r="AB41" s="16"/>
      <c r="AC41" s="16"/>
      <c r="AD41" s="16"/>
      <c r="BB41" s="38">
        <f t="shared" ref="BB41:BD41" si="172">+BB40/BB42</f>
        <v>9.164001839977387E-2</v>
      </c>
      <c r="BC41" s="30">
        <f t="shared" si="172"/>
        <v>8.0641679644873898E-2</v>
      </c>
      <c r="BD41" s="38">
        <f t="shared" si="172"/>
        <v>0.11544839855897414</v>
      </c>
      <c r="BE41" s="38">
        <f>+BE40/BE42</f>
        <v>0.1347188995215311</v>
      </c>
      <c r="BF41" s="38">
        <f t="shared" ref="BF41:BI41" si="173">+BF40/BF42</f>
        <v>0.16331585081585082</v>
      </c>
      <c r="BG41" s="38">
        <f t="shared" si="173"/>
        <v>0.33234126984126983</v>
      </c>
      <c r="BH41" s="38">
        <f t="shared" si="173"/>
        <v>0.33538329519450799</v>
      </c>
      <c r="BI41" s="38">
        <f t="shared" si="173"/>
        <v>0.50834276018099545</v>
      </c>
      <c r="BJ41" s="38">
        <f t="shared" ref="BJ41" si="174">+BJ40/BJ42</f>
        <v>0.72944819819819817</v>
      </c>
      <c r="BK41" s="38">
        <f t="shared" ref="BK41" si="175">+BK40/BK42</f>
        <v>0.97103064066852363</v>
      </c>
      <c r="BL41" s="30">
        <f t="shared" ref="BL41" si="176">+BL40/BL42</f>
        <v>0.89891953369348876</v>
      </c>
      <c r="BM41" s="38">
        <f t="shared" ref="BM41" si="177">+BM40/BM42</f>
        <v>1.1747838616714696</v>
      </c>
      <c r="BN41" s="38">
        <f t="shared" ref="BN41:BQ41" si="178">+BN40/BN42</f>
        <v>1.2125679931291153</v>
      </c>
      <c r="BO41" s="30">
        <f t="shared" si="178"/>
        <v>0.62407326646314876</v>
      </c>
      <c r="BP41" s="30">
        <f t="shared" si="178"/>
        <v>0.60023672140849238</v>
      </c>
      <c r="BQ41" s="1">
        <f t="shared" si="178"/>
        <v>1.0341338166440115</v>
      </c>
      <c r="BR41" s="1">
        <f>+BR40/BR42</f>
        <v>1.184939944564213</v>
      </c>
      <c r="BS41" s="1">
        <f>+BS40/BS42</f>
        <v>1.2471673680802848</v>
      </c>
      <c r="BT41" s="30">
        <f>+BT40/BT42</f>
        <v>0.51411564625850337</v>
      </c>
      <c r="BU41" s="1">
        <f>+BU40/BU42</f>
        <v>0.97119272237196763</v>
      </c>
      <c r="BV41" s="30">
        <f>+BV40/BV42</f>
        <v>1.1798886569241476</v>
      </c>
      <c r="BW41" s="30">
        <f t="shared" ref="BW41" si="179">+BW40/BW42</f>
        <v>0.79344552701505755</v>
      </c>
      <c r="BX41" s="1">
        <f t="shared" ref="BX41" si="180">+BX40/BX42</f>
        <v>1.916432584269663</v>
      </c>
      <c r="BY41" s="1">
        <f t="shared" ref="BY41" si="181">+BY40/BY42</f>
        <v>2.3481796340787287</v>
      </c>
      <c r="BZ41" s="1">
        <f t="shared" ref="BZ41" si="182">+BZ40/BZ42</f>
        <v>2.1286821705426355</v>
      </c>
      <c r="CA41" s="1">
        <f>+CA40/CA42</f>
        <v>1.8991563664900921</v>
      </c>
      <c r="CB41" s="1">
        <f t="shared" ref="CB41:CD41" si="183">+CB40/CB42</f>
        <v>2.3500791139240507</v>
      </c>
      <c r="CC41" s="1">
        <f t="shared" si="183"/>
        <v>2.3955864323661626</v>
      </c>
      <c r="CD41" s="1">
        <f t="shared" si="183"/>
        <v>2.4594871794871795</v>
      </c>
      <c r="CE41" s="1">
        <f>+CE40/CE42</f>
        <v>3.7770423991726991</v>
      </c>
      <c r="CF41" s="1">
        <f>+CF40/CF42</f>
        <v>4.4896830461603914</v>
      </c>
      <c r="CG41" s="1">
        <f>+CG40/CG42</f>
        <v>4.4493628437290411</v>
      </c>
      <c r="CH41" s="1">
        <f>+CH40/CH42</f>
        <v>4.5352079395085063</v>
      </c>
      <c r="CI41" s="1">
        <f t="shared" ref="CI41:CK41" si="184">+CI40/CI42</f>
        <v>4.8325183374083132</v>
      </c>
      <c r="CJ41" s="1">
        <f t="shared" si="184"/>
        <v>0.90977443609022557</v>
      </c>
      <c r="CK41" s="1">
        <f t="shared" si="184"/>
        <v>0.12637330007720174</v>
      </c>
      <c r="CL41" s="1">
        <f t="shared" ref="CL41" si="185">+CL40/CL42</f>
        <v>-0.94210261510559878</v>
      </c>
      <c r="CM41" s="1">
        <f t="shared" ref="CM41" si="186">+CM40/CM42</f>
        <v>0.58158450827824182</v>
      </c>
      <c r="CN41" s="1">
        <f t="shared" ref="CN41" si="187">+CN40/CN42</f>
        <v>0.78212746551219758</v>
      </c>
      <c r="CO41" s="1">
        <f t="shared" ref="CO41" si="188">+CO40/CO42</f>
        <v>1.1062281668566079</v>
      </c>
      <c r="CP41" s="1">
        <f t="shared" ref="CP41" si="189">+CP40/CP42</f>
        <v>1.3972102554889818</v>
      </c>
      <c r="CQ41" s="1">
        <f t="shared" ref="CQ41" si="190">+CQ40/CQ42</f>
        <v>1.7983404632543254</v>
      </c>
      <c r="CR41" s="1">
        <f t="shared" ref="CR41" si="191">+CR40/CR42</f>
        <v>2.1061659137273527</v>
      </c>
      <c r="CS41" s="1">
        <f t="shared" ref="CS41" si="192">+CS40/CS42</f>
        <v>2.572440439434716</v>
      </c>
      <c r="CT41" s="1">
        <f t="shared" ref="CT41" si="193">+CT40/CT42</f>
        <v>2.9367975648098321</v>
      </c>
      <c r="CU41" s="1">
        <f t="shared" ref="CU41" si="194">+CU40/CU42</f>
        <v>3.4768358311768126</v>
      </c>
      <c r="CV41" s="1">
        <f t="shared" ref="CV41" si="195">+CV40/CV42</f>
        <v>3.9055429353797968</v>
      </c>
      <c r="CW41" s="1">
        <f t="shared" ref="CW41" si="196">+CW40/CW42</f>
        <v>4.5290148852261556</v>
      </c>
    </row>
    <row r="42" spans="2:179" x14ac:dyDescent="0.25">
      <c r="B42" s="2" t="s">
        <v>1</v>
      </c>
      <c r="G42" s="5">
        <v>4096</v>
      </c>
      <c r="H42" s="5">
        <v>4084</v>
      </c>
      <c r="I42" s="5">
        <v>4086</v>
      </c>
      <c r="J42" s="5">
        <v>4095</v>
      </c>
      <c r="K42" s="5">
        <v>4107</v>
      </c>
      <c r="L42" s="5">
        <v>4100</v>
      </c>
      <c r="M42" s="5">
        <v>4125</v>
      </c>
      <c r="N42" s="5">
        <v>4133</v>
      </c>
      <c r="O42" s="5">
        <v>4154</v>
      </c>
      <c r="P42" s="5">
        <v>4196</v>
      </c>
      <c r="Q42" s="5">
        <v>4229</v>
      </c>
      <c r="R42" s="5">
        <v>4260</v>
      </c>
      <c r="S42" s="5">
        <v>4242</v>
      </c>
      <c r="T42" s="5">
        <v>4267</v>
      </c>
      <c r="U42" s="5">
        <v>4292</v>
      </c>
      <c r="V42" s="5">
        <f>+U42</f>
        <v>4292</v>
      </c>
      <c r="W42" s="5">
        <v>4343</v>
      </c>
      <c r="X42" s="5">
        <v>4369</v>
      </c>
      <c r="Y42" s="5">
        <v>4531</v>
      </c>
      <c r="Z42" s="5">
        <v>4856</v>
      </c>
      <c r="AA42" s="5"/>
      <c r="AB42" s="5"/>
      <c r="AC42" s="5"/>
      <c r="AD42" s="5"/>
      <c r="BB42" s="36">
        <f>180.437*32</f>
        <v>5773.9840000000004</v>
      </c>
      <c r="BC42" s="28">
        <f>188.778*32</f>
        <v>6040.8959999999997</v>
      </c>
      <c r="BD42" s="36">
        <f>202.911*32</f>
        <v>6493.152</v>
      </c>
      <c r="BE42" s="36">
        <f>418*16</f>
        <v>6688</v>
      </c>
      <c r="BF42" s="36">
        <f>429*16</f>
        <v>6864</v>
      </c>
      <c r="BG42" s="36">
        <f>441*16</f>
        <v>7056</v>
      </c>
      <c r="BH42" s="36">
        <f>874*8</f>
        <v>6992</v>
      </c>
      <c r="BI42" s="36">
        <f>884*8</f>
        <v>7072</v>
      </c>
      <c r="BJ42" s="36">
        <f>888*8</f>
        <v>7104</v>
      </c>
      <c r="BK42" s="36">
        <f>3590*2</f>
        <v>7180</v>
      </c>
      <c r="BL42" s="28">
        <f>3517*2</f>
        <v>7034</v>
      </c>
      <c r="BM42" s="36">
        <f>3470*2</f>
        <v>6940</v>
      </c>
      <c r="BN42" s="36">
        <v>6986</v>
      </c>
      <c r="BO42" s="28">
        <v>6879</v>
      </c>
      <c r="BP42" s="28">
        <v>6759</v>
      </c>
      <c r="BQ42" s="2">
        <v>6621</v>
      </c>
      <c r="BR42" s="2">
        <v>6494</v>
      </c>
      <c r="BS42" s="2">
        <v>6178</v>
      </c>
      <c r="BT42" s="28">
        <v>5880</v>
      </c>
      <c r="BU42" s="2">
        <v>5936</v>
      </c>
      <c r="BV42" s="28">
        <v>5748</v>
      </c>
      <c r="BW42" s="28">
        <v>5645</v>
      </c>
      <c r="BX42" s="2">
        <v>5696</v>
      </c>
      <c r="BY42" s="2">
        <v>5411</v>
      </c>
      <c r="BZ42" s="2">
        <v>5160</v>
      </c>
      <c r="CA42" s="2">
        <v>5097</v>
      </c>
      <c r="CB42" s="2">
        <v>5056</v>
      </c>
      <c r="CC42" s="2">
        <v>4894</v>
      </c>
      <c r="CD42" s="2">
        <v>4875</v>
      </c>
      <c r="CE42" s="2">
        <v>4835</v>
      </c>
      <c r="CF42" s="2">
        <v>4701</v>
      </c>
      <c r="CG42" s="2">
        <v>4473</v>
      </c>
      <c r="CH42" s="2">
        <v>4232</v>
      </c>
      <c r="CI42" s="2">
        <v>4090</v>
      </c>
      <c r="CJ42" s="2">
        <v>4123</v>
      </c>
      <c r="CK42" s="2">
        <f>AVERAGE(O42:R42)</f>
        <v>4209.75</v>
      </c>
      <c r="CL42" s="2">
        <f>AVERAGE(S42:V42)</f>
        <v>4273.25</v>
      </c>
      <c r="CM42" s="2">
        <f t="shared" ref="CM42:CW42" si="197">+CL42</f>
        <v>4273.25</v>
      </c>
      <c r="CN42" s="2">
        <f t="shared" si="197"/>
        <v>4273.25</v>
      </c>
      <c r="CO42" s="2">
        <f t="shared" si="197"/>
        <v>4273.25</v>
      </c>
      <c r="CP42" s="2">
        <f t="shared" si="197"/>
        <v>4273.25</v>
      </c>
      <c r="CQ42" s="2">
        <f t="shared" si="197"/>
        <v>4273.25</v>
      </c>
      <c r="CR42" s="2">
        <f t="shared" si="197"/>
        <v>4273.25</v>
      </c>
      <c r="CS42" s="2">
        <f t="shared" si="197"/>
        <v>4273.25</v>
      </c>
      <c r="CT42" s="2">
        <f t="shared" si="197"/>
        <v>4273.25</v>
      </c>
      <c r="CU42" s="2">
        <f t="shared" si="197"/>
        <v>4273.25</v>
      </c>
      <c r="CV42" s="2">
        <f t="shared" si="197"/>
        <v>4273.25</v>
      </c>
      <c r="CW42" s="2">
        <f t="shared" si="197"/>
        <v>4273.25</v>
      </c>
    </row>
    <row r="43" spans="2:179" x14ac:dyDescent="0.25">
      <c r="CN43" s="4"/>
      <c r="CZ43" t="s">
        <v>71</v>
      </c>
      <c r="DA43" s="4">
        <v>0.08</v>
      </c>
    </row>
    <row r="44" spans="2:179" s="12" customFormat="1" ht="13" x14ac:dyDescent="0.3">
      <c r="B44" s="12" t="s">
        <v>24</v>
      </c>
      <c r="C44" s="14"/>
      <c r="D44" s="14"/>
      <c r="E44" s="14"/>
      <c r="F44" s="14"/>
      <c r="G44" s="14"/>
      <c r="H44" s="14"/>
      <c r="I44" s="14"/>
      <c r="J44" s="14"/>
      <c r="K44" s="17">
        <f t="shared" ref="K44:M44" si="198">+K30/G30-1</f>
        <v>-6.7097036547552502E-2</v>
      </c>
      <c r="L44" s="17">
        <f t="shared" si="198"/>
        <v>-0.2195507106107687</v>
      </c>
      <c r="M44" s="17">
        <f t="shared" si="198"/>
        <v>-0.20081283868278454</v>
      </c>
      <c r="N44" s="17">
        <f>+N30/J30-1</f>
        <v>-0.31595869056897896</v>
      </c>
      <c r="O44" s="17">
        <f t="shared" ref="O44" si="199">+O30/K30-1</f>
        <v>-0.36168473818994173</v>
      </c>
      <c r="P44" s="17">
        <f t="shared" ref="P44" si="200">+P30/L30-1</f>
        <v>-0.15482018145029697</v>
      </c>
      <c r="Q44" s="17">
        <f t="shared" ref="Q44" si="201">+Q30/M30-1</f>
        <v>-7.6933107315164895E-2</v>
      </c>
      <c r="R44" s="17">
        <f t="shared" ref="R44:Z44" si="202">+R30/N30-1</f>
        <v>9.7137159948725182E-2</v>
      </c>
      <c r="S44" s="17">
        <f t="shared" si="202"/>
        <v>8.6128894579598825E-2</v>
      </c>
      <c r="T44" s="17">
        <f t="shared" si="202"/>
        <v>-8.9582207120241231E-3</v>
      </c>
      <c r="U44" s="17">
        <f t="shared" si="202"/>
        <v>-6.1731883034326862E-2</v>
      </c>
      <c r="V44" s="17">
        <f t="shared" si="202"/>
        <v>-9.9999999999999978E-2</v>
      </c>
      <c r="W44" s="17">
        <f t="shared" si="202"/>
        <v>-4.4797233574347395E-3</v>
      </c>
      <c r="X44" s="17">
        <f t="shared" si="202"/>
        <v>2.0260266500429225E-3</v>
      </c>
      <c r="Y44" s="17">
        <f t="shared" si="202"/>
        <v>2.7777777777777679E-2</v>
      </c>
      <c r="Z44" s="17">
        <f t="shared" si="202"/>
        <v>-1.3804145570989634E-2</v>
      </c>
      <c r="AA44" s="17"/>
      <c r="AB44" s="17"/>
      <c r="AC44" s="17"/>
      <c r="AD44" s="17"/>
      <c r="AI44" s="40"/>
      <c r="AJ44" s="39">
        <f t="shared" ref="AJ44:AN44" si="203">+AJ30/AI30-1</f>
        <v>6.0000000000000009</v>
      </c>
      <c r="AK44" s="39">
        <f t="shared" si="203"/>
        <v>1.2380952380952381</v>
      </c>
      <c r="AL44" s="39">
        <f t="shared" si="203"/>
        <v>1.4893617021276593</v>
      </c>
      <c r="AM44" s="39">
        <f t="shared" si="203"/>
        <v>1.8290598290598292</v>
      </c>
      <c r="AN44" s="39">
        <f t="shared" si="203"/>
        <v>1.0317220543806647</v>
      </c>
      <c r="AO44" s="31">
        <f t="shared" ref="AO44:AR44" si="204">+AO30/AN30-1</f>
        <v>1.7100371747212018E-2</v>
      </c>
      <c r="AP44" s="39">
        <f t="shared" si="204"/>
        <v>0.65204678362573087</v>
      </c>
      <c r="AQ44" s="39">
        <f t="shared" si="204"/>
        <v>0.25</v>
      </c>
      <c r="AR44" s="39">
        <f t="shared" si="204"/>
        <v>0.41238938053097351</v>
      </c>
      <c r="AS44" s="39">
        <f t="shared" ref="AS44:BA44" si="205">+AS30/AR30-1</f>
        <v>0.65664160401002514</v>
      </c>
      <c r="AT44" s="39">
        <f t="shared" si="205"/>
        <v>0.29349470499243568</v>
      </c>
      <c r="AU44" s="31">
        <f t="shared" si="205"/>
        <v>-7.7192982456140369E-2</v>
      </c>
      <c r="AV44" s="39">
        <f t="shared" si="205"/>
        <v>0.14068441064638781</v>
      </c>
      <c r="AW44" s="39">
        <f t="shared" si="205"/>
        <v>0.24666666666666659</v>
      </c>
      <c r="AX44" s="39">
        <f t="shared" si="205"/>
        <v>0.45187165775401072</v>
      </c>
      <c r="AY44" s="31">
        <f t="shared" si="205"/>
        <v>-0.16206261510128916</v>
      </c>
      <c r="AZ44" s="31">
        <f t="shared" si="205"/>
        <v>-7.3260073260073222E-2</v>
      </c>
      <c r="BA44" s="39">
        <f t="shared" si="205"/>
        <v>0.50750988142292486</v>
      </c>
      <c r="BB44" s="39">
        <f t="shared" ref="BB44:BH44" si="206">+BB30/BA30-1</f>
        <v>0.50748243314105923</v>
      </c>
      <c r="BC44" s="31">
        <f t="shared" si="206"/>
        <v>8.7681479798898732E-2</v>
      </c>
      <c r="BD44" s="39">
        <f t="shared" si="206"/>
        <v>0.25407209147402487</v>
      </c>
      <c r="BE44" s="39">
        <f t="shared" si="206"/>
        <v>0.21873656367802918</v>
      </c>
      <c r="BF44" s="39">
        <f t="shared" si="206"/>
        <v>0.22284996861268058</v>
      </c>
      <c r="BG44" s="39">
        <f t="shared" si="206"/>
        <v>0.50273785078713207</v>
      </c>
      <c r="BH44" s="39">
        <f t="shared" si="206"/>
        <v>0.31188795263038038</v>
      </c>
      <c r="BI44" s="39">
        <f t="shared" ref="BI44:BT44" si="207">+BI30/BH30-1</f>
        <v>0.40630153632497179</v>
      </c>
      <c r="BJ44" s="39">
        <f t="shared" si="207"/>
        <v>0.28669300086409089</v>
      </c>
      <c r="BK44" s="39">
        <f t="shared" si="207"/>
        <v>0.20257111334964262</v>
      </c>
      <c r="BL44" s="31">
        <f t="shared" si="207"/>
        <v>4.7985640207419245E-2</v>
      </c>
      <c r="BM44" s="39">
        <f t="shared" si="207"/>
        <v>0.11860084497392753</v>
      </c>
      <c r="BN44" s="39">
        <f t="shared" si="207"/>
        <v>0.14757222089897581</v>
      </c>
      <c r="BO44" s="31">
        <f t="shared" si="207"/>
        <v>-0.21309968570242543</v>
      </c>
      <c r="BP44" s="31">
        <f t="shared" si="207"/>
        <v>8.4780888503710461E-3</v>
      </c>
      <c r="BQ44" s="15">
        <f t="shared" si="207"/>
        <v>0.12617695411747132</v>
      </c>
      <c r="BR44" s="15">
        <f t="shared" si="207"/>
        <v>0.13496566139146005</v>
      </c>
      <c r="BS44" s="15">
        <f t="shared" si="207"/>
        <v>0.13496448303078146</v>
      </c>
      <c r="BT44" s="31">
        <f t="shared" si="207"/>
        <v>-8.8703446144336229E-2</v>
      </c>
      <c r="BU44" s="15">
        <f>+BU30/BT30-1</f>
        <v>8.3432253688316083E-2</v>
      </c>
      <c r="BV44" s="31">
        <f>+BV30/BU30-1</f>
        <v>-1.9512704126884772E-2</v>
      </c>
      <c r="BW44" s="31">
        <f>+BW30/BV30-1</f>
        <v>-6.5423295908050849E-2</v>
      </c>
      <c r="BX44" s="15">
        <f>+BX30/BW30-1</f>
        <v>0.2418652318729182</v>
      </c>
      <c r="BY44" s="15">
        <f t="shared" ref="BY44:CA44" si="208">+BY30/BX30-1</f>
        <v>0.2378561767874745</v>
      </c>
      <c r="BZ44" s="15">
        <f t="shared" si="208"/>
        <v>-1.2185410840941491E-2</v>
      </c>
      <c r="CA44" s="15">
        <f t="shared" si="208"/>
        <v>-1.1867044112408798E-2</v>
      </c>
      <c r="CB44" s="15">
        <f t="shared" ref="CB44:CJ44" si="209">+CB30/CA30-1</f>
        <v>5.9990893223040187E-2</v>
      </c>
      <c r="CC44" s="15">
        <f t="shared" si="209"/>
        <v>-9.2178270986218447E-3</v>
      </c>
      <c r="CD44" s="15">
        <f t="shared" si="209"/>
        <v>7.283894860446205E-2</v>
      </c>
      <c r="CE44" s="15">
        <f t="shared" si="209"/>
        <v>5.6813780793776525E-2</v>
      </c>
      <c r="CF44" s="15">
        <f t="shared" si="209"/>
        <v>0.12885390608817571</v>
      </c>
      <c r="CG44" s="15">
        <f t="shared" si="209"/>
        <v>1.576614724480585E-2</v>
      </c>
      <c r="CH44" s="15">
        <f t="shared" si="209"/>
        <v>8.2012089210032668E-2</v>
      </c>
      <c r="CI44" s="15">
        <f t="shared" si="209"/>
        <v>1.4858669269395275E-2</v>
      </c>
      <c r="CJ44" s="15">
        <f t="shared" si="209"/>
        <v>-0.20209050415063778</v>
      </c>
      <c r="CK44" s="15">
        <f t="shared" ref="CK44:CW44" si="210">+CK30/CJ30-1</f>
        <v>-0.13997525930155108</v>
      </c>
      <c r="CL44" s="15">
        <f t="shared" si="210"/>
        <v>-2.8059305156007963E-2</v>
      </c>
      <c r="CM44" s="15">
        <f t="shared" si="210"/>
        <v>2.7814458965134126E-3</v>
      </c>
      <c r="CN44" s="15">
        <f t="shared" si="210"/>
        <v>5.0000000000000044E-2</v>
      </c>
      <c r="CO44" s="15">
        <f t="shared" si="210"/>
        <v>5.0000000000000044E-2</v>
      </c>
      <c r="CP44" s="15">
        <f t="shared" si="210"/>
        <v>5.0000000000000044E-2</v>
      </c>
      <c r="CQ44" s="15">
        <f t="shared" si="210"/>
        <v>5.0000000000000044E-2</v>
      </c>
      <c r="CR44" s="15">
        <f t="shared" si="210"/>
        <v>5.0000000000000044E-2</v>
      </c>
      <c r="CS44" s="15">
        <f t="shared" si="210"/>
        <v>5.0000000000000044E-2</v>
      </c>
      <c r="CT44" s="15">
        <f t="shared" si="210"/>
        <v>5.0000000000000044E-2</v>
      </c>
      <c r="CU44" s="15">
        <f t="shared" si="210"/>
        <v>5.0000000000000044E-2</v>
      </c>
      <c r="CV44" s="15">
        <f t="shared" si="210"/>
        <v>5.0000000000000044E-2</v>
      </c>
      <c r="CW44" s="15">
        <f t="shared" si="210"/>
        <v>5.0000000000000044E-2</v>
      </c>
      <c r="CZ44" t="s">
        <v>72</v>
      </c>
      <c r="DA44" s="4">
        <v>0.03</v>
      </c>
    </row>
    <row r="45" spans="2:179" s="12" customFormat="1" ht="13" x14ac:dyDescent="0.3">
      <c r="B45" s="12" t="s">
        <v>101</v>
      </c>
      <c r="C45" s="14"/>
      <c r="D45" s="14"/>
      <c r="E45" s="14"/>
      <c r="F45" s="14"/>
      <c r="G45" s="14"/>
      <c r="H45" s="14"/>
      <c r="I45" s="14"/>
      <c r="J45" s="14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I45" s="40"/>
      <c r="AJ45" s="40"/>
      <c r="AK45" s="40"/>
      <c r="AL45" s="40"/>
      <c r="AM45" s="40"/>
      <c r="AN45" s="40"/>
      <c r="AO45" s="33"/>
      <c r="AP45" s="40"/>
      <c r="AQ45" s="40"/>
      <c r="AR45" s="40"/>
      <c r="AS45" s="40"/>
      <c r="AT45" s="40"/>
      <c r="AU45" s="33"/>
      <c r="AV45" s="40"/>
      <c r="AW45" s="40"/>
      <c r="AX45" s="40"/>
      <c r="AY45" s="33"/>
      <c r="AZ45" s="33"/>
      <c r="BA45" s="40"/>
      <c r="BB45" s="40"/>
      <c r="BC45" s="33"/>
      <c r="BD45" s="40"/>
      <c r="BE45" s="40"/>
      <c r="BF45" s="40"/>
      <c r="BG45" s="40"/>
      <c r="BH45" s="40"/>
      <c r="BI45" s="40"/>
      <c r="BJ45" s="40"/>
      <c r="BK45" s="40"/>
      <c r="BL45" s="33"/>
      <c r="BM45" s="40"/>
      <c r="BN45" s="40"/>
      <c r="BO45" s="33"/>
      <c r="BP45" s="33"/>
      <c r="BT45" s="31"/>
      <c r="BU45" s="15">
        <f t="shared" ref="BU45:BZ45" si="211">+BU16/BT16-1</f>
        <v>0.13900501672240795</v>
      </c>
      <c r="BV45" s="31">
        <f t="shared" si="211"/>
        <v>6.7351807671132358E-2</v>
      </c>
      <c r="BW45" s="31">
        <f t="shared" si="211"/>
        <v>6.0316368638239304E-2</v>
      </c>
      <c r="BX45" s="15">
        <f t="shared" si="211"/>
        <v>0.13802944801193484</v>
      </c>
      <c r="BY45" s="15">
        <f t="shared" si="211"/>
        <v>4.1208321459105246E-2</v>
      </c>
      <c r="BZ45" s="15">
        <f t="shared" si="211"/>
        <v>-3.9139478870155453E-2</v>
      </c>
      <c r="CA45" s="15">
        <f t="shared" ref="CA45:CJ45" si="212">+CA16/BZ16-1</f>
        <v>-9.8729561898251106E-2</v>
      </c>
      <c r="CB45" s="15">
        <f t="shared" si="212"/>
        <v>-8.5967130214916754E-3</v>
      </c>
      <c r="CC45" s="15">
        <f t="shared" si="212"/>
        <v>-8.2887018617699537E-2</v>
      </c>
      <c r="CD45" s="15">
        <f t="shared" si="212"/>
        <v>-6.2500000000000111E-2</v>
      </c>
      <c r="CE45" s="15">
        <f t="shared" si="212"/>
        <v>-2.6325546903967267E-2</v>
      </c>
      <c r="CF45" s="15">
        <f t="shared" si="212"/>
        <v>-1.1043412033511224E-2</v>
      </c>
      <c r="CG45" s="15">
        <f t="shared" si="212"/>
        <v>1.0974201001155315E-2</v>
      </c>
      <c r="CH45" s="15">
        <f t="shared" si="212"/>
        <v>0.17722338602171006</v>
      </c>
      <c r="CI45" s="15">
        <f t="shared" si="212"/>
        <v>0.10563608127345692</v>
      </c>
      <c r="CJ45" s="15">
        <f t="shared" si="212"/>
        <v>-0.16878822462177745</v>
      </c>
      <c r="CK45" s="15">
        <f>+CK16/CJ16-1</f>
        <v>-0.14842457313853208</v>
      </c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Z45" t="s">
        <v>73</v>
      </c>
      <c r="DA45" s="4">
        <v>0.01</v>
      </c>
    </row>
    <row r="46" spans="2:179" x14ac:dyDescent="0.25">
      <c r="B46" s="2" t="s">
        <v>61</v>
      </c>
      <c r="CD46" s="4">
        <v>1.67E-2</v>
      </c>
      <c r="CE46" s="4">
        <v>2.2599999999999999E-2</v>
      </c>
      <c r="CF46" s="4">
        <v>2.92E-2</v>
      </c>
      <c r="CG46" s="4">
        <v>2.29E-2</v>
      </c>
      <c r="CH46" s="4">
        <v>-3.4000000000000002E-2</v>
      </c>
      <c r="CI46" s="4">
        <v>5.67E-2</v>
      </c>
      <c r="CJ46" s="4">
        <v>0.01</v>
      </c>
      <c r="CZ46" t="s">
        <v>75</v>
      </c>
      <c r="DA46" s="2">
        <f>NPV(DA43,CK40:FW40)+Main!L5-Main!L6</f>
        <v>144400.15874984561</v>
      </c>
    </row>
    <row r="47" spans="2:179" x14ac:dyDescent="0.25">
      <c r="B47" t="s">
        <v>25</v>
      </c>
      <c r="G47" s="19">
        <f t="shared" ref="G47:K47" si="213">+G32/G30</f>
        <v>0.55172063233873836</v>
      </c>
      <c r="H47" s="19">
        <f t="shared" si="213"/>
        <v>0.57083184758799854</v>
      </c>
      <c r="I47" s="19">
        <f t="shared" si="213"/>
        <v>0.55992080033347225</v>
      </c>
      <c r="J47" s="19">
        <f t="shared" si="213"/>
        <v>0.53629189399844113</v>
      </c>
      <c r="K47" s="19">
        <f t="shared" si="213"/>
        <v>0.50367787282733067</v>
      </c>
      <c r="L47" s="19">
        <f t="shared" ref="L47:Q47" si="214">+L32/L30</f>
        <v>0.36466288101298872</v>
      </c>
      <c r="M47" s="19">
        <f t="shared" si="214"/>
        <v>0.42606597991915501</v>
      </c>
      <c r="N47" s="19">
        <f t="shared" si="214"/>
        <v>0.39168209656744052</v>
      </c>
      <c r="O47" s="19">
        <f t="shared" si="214"/>
        <v>0.34212548015364919</v>
      </c>
      <c r="P47" s="19">
        <f t="shared" si="214"/>
        <v>0.35817437639972199</v>
      </c>
      <c r="Q47" s="19">
        <f t="shared" si="214"/>
        <v>0.42506003672835146</v>
      </c>
      <c r="R47" s="19">
        <f>+R32/R30</f>
        <v>0.45741918732961184</v>
      </c>
      <c r="S47" s="19">
        <f>+S32/S30</f>
        <v>0.41001257466205598</v>
      </c>
      <c r="T47" s="19">
        <f>+T32/T30</f>
        <v>0.35432089145172602</v>
      </c>
      <c r="U47" s="19">
        <f>+U32/U30</f>
        <v>0.15033122553447756</v>
      </c>
      <c r="V47" s="19">
        <f>+V32/V30</f>
        <v>0.4</v>
      </c>
      <c r="W47" s="19">
        <f t="shared" ref="W47:Z47" si="215">+W32/W30</f>
        <v>0.36883239914739085</v>
      </c>
      <c r="X47" s="19">
        <f t="shared" si="215"/>
        <v>0.27544910179640719</v>
      </c>
      <c r="Y47" s="19">
        <f t="shared" si="215"/>
        <v>0.38218706511389439</v>
      </c>
      <c r="Z47" s="19">
        <f t="shared" si="215"/>
        <v>0.36148895714494661</v>
      </c>
      <c r="AA47" s="19"/>
      <c r="AB47" s="19"/>
      <c r="AC47" s="19"/>
      <c r="AD47" s="19"/>
      <c r="BS47" s="4">
        <f t="shared" ref="BS47:BZ47" si="216">+BS32/BS30</f>
        <v>0.59364858599907278</v>
      </c>
      <c r="BT47" s="32">
        <f t="shared" si="216"/>
        <v>0.51489457916454695</v>
      </c>
      <c r="BU47" s="4">
        <f t="shared" si="216"/>
        <v>0.51922575259560699</v>
      </c>
      <c r="BV47" s="32">
        <f t="shared" si="216"/>
        <v>0.55456819028361626</v>
      </c>
      <c r="BW47" s="32">
        <f t="shared" si="216"/>
        <v>0.55686508953226865</v>
      </c>
      <c r="BX47" s="4">
        <f t="shared" si="216"/>
        <v>0.65311876762258436</v>
      </c>
      <c r="BY47" s="4">
        <f t="shared" si="216"/>
        <v>0.62514120631863557</v>
      </c>
      <c r="BZ47" s="4">
        <f t="shared" si="216"/>
        <v>0.62149191053786024</v>
      </c>
      <c r="CA47" s="4">
        <f t="shared" ref="CA47" si="217">+CA32/CA30</f>
        <v>0.5980306594824315</v>
      </c>
      <c r="CB47" s="4">
        <f t="shared" ref="CB47" si="218">+CB32/CB30</f>
        <v>0.6373545731161625</v>
      </c>
      <c r="CC47" s="4">
        <f t="shared" ref="CC47:CE47" si="219">+CC32/CC30</f>
        <v>0.62648360581699936</v>
      </c>
      <c r="CD47" s="4">
        <f t="shared" si="219"/>
        <v>0.60940946671830531</v>
      </c>
      <c r="CE47" s="4">
        <f t="shared" si="219"/>
        <v>0.6225044215356671</v>
      </c>
      <c r="CF47" s="4">
        <f t="shared" ref="CF47:CG47" si="220">+CF32/CF30</f>
        <v>0.61733570460704612</v>
      </c>
      <c r="CG47" s="4">
        <f t="shared" si="220"/>
        <v>0.5855624261793928</v>
      </c>
      <c r="CH47" s="4">
        <f>+CH32/CH30</f>
        <v>0.5600832188218372</v>
      </c>
      <c r="CI47" s="4">
        <f>+CI32/CI30</f>
        <v>0.5544518121077141</v>
      </c>
      <c r="CJ47" s="4">
        <f>+CJ32/CJ30</f>
        <v>0.42607923367272499</v>
      </c>
      <c r="CK47" s="21">
        <f t="shared" ref="CK47:CW47" si="221">+CK32/CK30</f>
        <v>0.40036512502766097</v>
      </c>
      <c r="CL47" s="4">
        <f t="shared" si="221"/>
        <v>0.32836923030220239</v>
      </c>
      <c r="CM47" s="4">
        <f t="shared" si="221"/>
        <v>0.48</v>
      </c>
      <c r="CN47" s="4">
        <f t="shared" si="221"/>
        <v>0.48</v>
      </c>
      <c r="CO47" s="4">
        <f t="shared" si="221"/>
        <v>0.49000000000000005</v>
      </c>
      <c r="CP47" s="4">
        <f t="shared" si="221"/>
        <v>0.49</v>
      </c>
      <c r="CQ47" s="4">
        <f t="shared" si="221"/>
        <v>0.5</v>
      </c>
      <c r="CR47" s="4">
        <f t="shared" si="221"/>
        <v>0.5</v>
      </c>
      <c r="CS47" s="4">
        <f t="shared" si="221"/>
        <v>0.51</v>
      </c>
      <c r="CT47" s="4">
        <f t="shared" si="221"/>
        <v>0.51</v>
      </c>
      <c r="CU47" s="4">
        <f t="shared" si="221"/>
        <v>0.52</v>
      </c>
      <c r="CV47" s="4">
        <f t="shared" si="221"/>
        <v>0.52</v>
      </c>
      <c r="CW47" s="4">
        <f t="shared" si="221"/>
        <v>0.53</v>
      </c>
      <c r="CZ47" t="s">
        <v>76</v>
      </c>
      <c r="DA47" s="1">
        <f>+DA46/Main!L3</f>
        <v>31.869379551941208</v>
      </c>
    </row>
    <row r="48" spans="2:179" x14ac:dyDescent="0.25">
      <c r="B48" t="s">
        <v>103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BS48" s="4"/>
      <c r="BT48" s="32"/>
      <c r="BU48" s="4"/>
      <c r="BV48" s="32"/>
      <c r="BW48" s="32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21">
        <v>0.436</v>
      </c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DA48" s="4">
        <f>+DA47/Main!L2-1</f>
        <v>-0.33605459266789151</v>
      </c>
    </row>
    <row r="50" spans="2:105" x14ac:dyDescent="0.25">
      <c r="B50" t="s">
        <v>74</v>
      </c>
      <c r="O50" s="5">
        <f t="shared" ref="O50:U50" si="222">+O51-O60</f>
        <v>-16710</v>
      </c>
      <c r="P50" s="5">
        <f t="shared" si="222"/>
        <v>-18896</v>
      </c>
      <c r="Q50" s="5">
        <f t="shared" si="222"/>
        <v>-18149</v>
      </c>
      <c r="R50" s="5">
        <f t="shared" si="222"/>
        <v>-18403</v>
      </c>
      <c r="S50" s="5">
        <f t="shared" si="222"/>
        <v>-25000</v>
      </c>
      <c r="T50" s="5">
        <f t="shared" si="222"/>
        <v>-17932</v>
      </c>
      <c r="U50" s="5">
        <f t="shared" si="222"/>
        <v>-20654</v>
      </c>
      <c r="V50" s="5">
        <f t="shared" ref="V50:Z50" si="223">+V51-V60</f>
        <v>-22566</v>
      </c>
      <c r="W50" s="5">
        <f t="shared" si="223"/>
        <v>-24076</v>
      </c>
      <c r="X50" s="5">
        <f t="shared" si="223"/>
        <v>-24168</v>
      </c>
      <c r="Y50" s="5">
        <f>+Y51-Y60</f>
        <v>-6951</v>
      </c>
      <c r="Z50" s="5">
        <f t="shared" si="223"/>
        <v>0</v>
      </c>
      <c r="CJ50" s="2"/>
      <c r="CK50" s="2"/>
      <c r="CL50" s="2"/>
      <c r="CM50" s="2">
        <f t="shared" ref="CM50:CW50" si="224">+CL50+CM40</f>
        <v>2485.2559999999967</v>
      </c>
      <c r="CN50" s="2">
        <f t="shared" si="224"/>
        <v>5827.4821919999949</v>
      </c>
      <c r="CO50" s="2">
        <f t="shared" si="224"/>
        <v>10554.671706019995</v>
      </c>
      <c r="CP50" s="2">
        <f t="shared" si="224"/>
        <v>16525.300430288287</v>
      </c>
      <c r="CQ50" s="2">
        <f t="shared" si="224"/>
        <v>24210.058814889831</v>
      </c>
      <c r="CR50" s="2">
        <f t="shared" si="224"/>
        <v>33210.232305725243</v>
      </c>
      <c r="CS50" s="2">
        <f t="shared" si="224"/>
        <v>44202.913413539645</v>
      </c>
      <c r="CT50" s="2">
        <f t="shared" si="224"/>
        <v>56752.58360736326</v>
      </c>
      <c r="CU50" s="2">
        <f t="shared" si="224"/>
        <v>71609.972322939575</v>
      </c>
      <c r="CV50" s="2">
        <f t="shared" si="224"/>
        <v>88299.333671551285</v>
      </c>
      <c r="CW50" s="2">
        <f t="shared" si="224"/>
        <v>107652.94652984396</v>
      </c>
    </row>
    <row r="51" spans="2:105" x14ac:dyDescent="0.25">
      <c r="B51" t="s">
        <v>3</v>
      </c>
      <c r="O51" s="5">
        <f>8232+19302+6029</f>
        <v>33563</v>
      </c>
      <c r="P51" s="5">
        <f>8349+15908+5893</f>
        <v>30150</v>
      </c>
      <c r="Q51" s="5">
        <f>7621+17409+5700</f>
        <v>30730</v>
      </c>
      <c r="R51" s="5">
        <f>7079+17955+5829</f>
        <v>30863</v>
      </c>
      <c r="S51" s="5">
        <f>6923+14388+6139</f>
        <v>27450</v>
      </c>
      <c r="T51" s="5">
        <f>11287+17986+5824</f>
        <v>35097</v>
      </c>
      <c r="U51" s="5">
        <f>8785+15301+5496</f>
        <v>29582</v>
      </c>
      <c r="V51" s="5">
        <f>8249+13813+5383</f>
        <v>27445</v>
      </c>
      <c r="W51" s="5">
        <f>8947+12101+5027</f>
        <v>26075</v>
      </c>
      <c r="X51" s="5">
        <f>9643+11563+5383</f>
        <v>26589</v>
      </c>
      <c r="Y51" s="5">
        <f>11141+19794+8667</f>
        <v>39602</v>
      </c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DA51" s="4"/>
    </row>
    <row r="52" spans="2:105" x14ac:dyDescent="0.25">
      <c r="B52" t="s">
        <v>83</v>
      </c>
      <c r="O52" s="5">
        <v>3847</v>
      </c>
      <c r="P52" s="5">
        <v>2996</v>
      </c>
      <c r="Q52" s="5">
        <v>2843</v>
      </c>
      <c r="R52" s="5">
        <v>3402</v>
      </c>
      <c r="S52" s="5">
        <v>3323</v>
      </c>
      <c r="T52" s="5">
        <v>3131</v>
      </c>
      <c r="U52" s="5">
        <v>3121</v>
      </c>
      <c r="V52" s="5">
        <v>3478</v>
      </c>
      <c r="W52" s="5">
        <v>3064</v>
      </c>
      <c r="X52" s="5">
        <v>2360</v>
      </c>
      <c r="Y52" s="5">
        <v>3202</v>
      </c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DA52" s="4"/>
    </row>
    <row r="53" spans="2:105" x14ac:dyDescent="0.25">
      <c r="B53" t="s">
        <v>84</v>
      </c>
      <c r="O53" s="5">
        <v>12993</v>
      </c>
      <c r="P53" s="5">
        <v>11984</v>
      </c>
      <c r="Q53" s="5">
        <v>11466</v>
      </c>
      <c r="R53" s="5">
        <v>11127</v>
      </c>
      <c r="S53" s="5">
        <v>11494</v>
      </c>
      <c r="T53" s="5">
        <v>11244</v>
      </c>
      <c r="U53" s="5">
        <v>12062</v>
      </c>
      <c r="V53" s="5">
        <v>12198</v>
      </c>
      <c r="W53" s="5">
        <v>12281</v>
      </c>
      <c r="X53" s="5">
        <v>11377</v>
      </c>
      <c r="Y53" s="5">
        <v>11489</v>
      </c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DA53" s="4"/>
    </row>
    <row r="54" spans="2:105" x14ac:dyDescent="0.25">
      <c r="B54" t="s">
        <v>85</v>
      </c>
      <c r="O54" s="5">
        <v>3940</v>
      </c>
      <c r="P54" s="5">
        <v>4119</v>
      </c>
      <c r="Q54" s="5">
        <v>4472</v>
      </c>
      <c r="R54" s="5">
        <v>3706</v>
      </c>
      <c r="S54" s="5">
        <v>6480</v>
      </c>
      <c r="T54" s="5">
        <v>7181</v>
      </c>
      <c r="U54" s="5">
        <v>6868</v>
      </c>
      <c r="V54" s="5">
        <v>9586</v>
      </c>
      <c r="W54" s="5">
        <v>5741</v>
      </c>
      <c r="X54" s="5">
        <v>8432</v>
      </c>
      <c r="Y54" s="5">
        <v>6105</v>
      </c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DA54" s="4"/>
    </row>
    <row r="55" spans="2:105" x14ac:dyDescent="0.25">
      <c r="B55" t="s">
        <v>86</v>
      </c>
      <c r="O55" s="5">
        <v>85734</v>
      </c>
      <c r="P55" s="5">
        <v>90945</v>
      </c>
      <c r="Q55" s="5">
        <v>93352</v>
      </c>
      <c r="R55" s="5">
        <v>96647</v>
      </c>
      <c r="S55" s="5">
        <v>99924</v>
      </c>
      <c r="T55" s="5">
        <v>103398</v>
      </c>
      <c r="U55" s="5">
        <v>104248</v>
      </c>
      <c r="V55" s="5">
        <v>107919</v>
      </c>
      <c r="W55" s="5">
        <v>109763</v>
      </c>
      <c r="X55" s="5">
        <v>109510</v>
      </c>
      <c r="Y55" s="5">
        <v>105047</v>
      </c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DA55" s="4"/>
    </row>
    <row r="56" spans="2:105" x14ac:dyDescent="0.25">
      <c r="B56" t="s">
        <v>87</v>
      </c>
      <c r="O56" s="5">
        <f>27591+5567</f>
        <v>33158</v>
      </c>
      <c r="P56" s="5">
        <f>27591+5173</f>
        <v>32764</v>
      </c>
      <c r="Q56" s="5">
        <f>27591+4970</f>
        <v>32561</v>
      </c>
      <c r="R56" s="5">
        <f>27591+4589</f>
        <v>32180</v>
      </c>
      <c r="S56" s="5">
        <f>27440+4675</f>
        <v>32115</v>
      </c>
      <c r="T56" s="5">
        <f>27442+4383</f>
        <v>31825</v>
      </c>
      <c r="U56" s="5">
        <f>24680+3975</f>
        <v>28655</v>
      </c>
      <c r="V56" s="5">
        <f>24693+3691</f>
        <v>28384</v>
      </c>
      <c r="W56" s="5">
        <f>24693+3568</f>
        <v>28261</v>
      </c>
      <c r="X56" s="5">
        <f>23912+3057</f>
        <v>26969</v>
      </c>
      <c r="Y56" s="5">
        <f>23912+2877</f>
        <v>26789</v>
      </c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DA56" s="4"/>
    </row>
    <row r="57" spans="2:105" x14ac:dyDescent="0.25">
      <c r="B57" t="s">
        <v>88</v>
      </c>
      <c r="O57" s="5">
        <v>12068</v>
      </c>
      <c r="P57" s="5">
        <v>12671</v>
      </c>
      <c r="Q57" s="5">
        <v>13413</v>
      </c>
      <c r="R57" s="5">
        <v>13647</v>
      </c>
      <c r="S57" s="5">
        <v>11947</v>
      </c>
      <c r="T57" s="5">
        <v>14329</v>
      </c>
      <c r="U57" s="5">
        <v>9006</v>
      </c>
      <c r="V57" s="5">
        <v>7475</v>
      </c>
      <c r="W57" s="5">
        <v>7057</v>
      </c>
      <c r="X57" s="5">
        <v>7283</v>
      </c>
      <c r="Y57" s="5">
        <v>12280</v>
      </c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DA57" s="4"/>
    </row>
    <row r="58" spans="2:105" x14ac:dyDescent="0.25">
      <c r="B58" t="s">
        <v>89</v>
      </c>
      <c r="O58" s="5">
        <f t="shared" ref="O58:U58" si="225">SUM(O51:O57)</f>
        <v>185303</v>
      </c>
      <c r="P58" s="5">
        <f t="shared" si="225"/>
        <v>185629</v>
      </c>
      <c r="Q58" s="5">
        <f t="shared" si="225"/>
        <v>188837</v>
      </c>
      <c r="R58" s="5">
        <f t="shared" si="225"/>
        <v>191572</v>
      </c>
      <c r="S58" s="5">
        <f t="shared" si="225"/>
        <v>192733</v>
      </c>
      <c r="T58" s="5">
        <f t="shared" si="225"/>
        <v>206205</v>
      </c>
      <c r="U58" s="5">
        <f t="shared" si="225"/>
        <v>193542</v>
      </c>
      <c r="V58" s="5">
        <f t="shared" ref="V58:Y58" si="226">SUM(V51:V57)</f>
        <v>196485</v>
      </c>
      <c r="W58" s="5">
        <f t="shared" si="226"/>
        <v>192242</v>
      </c>
      <c r="X58" s="5">
        <f t="shared" si="226"/>
        <v>192520</v>
      </c>
      <c r="Y58" s="5">
        <f t="shared" si="226"/>
        <v>204514</v>
      </c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DA58" s="4"/>
    </row>
    <row r="59" spans="2:105" x14ac:dyDescent="0.25"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DA59" s="4"/>
    </row>
    <row r="60" spans="2:105" x14ac:dyDescent="0.25">
      <c r="B60" t="s">
        <v>4</v>
      </c>
      <c r="O60" s="5">
        <f>1437+48836</f>
        <v>50273</v>
      </c>
      <c r="P60" s="5">
        <f>46335+2711</f>
        <v>49046</v>
      </c>
      <c r="Q60" s="5">
        <f>2288+46591</f>
        <v>48879</v>
      </c>
      <c r="R60" s="5">
        <f>2288+46978</f>
        <v>49266</v>
      </c>
      <c r="S60" s="5">
        <f>4581+47869</f>
        <v>52450</v>
      </c>
      <c r="T60" s="5">
        <f>4695+48334</f>
        <v>53029</v>
      </c>
      <c r="U60" s="5">
        <f>3765+46471</f>
        <v>50236</v>
      </c>
      <c r="V60" s="5">
        <f>3729+46282</f>
        <v>50011</v>
      </c>
      <c r="W60" s="5">
        <f>44911+5240</f>
        <v>50151</v>
      </c>
      <c r="X60" s="5">
        <f>6731+44026</f>
        <v>50757</v>
      </c>
      <c r="Y60" s="5">
        <f>2496+44057</f>
        <v>46553</v>
      </c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DA60" s="4"/>
    </row>
    <row r="61" spans="2:105" x14ac:dyDescent="0.25">
      <c r="B61" t="s">
        <v>92</v>
      </c>
      <c r="O61" s="5">
        <v>8083</v>
      </c>
      <c r="P61" s="5">
        <v>8757</v>
      </c>
      <c r="Q61" s="5">
        <v>8669</v>
      </c>
      <c r="R61" s="5">
        <v>8578</v>
      </c>
      <c r="S61" s="5">
        <v>8559</v>
      </c>
      <c r="T61" s="5">
        <v>9618</v>
      </c>
      <c r="U61" s="5">
        <v>11074</v>
      </c>
      <c r="V61" s="5">
        <v>12556</v>
      </c>
      <c r="W61" s="5">
        <v>10896</v>
      </c>
      <c r="X61" s="5">
        <v>10666</v>
      </c>
      <c r="Y61" s="5">
        <v>10268</v>
      </c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DA61" s="4"/>
    </row>
    <row r="62" spans="2:105" x14ac:dyDescent="0.25">
      <c r="B62" t="s">
        <v>93</v>
      </c>
      <c r="O62" s="5">
        <v>2497</v>
      </c>
      <c r="P62" s="5">
        <v>2887</v>
      </c>
      <c r="Q62" s="5">
        <v>3115</v>
      </c>
      <c r="R62" s="5">
        <v>3655</v>
      </c>
      <c r="S62" s="5">
        <v>2506</v>
      </c>
      <c r="T62" s="5">
        <v>2651</v>
      </c>
      <c r="U62" s="5">
        <v>5015</v>
      </c>
      <c r="V62" s="5">
        <v>3343</v>
      </c>
      <c r="W62" s="5">
        <v>2652</v>
      </c>
      <c r="X62" s="5">
        <v>4249</v>
      </c>
      <c r="Y62" s="5">
        <v>3756</v>
      </c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DA62" s="4"/>
    </row>
    <row r="63" spans="2:105" x14ac:dyDescent="0.25">
      <c r="B63" t="s">
        <v>33</v>
      </c>
      <c r="O63" s="5">
        <f>4046+3831</f>
        <v>7877</v>
      </c>
      <c r="P63" s="5">
        <v>2169</v>
      </c>
      <c r="Q63" s="5">
        <v>2112</v>
      </c>
      <c r="R63" s="5">
        <v>1107</v>
      </c>
      <c r="S63" s="5">
        <v>346</v>
      </c>
      <c r="T63" s="5">
        <v>1856</v>
      </c>
      <c r="U63" s="5">
        <v>2440</v>
      </c>
      <c r="V63" s="5">
        <v>1756</v>
      </c>
      <c r="W63" s="5">
        <v>1873</v>
      </c>
      <c r="X63" s="5">
        <v>887</v>
      </c>
      <c r="Y63" s="5">
        <v>825</v>
      </c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DA63" s="4"/>
    </row>
    <row r="64" spans="2:105" x14ac:dyDescent="0.25">
      <c r="B64" t="s">
        <v>94</v>
      </c>
      <c r="O64" s="5">
        <v>11330</v>
      </c>
      <c r="P64" s="5">
        <v>10656</v>
      </c>
      <c r="Q64" s="5">
        <v>12430</v>
      </c>
      <c r="R64" s="5">
        <v>12425</v>
      </c>
      <c r="S64" s="5">
        <v>11221</v>
      </c>
      <c r="T64" s="5">
        <v>13207</v>
      </c>
      <c r="U64" s="5">
        <v>12865</v>
      </c>
      <c r="V64" s="5">
        <v>14282</v>
      </c>
      <c r="W64" s="5">
        <v>11513</v>
      </c>
      <c r="X64" s="5">
        <v>12433</v>
      </c>
      <c r="Y64" s="5">
        <v>14952</v>
      </c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DA64" s="4"/>
    </row>
    <row r="65" spans="2:105" x14ac:dyDescent="0.25">
      <c r="B65" t="s">
        <v>95</v>
      </c>
      <c r="O65" s="5">
        <v>4840</v>
      </c>
      <c r="P65" s="5">
        <v>7643</v>
      </c>
      <c r="Q65" s="5">
        <v>7946</v>
      </c>
      <c r="R65" s="5">
        <v>6576</v>
      </c>
      <c r="S65" s="5">
        <v>6895</v>
      </c>
      <c r="T65" s="5">
        <v>5410</v>
      </c>
      <c r="U65" s="5">
        <v>7048</v>
      </c>
      <c r="V65" s="5">
        <v>9505</v>
      </c>
      <c r="W65" s="5">
        <v>8744</v>
      </c>
      <c r="X65" s="5">
        <v>7777</v>
      </c>
      <c r="Y65" s="5">
        <v>11430</v>
      </c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DA65" s="4"/>
    </row>
    <row r="66" spans="2:105" x14ac:dyDescent="0.25">
      <c r="B66" t="s">
        <v>91</v>
      </c>
      <c r="O66" s="5">
        <v>100403</v>
      </c>
      <c r="P66" s="5">
        <v>104471</v>
      </c>
      <c r="Q66" s="5">
        <v>105686</v>
      </c>
      <c r="R66" s="5">
        <v>109965</v>
      </c>
      <c r="S66" s="5">
        <v>110756</v>
      </c>
      <c r="T66" s="5">
        <v>120434</v>
      </c>
      <c r="U66" s="5">
        <v>104864</v>
      </c>
      <c r="V66" s="5">
        <v>105032</v>
      </c>
      <c r="W66" s="5">
        <v>106413</v>
      </c>
      <c r="X66" s="5">
        <v>105751</v>
      </c>
      <c r="Y66" s="5">
        <v>116730</v>
      </c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DA66" s="4"/>
    </row>
    <row r="67" spans="2:105" x14ac:dyDescent="0.25">
      <c r="B67" t="s">
        <v>90</v>
      </c>
      <c r="O67" s="5">
        <f>SUM(O60:O66)</f>
        <v>185303</v>
      </c>
      <c r="P67" s="5">
        <f>SUM(P60:P66)</f>
        <v>185629</v>
      </c>
      <c r="Q67" s="5">
        <f>SUM(Q60:Q66)</f>
        <v>188837</v>
      </c>
      <c r="R67" s="5">
        <f>SUM(R60:R66)</f>
        <v>191572</v>
      </c>
      <c r="S67" s="5">
        <f t="shared" ref="S67:Y67" si="227">SUM(S60:S66)</f>
        <v>192733</v>
      </c>
      <c r="T67" s="5">
        <f t="shared" si="227"/>
        <v>206205</v>
      </c>
      <c r="U67" s="5">
        <f t="shared" si="227"/>
        <v>193542</v>
      </c>
      <c r="V67" s="5">
        <f t="shared" si="227"/>
        <v>196485</v>
      </c>
      <c r="W67" s="5">
        <f t="shared" si="227"/>
        <v>192242</v>
      </c>
      <c r="X67" s="5">
        <f t="shared" si="227"/>
        <v>192520</v>
      </c>
      <c r="Y67" s="5">
        <f t="shared" si="227"/>
        <v>204514</v>
      </c>
    </row>
    <row r="69" spans="2:105" x14ac:dyDescent="0.25">
      <c r="B69" s="2" t="s">
        <v>37</v>
      </c>
      <c r="O69" s="5">
        <f t="shared" ref="O69:R69" si="228">+O40</f>
        <v>-1263</v>
      </c>
      <c r="P69" s="5">
        <f t="shared" si="228"/>
        <v>-592</v>
      </c>
      <c r="Q69" s="5">
        <f t="shared" si="228"/>
        <v>955</v>
      </c>
      <c r="R69" s="5">
        <f t="shared" si="228"/>
        <v>1432</v>
      </c>
      <c r="S69" s="5">
        <f t="shared" ref="S69:Z69" si="229">+S40</f>
        <v>-576</v>
      </c>
      <c r="T69" s="5">
        <f t="shared" si="229"/>
        <v>-941</v>
      </c>
      <c r="U69" s="5">
        <f t="shared" si="229"/>
        <v>-3305</v>
      </c>
      <c r="V69" s="5">
        <f t="shared" si="229"/>
        <v>796.15999999999985</v>
      </c>
      <c r="W69" s="5">
        <f t="shared" si="229"/>
        <v>-619</v>
      </c>
      <c r="X69" s="5">
        <f>+X40</f>
        <v>-1541</v>
      </c>
      <c r="Y69" s="5">
        <f t="shared" si="229"/>
        <v>554</v>
      </c>
      <c r="Z69" s="5">
        <f t="shared" si="229"/>
        <v>-266</v>
      </c>
      <c r="BS69" s="2">
        <f t="shared" ref="BS69:BZ69" si="230">+BS40</f>
        <v>7705</v>
      </c>
      <c r="BT69" s="28">
        <f t="shared" si="230"/>
        <v>3023</v>
      </c>
      <c r="BU69" s="2">
        <f t="shared" si="230"/>
        <v>5765</v>
      </c>
      <c r="BV69" s="28">
        <f t="shared" si="230"/>
        <v>6782</v>
      </c>
      <c r="BW69" s="28">
        <f t="shared" si="230"/>
        <v>4479</v>
      </c>
      <c r="BX69" s="2">
        <f t="shared" si="230"/>
        <v>10916</v>
      </c>
      <c r="BY69" s="2">
        <f t="shared" si="230"/>
        <v>12706</v>
      </c>
      <c r="BZ69" s="2">
        <f t="shared" si="230"/>
        <v>10984</v>
      </c>
      <c r="CA69" s="2">
        <f t="shared" ref="CA69:CH69" si="231">+CA40</f>
        <v>9680</v>
      </c>
      <c r="CB69" s="2">
        <f t="shared" si="231"/>
        <v>11882</v>
      </c>
      <c r="CC69" s="2">
        <f t="shared" si="231"/>
        <v>11724</v>
      </c>
      <c r="CD69" s="2">
        <f t="shared" si="231"/>
        <v>11990</v>
      </c>
      <c r="CE69" s="2">
        <f t="shared" si="231"/>
        <v>18262</v>
      </c>
      <c r="CF69" s="2">
        <f t="shared" si="231"/>
        <v>21106</v>
      </c>
      <c r="CG69" s="2">
        <f t="shared" si="231"/>
        <v>19902</v>
      </c>
      <c r="CH69" s="2">
        <f t="shared" si="231"/>
        <v>19193</v>
      </c>
      <c r="CI69" s="2">
        <f t="shared" ref="CI69:CJ69" si="232">+CI40</f>
        <v>19765</v>
      </c>
      <c r="CJ69" s="2">
        <f t="shared" si="232"/>
        <v>3751</v>
      </c>
    </row>
    <row r="70" spans="2:105" x14ac:dyDescent="0.25">
      <c r="B70" s="2" t="s">
        <v>38</v>
      </c>
      <c r="O70" s="5">
        <v>-2768</v>
      </c>
      <c r="P70" s="5">
        <f>-1295-O70</f>
        <v>1473</v>
      </c>
      <c r="Q70" s="5">
        <f>-985-P70-O70</f>
        <v>310</v>
      </c>
      <c r="R70" s="5">
        <f>1675-Q70-P70-O70</f>
        <v>2660</v>
      </c>
      <c r="S70" s="5">
        <v>-437</v>
      </c>
      <c r="T70" s="5">
        <f>-2091-S70</f>
        <v>-1654</v>
      </c>
      <c r="U70" s="5">
        <f>-19080-T70-S70</f>
        <v>-16989</v>
      </c>
      <c r="V70" s="5">
        <f>-19233-U70-T70-S70</f>
        <v>-153</v>
      </c>
      <c r="W70" s="5">
        <v>-887</v>
      </c>
      <c r="X70" s="5">
        <f>-3911-W70</f>
        <v>-3024</v>
      </c>
      <c r="Y70" s="5">
        <f>359-X70-W70</f>
        <v>4270</v>
      </c>
      <c r="BS70" s="2">
        <v>8664</v>
      </c>
      <c r="BT70" s="28">
        <v>5044</v>
      </c>
      <c r="BU70" s="2">
        <v>6976</v>
      </c>
      <c r="BV70" s="28">
        <v>5292</v>
      </c>
      <c r="BW70" s="28">
        <v>4369</v>
      </c>
      <c r="BX70" s="2">
        <v>11464</v>
      </c>
      <c r="BY70" s="2">
        <v>12942</v>
      </c>
      <c r="BZ70" s="2">
        <v>11005</v>
      </c>
      <c r="CA70" s="2">
        <v>9620</v>
      </c>
      <c r="CB70" s="2">
        <v>11704</v>
      </c>
      <c r="CC70" s="2">
        <v>11420</v>
      </c>
      <c r="CD70" s="2">
        <v>10316</v>
      </c>
      <c r="CE70" s="2">
        <v>9601</v>
      </c>
      <c r="CF70" s="2">
        <v>21053</v>
      </c>
      <c r="CG70" s="2">
        <v>21048</v>
      </c>
      <c r="CH70" s="2">
        <v>20899</v>
      </c>
      <c r="CI70" s="2">
        <v>19868</v>
      </c>
      <c r="CJ70" s="2">
        <v>8017</v>
      </c>
    </row>
    <row r="71" spans="2:105" x14ac:dyDescent="0.25">
      <c r="B71" s="2" t="s">
        <v>40</v>
      </c>
      <c r="O71" s="5">
        <v>1901</v>
      </c>
      <c r="P71" s="5">
        <f>3733-O71</f>
        <v>1832</v>
      </c>
      <c r="Q71" s="5">
        <f>5753-P71-O71</f>
        <v>2020</v>
      </c>
      <c r="R71" s="5">
        <f>7847-Q71-P71-O71</f>
        <v>2094</v>
      </c>
      <c r="S71" s="5">
        <v>2200</v>
      </c>
      <c r="T71" s="5">
        <f>4403-S71</f>
        <v>2203</v>
      </c>
      <c r="U71" s="5">
        <f>7651-T71-S71</f>
        <v>3248</v>
      </c>
      <c r="V71" s="5">
        <f>9951-U71-T71-S71</f>
        <v>2300</v>
      </c>
      <c r="W71" s="5">
        <v>2425</v>
      </c>
      <c r="X71" s="5">
        <f>5213-W71</f>
        <v>2788</v>
      </c>
      <c r="Y71" s="5">
        <f>7971-X71-W71</f>
        <v>2758</v>
      </c>
      <c r="BS71" s="2"/>
      <c r="BT71" s="28"/>
      <c r="BU71" s="2"/>
      <c r="CH71" s="2">
        <v>10482</v>
      </c>
      <c r="CI71" s="2">
        <v>9953</v>
      </c>
      <c r="CJ71" s="2">
        <v>11128</v>
      </c>
    </row>
    <row r="72" spans="2:105" x14ac:dyDescent="0.25">
      <c r="B72" s="2" t="s">
        <v>41</v>
      </c>
      <c r="O72" s="5">
        <v>739</v>
      </c>
      <c r="P72" s="5">
        <f>1661-O72</f>
        <v>922</v>
      </c>
      <c r="Q72" s="5">
        <f>2433-P72-O72</f>
        <v>772</v>
      </c>
      <c r="R72" s="5">
        <f>3229-Q72-P72-O72</f>
        <v>796</v>
      </c>
      <c r="S72" s="5">
        <v>1179</v>
      </c>
      <c r="T72" s="5">
        <f>1959-S72</f>
        <v>780</v>
      </c>
      <c r="U72" s="5">
        <f>2759-T72-S72</f>
        <v>800</v>
      </c>
      <c r="V72" s="5">
        <f>3410-U72-T72-S72</f>
        <v>651</v>
      </c>
      <c r="W72" s="5">
        <v>684</v>
      </c>
      <c r="X72" s="5">
        <f>1348-W72</f>
        <v>664</v>
      </c>
      <c r="Y72" s="5">
        <f>1896-X72-W72</f>
        <v>548</v>
      </c>
      <c r="BS72" s="2"/>
      <c r="BT72" s="28"/>
      <c r="BU72" s="2"/>
      <c r="CH72" s="2">
        <v>1854</v>
      </c>
      <c r="CI72" s="2">
        <v>2036</v>
      </c>
      <c r="CJ72" s="2">
        <v>3128</v>
      </c>
    </row>
    <row r="73" spans="2:105" x14ac:dyDescent="0.25">
      <c r="B73" s="2" t="s">
        <v>42</v>
      </c>
      <c r="O73" s="5">
        <v>55</v>
      </c>
      <c r="P73" s="5">
        <f>255-O73</f>
        <v>200</v>
      </c>
      <c r="Q73" s="5">
        <f>718-P73-O73</f>
        <v>463</v>
      </c>
      <c r="R73" s="5">
        <f>-424-Q73-P73-O73</f>
        <v>-1142</v>
      </c>
      <c r="S73" s="5">
        <v>348</v>
      </c>
      <c r="T73" s="5">
        <f>1291-S73</f>
        <v>943</v>
      </c>
      <c r="U73" s="5">
        <f>3626-T73-S73</f>
        <v>2335</v>
      </c>
      <c r="V73" s="5">
        <f>3491-U73-T73-S73</f>
        <v>-135</v>
      </c>
      <c r="W73" s="5">
        <v>0</v>
      </c>
      <c r="X73" s="5">
        <f>382-W73</f>
        <v>382</v>
      </c>
      <c r="Y73" s="5">
        <f>372-X73-W73</f>
        <v>-10</v>
      </c>
      <c r="BS73" s="2"/>
      <c r="BT73" s="28"/>
      <c r="BU73" s="2"/>
      <c r="CH73" s="2">
        <v>198</v>
      </c>
      <c r="CI73" s="2">
        <v>2626</v>
      </c>
      <c r="CJ73" s="2">
        <v>1074</v>
      </c>
    </row>
    <row r="74" spans="2:105" x14ac:dyDescent="0.25">
      <c r="B74" s="2" t="s">
        <v>43</v>
      </c>
      <c r="O74" s="5">
        <v>465</v>
      </c>
      <c r="P74" s="5">
        <f>909-O74</f>
        <v>444</v>
      </c>
      <c r="Q74" s="5">
        <f>1336-P74-O74</f>
        <v>427</v>
      </c>
      <c r="R74" s="5">
        <f>1755-Q74-P74-O74</f>
        <v>419</v>
      </c>
      <c r="S74" s="5">
        <v>351</v>
      </c>
      <c r="T74" s="5">
        <f>717-S74</f>
        <v>366</v>
      </c>
      <c r="U74" s="5">
        <f>1081-T74-S74</f>
        <v>364</v>
      </c>
      <c r="V74" s="5">
        <f>1428-U74-T74-S74</f>
        <v>347</v>
      </c>
      <c r="W74" s="5">
        <v>249</v>
      </c>
      <c r="X74" s="5">
        <f>474-W74</f>
        <v>225</v>
      </c>
      <c r="Y74" s="5">
        <f>708-X74-W74</f>
        <v>234</v>
      </c>
      <c r="BS74" s="2"/>
      <c r="BT74" s="28"/>
      <c r="BU74" s="2"/>
      <c r="CH74" s="2">
        <v>1757</v>
      </c>
      <c r="CI74" s="2">
        <v>1839</v>
      </c>
      <c r="CJ74" s="2">
        <v>1907</v>
      </c>
    </row>
    <row r="75" spans="2:105" x14ac:dyDescent="0.25">
      <c r="B75" s="2" t="s">
        <v>44</v>
      </c>
      <c r="O75" s="5">
        <v>-167</v>
      </c>
      <c r="P75" s="5">
        <f>-146-O75</f>
        <v>21</v>
      </c>
      <c r="Q75" s="5">
        <f>47-P75-O75</f>
        <v>193</v>
      </c>
      <c r="R75" s="5">
        <f>-42-Q75-P75-O75</f>
        <v>-89</v>
      </c>
      <c r="S75" s="5">
        <v>-208</v>
      </c>
      <c r="T75" s="5">
        <f>-84-S75</f>
        <v>124</v>
      </c>
      <c r="U75" s="5">
        <f>75-T75-S75</f>
        <v>159</v>
      </c>
      <c r="V75" s="5">
        <f>-246-U75-T75-S75</f>
        <v>-321</v>
      </c>
      <c r="W75" s="5">
        <v>112</v>
      </c>
      <c r="X75" s="5">
        <f>-390-W75</f>
        <v>-502</v>
      </c>
      <c r="Y75" s="5">
        <f>-611-X75-W75</f>
        <v>-221</v>
      </c>
      <c r="BS75" s="2"/>
      <c r="BT75" s="28"/>
      <c r="BU75" s="2"/>
      <c r="CH75" s="2">
        <v>-1757</v>
      </c>
      <c r="CI75" s="2">
        <v>-1458</v>
      </c>
      <c r="CJ75" s="2">
        <v>-4254</v>
      </c>
    </row>
    <row r="76" spans="2:105" x14ac:dyDescent="0.25">
      <c r="B76" s="2" t="s">
        <v>149</v>
      </c>
      <c r="O76" s="5">
        <v>0</v>
      </c>
      <c r="P76" s="3">
        <v>0</v>
      </c>
      <c r="Q76" s="3">
        <v>0</v>
      </c>
      <c r="R76" s="3">
        <v>0</v>
      </c>
      <c r="S76" s="5">
        <v>0</v>
      </c>
      <c r="T76" s="5">
        <v>0</v>
      </c>
      <c r="U76" s="5">
        <f>6368-T76-S76</f>
        <v>6368</v>
      </c>
      <c r="V76" s="5">
        <f>6132-U76-T76-S76</f>
        <v>-236</v>
      </c>
      <c r="W76" s="5">
        <v>19</v>
      </c>
      <c r="X76" s="5">
        <f>106-W76</f>
        <v>87</v>
      </c>
      <c r="Y76" s="5">
        <f>123-X76-W76</f>
        <v>17</v>
      </c>
      <c r="BS76" s="2"/>
      <c r="BT76" s="28"/>
      <c r="BU76" s="2"/>
      <c r="CH76" s="2"/>
      <c r="CI76" s="2"/>
      <c r="CJ76" s="2"/>
    </row>
    <row r="77" spans="2:105" x14ac:dyDescent="0.25">
      <c r="B77" s="2" t="s">
        <v>150</v>
      </c>
      <c r="O77" s="5">
        <v>0</v>
      </c>
      <c r="P77" s="3">
        <v>0</v>
      </c>
      <c r="Q77" s="3">
        <v>0</v>
      </c>
      <c r="R77" s="3">
        <v>0</v>
      </c>
      <c r="S77" s="5">
        <v>0</v>
      </c>
      <c r="T77" s="5">
        <v>0</v>
      </c>
      <c r="U77" s="5">
        <f>2290-T77-S77</f>
        <v>2290</v>
      </c>
      <c r="V77" s="5">
        <f>2252-U77-T77-S77</f>
        <v>-38</v>
      </c>
      <c r="W77" s="5">
        <v>0</v>
      </c>
      <c r="X77" s="5">
        <f>482-W77</f>
        <v>482</v>
      </c>
      <c r="Y77" s="5">
        <f>465-X77-W77</f>
        <v>-17</v>
      </c>
      <c r="BS77" s="2"/>
      <c r="BT77" s="28"/>
      <c r="BU77" s="2"/>
      <c r="CH77" s="2"/>
      <c r="CI77" s="2"/>
      <c r="CJ77" s="2"/>
    </row>
    <row r="78" spans="2:105" x14ac:dyDescent="0.25">
      <c r="B78" s="2" t="s">
        <v>45</v>
      </c>
      <c r="O78" s="5">
        <v>0</v>
      </c>
      <c r="P78" s="3">
        <v>0</v>
      </c>
      <c r="Q78" s="3">
        <v>0</v>
      </c>
      <c r="R78" s="3">
        <v>0</v>
      </c>
      <c r="S78" s="5">
        <v>0</v>
      </c>
      <c r="T78" s="3">
        <v>0</v>
      </c>
      <c r="U78" s="3">
        <v>0</v>
      </c>
      <c r="V78" s="3">
        <v>0</v>
      </c>
      <c r="W78" s="5">
        <v>0</v>
      </c>
      <c r="X78" s="3">
        <v>0</v>
      </c>
      <c r="Y78" s="5">
        <f>1687-5355-X78-W78</f>
        <v>-3668</v>
      </c>
      <c r="BS78" s="2"/>
      <c r="BT78" s="28"/>
      <c r="BU78" s="2"/>
      <c r="CH78" s="2">
        <v>-30</v>
      </c>
      <c r="CI78" s="2">
        <v>0</v>
      </c>
      <c r="CJ78" s="2">
        <v>-1059</v>
      </c>
    </row>
    <row r="79" spans="2:105" x14ac:dyDescent="0.25">
      <c r="B79" s="2" t="s">
        <v>46</v>
      </c>
      <c r="O79" s="5">
        <f>286+231-771-1560+1344-1540</f>
        <v>-2010</v>
      </c>
      <c r="P79" s="5">
        <f>1137+1240-1102-1340-2186-1843-O79</f>
        <v>-2084</v>
      </c>
      <c r="Q79" s="5">
        <f>1290+1758-1082-1171-2676-574-P79-O79</f>
        <v>1639</v>
      </c>
      <c r="R79" s="5">
        <f>731+2097-801-614-3531-451-Q79-P79-O79</f>
        <v>-114</v>
      </c>
      <c r="S79" s="5">
        <f>80-366-386-1289-591-2104</f>
        <v>-4656</v>
      </c>
      <c r="T79" s="5">
        <f>272-116+184-1309-2174-1983-S79</f>
        <v>-470</v>
      </c>
      <c r="U79" s="5">
        <f>282-969+566+1384-930+20-T79-S79</f>
        <v>5479</v>
      </c>
      <c r="V79" s="5">
        <f>-75-1105+634-218-356+2223-U79-T79-S79</f>
        <v>750</v>
      </c>
      <c r="W79" s="5">
        <f>414-83-240-741+67-1206</f>
        <v>-1789</v>
      </c>
      <c r="X79" s="5">
        <f>1004+99+114+1022-1338-1742-W79</f>
        <v>948</v>
      </c>
      <c r="Y79" s="5">
        <f>162-9-281+541-1196-1423-X79-W79</f>
        <v>-1365</v>
      </c>
      <c r="BS79" s="2"/>
      <c r="BT79" s="28"/>
      <c r="BU79" s="2"/>
      <c r="CH79" s="2">
        <f>883-687+405+348-181+1620+73</f>
        <v>2461</v>
      </c>
      <c r="CI79" s="2">
        <f>-2674-2339+1190+515-1583-441-76</f>
        <v>-5408</v>
      </c>
      <c r="CJ79" s="2">
        <f>5327-2436-29-1533-24-4535-1278</f>
        <v>-4508</v>
      </c>
    </row>
    <row r="80" spans="2:105" x14ac:dyDescent="0.25">
      <c r="B80" s="2" t="s">
        <v>39</v>
      </c>
      <c r="O80" s="5">
        <f t="shared" ref="O80:U80" si="233">SUM(O70:O79)</f>
        <v>-1785</v>
      </c>
      <c r="P80" s="5">
        <f t="shared" si="233"/>
        <v>2808</v>
      </c>
      <c r="Q80" s="5">
        <f t="shared" si="233"/>
        <v>5824</v>
      </c>
      <c r="R80" s="5">
        <f t="shared" si="233"/>
        <v>4624</v>
      </c>
      <c r="S80" s="5">
        <f t="shared" si="233"/>
        <v>-1223</v>
      </c>
      <c r="T80" s="5">
        <f t="shared" si="233"/>
        <v>2292</v>
      </c>
      <c r="U80" s="5">
        <f t="shared" si="233"/>
        <v>4054</v>
      </c>
      <c r="V80" s="5">
        <f t="shared" ref="V80:Y80" si="234">SUM(V70:V79)</f>
        <v>3165</v>
      </c>
      <c r="W80" s="5">
        <f t="shared" si="234"/>
        <v>813</v>
      </c>
      <c r="X80" s="5">
        <f t="shared" si="234"/>
        <v>2050</v>
      </c>
      <c r="Y80" s="5">
        <f t="shared" si="234"/>
        <v>2546</v>
      </c>
      <c r="Z80" s="5">
        <f>9697-Y80-X80-W80</f>
        <v>4288</v>
      </c>
      <c r="BS80" s="2">
        <v>14851</v>
      </c>
      <c r="BT80" s="28">
        <v>10632</v>
      </c>
      <c r="BU80" s="2">
        <v>12625</v>
      </c>
      <c r="BV80" s="28">
        <v>10926</v>
      </c>
      <c r="BW80" s="28">
        <v>11170</v>
      </c>
      <c r="BX80" s="2">
        <v>16692</v>
      </c>
      <c r="BY80" s="2">
        <v>20963</v>
      </c>
      <c r="BZ80" s="2">
        <v>18884</v>
      </c>
      <c r="CA80" s="2">
        <v>20776</v>
      </c>
      <c r="CB80" s="2">
        <v>20418</v>
      </c>
      <c r="CC80" s="2">
        <v>19017</v>
      </c>
      <c r="CD80" s="2">
        <v>21808</v>
      </c>
      <c r="CE80" s="2">
        <v>22110</v>
      </c>
      <c r="CF80" s="2">
        <v>29432</v>
      </c>
      <c r="CG80" s="2">
        <v>33145</v>
      </c>
      <c r="CH80" s="2">
        <f>SUM(CH70:CH79)</f>
        <v>35864</v>
      </c>
      <c r="CI80" s="2">
        <f>SUM(CI70:CI79)</f>
        <v>29456</v>
      </c>
      <c r="CJ80" s="2">
        <f>SUM(CJ70:CJ79)</f>
        <v>15433</v>
      </c>
      <c r="CK80" s="2">
        <v>11471</v>
      </c>
      <c r="CL80" s="2">
        <f>SUM(S80:V80)</f>
        <v>8288</v>
      </c>
    </row>
    <row r="81" spans="2:90" x14ac:dyDescent="0.25">
      <c r="BS81" s="2"/>
      <c r="BT81" s="28"/>
      <c r="BU81" s="2"/>
      <c r="CA81" s="2"/>
      <c r="CB81" s="2"/>
      <c r="CC81" s="2"/>
    </row>
    <row r="82" spans="2:90" s="2" customFormat="1" ht="13" x14ac:dyDescent="0.3">
      <c r="B82" s="2" t="s">
        <v>47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7">
        <v>-7413</v>
      </c>
      <c r="P82" s="7">
        <f>-13301-O82</f>
        <v>-5888</v>
      </c>
      <c r="Q82" s="7">
        <f>-19054-P82-O82</f>
        <v>-5753</v>
      </c>
      <c r="R82" s="7">
        <f>-25750-Q82-P82-O82</f>
        <v>-6696</v>
      </c>
      <c r="S82" s="7">
        <v>-5970</v>
      </c>
      <c r="T82" s="7">
        <f>-11652-S82</f>
        <v>-5682</v>
      </c>
      <c r="U82" s="7">
        <f>-18110-T82-S82</f>
        <v>-6458</v>
      </c>
      <c r="V82" s="7">
        <f>-23944-U82-T82-S82</f>
        <v>-5834</v>
      </c>
      <c r="W82" s="7">
        <v>-5183</v>
      </c>
      <c r="X82" s="7">
        <f>-8733-W82</f>
        <v>-3550</v>
      </c>
      <c r="Y82" s="7">
        <f>-11158-X82-W82</f>
        <v>-2425</v>
      </c>
      <c r="Z82" s="5">
        <f>-14646-Y82-X82-W82</f>
        <v>-3488</v>
      </c>
      <c r="AA82" s="5"/>
      <c r="AB82" s="5"/>
      <c r="AC82" s="5"/>
      <c r="AD82" s="5"/>
      <c r="AI82" s="36"/>
      <c r="AJ82" s="36"/>
      <c r="AK82" s="36"/>
      <c r="AL82" s="36"/>
      <c r="AM82" s="36"/>
      <c r="AN82" s="36"/>
      <c r="AO82" s="28"/>
      <c r="AP82" s="36"/>
      <c r="AQ82" s="36"/>
      <c r="AR82" s="36"/>
      <c r="AS82" s="36"/>
      <c r="AT82" s="36"/>
      <c r="AU82" s="28"/>
      <c r="AV82" s="36"/>
      <c r="AW82" s="36"/>
      <c r="AX82" s="36"/>
      <c r="AY82" s="28"/>
      <c r="AZ82" s="28"/>
      <c r="BA82" s="36"/>
      <c r="BB82" s="36"/>
      <c r="BC82" s="28"/>
      <c r="BD82" s="36"/>
      <c r="BE82" s="36"/>
      <c r="BF82" s="36"/>
      <c r="BG82" s="36"/>
      <c r="BH82" s="36"/>
      <c r="BI82" s="36"/>
      <c r="BJ82" s="36"/>
      <c r="BK82" s="36"/>
      <c r="BL82" s="28"/>
      <c r="BM82" s="36"/>
      <c r="BN82" s="36"/>
      <c r="BO82" s="28"/>
      <c r="BP82" s="28"/>
      <c r="BS82" s="2">
        <v>5871</v>
      </c>
      <c r="BT82" s="28">
        <v>5860</v>
      </c>
      <c r="BU82" s="2">
        <v>5000</v>
      </c>
      <c r="BV82" s="28">
        <v>5197</v>
      </c>
      <c r="BW82" s="28">
        <v>4515</v>
      </c>
      <c r="BX82" s="2">
        <v>5207</v>
      </c>
      <c r="BY82" s="2">
        <v>5207</v>
      </c>
      <c r="BZ82" s="2">
        <v>11027</v>
      </c>
      <c r="CA82" s="2">
        <v>10711</v>
      </c>
      <c r="CB82" s="2">
        <v>10105</v>
      </c>
      <c r="CC82" s="2">
        <v>7326</v>
      </c>
      <c r="CD82" s="2">
        <v>9625</v>
      </c>
      <c r="CE82" s="2">
        <v>11778</v>
      </c>
      <c r="CF82" s="2">
        <v>-15181</v>
      </c>
      <c r="CG82" s="2">
        <v>-16213</v>
      </c>
      <c r="CH82" s="2">
        <v>-14259</v>
      </c>
      <c r="CI82" s="2">
        <v>-18733</v>
      </c>
      <c r="CJ82" s="2">
        <v>-24844</v>
      </c>
      <c r="CK82" s="2">
        <v>-25750</v>
      </c>
      <c r="CL82" s="2">
        <f>SUM(S82:V82)</f>
        <v>-23944</v>
      </c>
    </row>
    <row r="83" spans="2:90" s="2" customFormat="1" x14ac:dyDescent="0.25">
      <c r="B83" s="2" t="s">
        <v>285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</v>
      </c>
      <c r="P83" s="5">
        <v>0</v>
      </c>
      <c r="Q83" s="5">
        <v>0</v>
      </c>
      <c r="R83" s="5">
        <f>1011-Q83-P83-O83</f>
        <v>1011</v>
      </c>
      <c r="S83" s="5">
        <v>592</v>
      </c>
      <c r="T83" s="5">
        <f>699-S83</f>
        <v>107</v>
      </c>
      <c r="U83" s="5">
        <f>725-T83-S83</f>
        <v>26</v>
      </c>
      <c r="V83" s="5">
        <f>1936-U83-T83-S83</f>
        <v>1211</v>
      </c>
      <c r="W83" s="5">
        <v>803</v>
      </c>
      <c r="X83" s="5">
        <f>964-W83+984</f>
        <v>1145</v>
      </c>
      <c r="Y83" s="5">
        <f>1018-X83-W83</f>
        <v>-930</v>
      </c>
      <c r="Z83" s="5"/>
      <c r="AA83" s="5"/>
      <c r="AB83" s="5"/>
      <c r="AC83" s="5"/>
      <c r="AD83" s="5"/>
      <c r="AI83" s="36"/>
      <c r="AJ83" s="36"/>
      <c r="AK83" s="36"/>
      <c r="AL83" s="36"/>
      <c r="AM83" s="36"/>
      <c r="AN83" s="36"/>
      <c r="AO83" s="28"/>
      <c r="AP83" s="36"/>
      <c r="AQ83" s="36"/>
      <c r="AR83" s="36"/>
      <c r="AS83" s="36"/>
      <c r="AT83" s="36"/>
      <c r="AU83" s="28"/>
      <c r="AV83" s="36"/>
      <c r="AW83" s="36"/>
      <c r="AX83" s="36"/>
      <c r="AY83" s="28"/>
      <c r="AZ83" s="28"/>
      <c r="BA83" s="36"/>
      <c r="BB83" s="36"/>
      <c r="BC83" s="28"/>
      <c r="BD83" s="36"/>
      <c r="BE83" s="36"/>
      <c r="BF83" s="36"/>
      <c r="BG83" s="36"/>
      <c r="BH83" s="36"/>
      <c r="BI83" s="36"/>
      <c r="BJ83" s="36"/>
      <c r="BK83" s="36"/>
      <c r="BL83" s="28"/>
      <c r="BM83" s="36"/>
      <c r="BN83" s="36"/>
      <c r="BO83" s="28"/>
      <c r="BP83" s="28"/>
      <c r="BT83" s="28"/>
      <c r="BV83" s="28"/>
      <c r="BW83" s="28"/>
    </row>
    <row r="84" spans="2:90" s="2" customFormat="1" x14ac:dyDescent="0.25">
      <c r="B84" s="2" t="s">
        <v>286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f>-82-U84-T84-S84</f>
        <v>-82</v>
      </c>
      <c r="W84" s="5">
        <v>0</v>
      </c>
      <c r="X84" s="5">
        <v>0</v>
      </c>
      <c r="Y84" s="5">
        <v>0</v>
      </c>
      <c r="Z84" s="5"/>
      <c r="AA84" s="5"/>
      <c r="AB84" s="5"/>
      <c r="AC84" s="5"/>
      <c r="AD84" s="5"/>
      <c r="AI84" s="36"/>
      <c r="AJ84" s="36"/>
      <c r="AK84" s="36"/>
      <c r="AL84" s="36"/>
      <c r="AM84" s="36"/>
      <c r="AN84" s="36"/>
      <c r="AO84" s="28"/>
      <c r="AP84" s="36"/>
      <c r="AQ84" s="36"/>
      <c r="AR84" s="36"/>
      <c r="AS84" s="36"/>
      <c r="AT84" s="36"/>
      <c r="AU84" s="28"/>
      <c r="AV84" s="36"/>
      <c r="AW84" s="36"/>
      <c r="AX84" s="36"/>
      <c r="AY84" s="28"/>
      <c r="AZ84" s="28"/>
      <c r="BA84" s="36"/>
      <c r="BB84" s="36"/>
      <c r="BC84" s="28"/>
      <c r="BD84" s="36"/>
      <c r="BE84" s="36"/>
      <c r="BF84" s="36"/>
      <c r="BG84" s="36"/>
      <c r="BH84" s="36"/>
      <c r="BI84" s="36"/>
      <c r="BJ84" s="36"/>
      <c r="BK84" s="36"/>
      <c r="BL84" s="28"/>
      <c r="BM84" s="36"/>
      <c r="BN84" s="36"/>
      <c r="BO84" s="28"/>
      <c r="BP84" s="28"/>
      <c r="BT84" s="28"/>
      <c r="BV84" s="28"/>
      <c r="BW84" s="28"/>
    </row>
    <row r="85" spans="2:90" s="2" customFormat="1" x14ac:dyDescent="0.25">
      <c r="B85" s="2" t="s">
        <v>152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f>-16132+14173+116</f>
        <v>-1843</v>
      </c>
      <c r="P85" s="5">
        <f>-25696+26957+253-O85</f>
        <v>3357</v>
      </c>
      <c r="Q85" s="5">
        <f>-37287+36725+375-P85-O85</f>
        <v>-1701</v>
      </c>
      <c r="R85" s="5">
        <f>-44414+44077-399+472+962-Q85-P85-O85</f>
        <v>885</v>
      </c>
      <c r="S85" s="5">
        <f>-6460+9598-323</f>
        <v>2815</v>
      </c>
      <c r="T85" s="5">
        <f>17214-17634-355-S85</f>
        <v>-3590</v>
      </c>
      <c r="U85" s="5">
        <f>-31519+34268+144-T85-S85</f>
        <v>3668</v>
      </c>
      <c r="V85" s="5">
        <f>-37940+41463+1047-U85-T85-S85-736</f>
        <v>941</v>
      </c>
      <c r="W85" s="5">
        <f>-3386+5327+585</f>
        <v>2526</v>
      </c>
      <c r="X85" s="5">
        <f>-5730+8575-W85</f>
        <v>319</v>
      </c>
      <c r="Y85" s="5">
        <f>-16401+10964+642-X85-W85+494</f>
        <v>-7146</v>
      </c>
      <c r="Z85" s="5"/>
      <c r="AA85" s="5"/>
      <c r="AB85" s="5"/>
      <c r="AC85" s="5"/>
      <c r="AD85" s="5"/>
      <c r="AI85" s="36"/>
      <c r="AJ85" s="36"/>
      <c r="AK85" s="36"/>
      <c r="AL85" s="36"/>
      <c r="AM85" s="36"/>
      <c r="AN85" s="36"/>
      <c r="AO85" s="28"/>
      <c r="AP85" s="36"/>
      <c r="AQ85" s="36"/>
      <c r="AR85" s="36"/>
      <c r="AS85" s="36"/>
      <c r="AT85" s="36"/>
      <c r="AU85" s="28"/>
      <c r="AV85" s="36"/>
      <c r="AW85" s="36"/>
      <c r="AX85" s="36"/>
      <c r="AY85" s="28"/>
      <c r="AZ85" s="28"/>
      <c r="BA85" s="36"/>
      <c r="BB85" s="36"/>
      <c r="BC85" s="28"/>
      <c r="BD85" s="36"/>
      <c r="BE85" s="36"/>
      <c r="BF85" s="36"/>
      <c r="BG85" s="36"/>
      <c r="BH85" s="36"/>
      <c r="BI85" s="36"/>
      <c r="BJ85" s="36"/>
      <c r="BK85" s="36"/>
      <c r="BL85" s="28"/>
      <c r="BM85" s="36"/>
      <c r="BN85" s="36"/>
      <c r="BO85" s="28"/>
      <c r="BP85" s="28"/>
      <c r="BT85" s="28"/>
      <c r="BV85" s="28"/>
      <c r="BW85" s="28"/>
    </row>
    <row r="86" spans="2:90" s="2" customFormat="1" x14ac:dyDescent="0.25">
      <c r="B86" s="2" t="s">
        <v>45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735</v>
      </c>
      <c r="P86" s="5">
        <f>458-O86</f>
        <v>-277</v>
      </c>
      <c r="Q86" s="5">
        <f>518-P86-O86</f>
        <v>60</v>
      </c>
      <c r="R86" s="5">
        <f>0-Q86-P86-O86</f>
        <v>-518</v>
      </c>
      <c r="S86" s="5">
        <v>0</v>
      </c>
      <c r="T86" s="5">
        <v>0</v>
      </c>
      <c r="U86" s="5">
        <v>0</v>
      </c>
      <c r="V86" s="5">
        <v>0</v>
      </c>
      <c r="W86" s="5">
        <v>1935</v>
      </c>
      <c r="X86" s="5">
        <f>1935-W86</f>
        <v>0</v>
      </c>
      <c r="Y86" s="5">
        <f>6186-X86-W86</f>
        <v>4251</v>
      </c>
      <c r="Z86" s="5"/>
      <c r="AA86" s="5"/>
      <c r="AB86" s="5"/>
      <c r="AC86" s="5"/>
      <c r="AD86" s="5"/>
      <c r="AI86" s="36"/>
      <c r="AJ86" s="36"/>
      <c r="AK86" s="36"/>
      <c r="AL86" s="36"/>
      <c r="AM86" s="36"/>
      <c r="AN86" s="36"/>
      <c r="AO86" s="28"/>
      <c r="AP86" s="36"/>
      <c r="AQ86" s="36"/>
      <c r="AR86" s="36"/>
      <c r="AS86" s="36"/>
      <c r="AT86" s="36"/>
      <c r="AU86" s="28"/>
      <c r="AV86" s="36"/>
      <c r="AW86" s="36"/>
      <c r="AX86" s="36"/>
      <c r="AY86" s="28"/>
      <c r="AZ86" s="28"/>
      <c r="BA86" s="36"/>
      <c r="BB86" s="36"/>
      <c r="BC86" s="28"/>
      <c r="BD86" s="36"/>
      <c r="BE86" s="36"/>
      <c r="BF86" s="36"/>
      <c r="BG86" s="36"/>
      <c r="BH86" s="36"/>
      <c r="BI86" s="36"/>
      <c r="BJ86" s="36"/>
      <c r="BK86" s="36"/>
      <c r="BL86" s="28"/>
      <c r="BM86" s="36"/>
      <c r="BN86" s="36"/>
      <c r="BO86" s="28"/>
      <c r="BP86" s="28"/>
      <c r="BT86" s="28"/>
      <c r="BV86" s="28"/>
      <c r="BW86" s="28"/>
    </row>
    <row r="87" spans="2:90" s="2" customFormat="1" x14ac:dyDescent="0.25">
      <c r="B87" s="2" t="s">
        <v>151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f>SUM(O82:O86)</f>
        <v>-8521</v>
      </c>
      <c r="P87" s="5">
        <f>SUM(P82:P86)</f>
        <v>-2808</v>
      </c>
      <c r="Q87" s="5">
        <f>SUM(Q82:Q86)</f>
        <v>-7394</v>
      </c>
      <c r="R87" s="5">
        <f>SUM(R82:R86)</f>
        <v>-5318</v>
      </c>
      <c r="S87" s="5">
        <f t="shared" ref="S87" si="235">SUM(S82:S86)</f>
        <v>-2563</v>
      </c>
      <c r="T87" s="5">
        <f t="shared" ref="T87" si="236">SUM(T82:T86)</f>
        <v>-9165</v>
      </c>
      <c r="U87" s="5">
        <f t="shared" ref="U87" si="237">SUM(U82:U86)</f>
        <v>-2764</v>
      </c>
      <c r="V87" s="5">
        <f t="shared" ref="V87" si="238">SUM(V82:V86)</f>
        <v>-3764</v>
      </c>
      <c r="W87" s="5">
        <f t="shared" ref="W87:Y87" si="239">SUM(W82:W86)</f>
        <v>81</v>
      </c>
      <c r="X87" s="5">
        <f t="shared" si="239"/>
        <v>-2086</v>
      </c>
      <c r="Y87" s="5">
        <f t="shared" si="239"/>
        <v>-6250</v>
      </c>
      <c r="Z87" s="5"/>
      <c r="AA87" s="5"/>
      <c r="AB87" s="5"/>
      <c r="AC87" s="5"/>
      <c r="AD87" s="5"/>
      <c r="AI87" s="36"/>
      <c r="AJ87" s="36"/>
      <c r="AK87" s="36"/>
      <c r="AL87" s="36"/>
      <c r="AM87" s="36"/>
      <c r="AN87" s="36"/>
      <c r="AO87" s="28"/>
      <c r="AP87" s="36"/>
      <c r="AQ87" s="36"/>
      <c r="AR87" s="36"/>
      <c r="AS87" s="36"/>
      <c r="AT87" s="36"/>
      <c r="AU87" s="28"/>
      <c r="AV87" s="36"/>
      <c r="AW87" s="36"/>
      <c r="AX87" s="36"/>
      <c r="AY87" s="28"/>
      <c r="AZ87" s="28"/>
      <c r="BA87" s="36"/>
      <c r="BB87" s="36"/>
      <c r="BC87" s="28"/>
      <c r="BD87" s="36"/>
      <c r="BE87" s="36"/>
      <c r="BF87" s="36"/>
      <c r="BG87" s="36"/>
      <c r="BH87" s="36"/>
      <c r="BI87" s="36"/>
      <c r="BJ87" s="36"/>
      <c r="BK87" s="36"/>
      <c r="BL87" s="28"/>
      <c r="BM87" s="36"/>
      <c r="BN87" s="36"/>
      <c r="BO87" s="28"/>
      <c r="BP87" s="28"/>
      <c r="BT87" s="28"/>
      <c r="BV87" s="28"/>
      <c r="BW87" s="28"/>
    </row>
    <row r="88" spans="2:90" x14ac:dyDescent="0.25">
      <c r="B88" s="2"/>
      <c r="S88" s="5"/>
      <c r="T88" s="5"/>
      <c r="U88" s="5"/>
      <c r="V88" s="5"/>
      <c r="W88" s="5"/>
      <c r="X88" s="5"/>
      <c r="BS88" s="2"/>
      <c r="BT88" s="28"/>
      <c r="BU88" s="2"/>
      <c r="BV88" s="28"/>
      <c r="BW88" s="28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</row>
    <row r="89" spans="2:90" s="2" customFormat="1" x14ac:dyDescent="0.25">
      <c r="B89" s="2" t="s">
        <v>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f>-2930-15+10968</f>
        <v>8023</v>
      </c>
      <c r="P89" s="5">
        <f>-3944-96+10968-O89</f>
        <v>-1095</v>
      </c>
      <c r="Q89" s="5">
        <f>-3944-96+11391-423-P89-O89</f>
        <v>0</v>
      </c>
      <c r="R89" s="5">
        <f>-3944-96+11391-423-Q89-P89-O89</f>
        <v>0</v>
      </c>
      <c r="S89" s="5">
        <f>793+2537</f>
        <v>3330</v>
      </c>
      <c r="T89" s="5">
        <f>5804-2609-S89+2975-2288</f>
        <v>552</v>
      </c>
      <c r="U89" s="5">
        <f>2975-2288-T89-S89</f>
        <v>-3195</v>
      </c>
      <c r="V89" s="5">
        <f>2975-2288-U89-T89-S89</f>
        <v>0</v>
      </c>
      <c r="W89" s="5">
        <f>1496-1500</f>
        <v>-4</v>
      </c>
      <c r="X89" s="5">
        <f>3493-1496-W89-1500</f>
        <v>501</v>
      </c>
      <c r="Y89" s="5">
        <f>-3750-X89-W89</f>
        <v>-4247</v>
      </c>
      <c r="Z89" s="5"/>
      <c r="AA89" s="5"/>
      <c r="AB89" s="5"/>
      <c r="AC89" s="5"/>
      <c r="AD89" s="5"/>
      <c r="AI89" s="36"/>
      <c r="AJ89" s="36"/>
      <c r="AK89" s="36"/>
      <c r="AL89" s="36"/>
      <c r="AM89" s="36"/>
      <c r="AN89" s="36"/>
      <c r="AO89" s="28"/>
      <c r="AP89" s="36"/>
      <c r="AQ89" s="36"/>
      <c r="AR89" s="36"/>
      <c r="AS89" s="36"/>
      <c r="AT89" s="36"/>
      <c r="AU89" s="28"/>
      <c r="AV89" s="36"/>
      <c r="AW89" s="36"/>
      <c r="AX89" s="36"/>
      <c r="AY89" s="28"/>
      <c r="AZ89" s="28"/>
      <c r="BA89" s="36"/>
      <c r="BB89" s="36"/>
      <c r="BC89" s="28"/>
      <c r="BD89" s="36"/>
      <c r="BE89" s="36"/>
      <c r="BF89" s="36"/>
      <c r="BG89" s="36"/>
      <c r="BH89" s="36"/>
      <c r="BI89" s="36"/>
      <c r="BJ89" s="36"/>
      <c r="BK89" s="36"/>
      <c r="BL89" s="28"/>
      <c r="BM89" s="36"/>
      <c r="BN89" s="36"/>
      <c r="BO89" s="28"/>
      <c r="BP89" s="28"/>
      <c r="BT89" s="28"/>
      <c r="BV89" s="28"/>
      <c r="BW89" s="28"/>
    </row>
    <row r="90" spans="2:90" s="2" customFormat="1" x14ac:dyDescent="0.25">
      <c r="B90" s="2" t="s">
        <v>154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449</v>
      </c>
      <c r="P90" s="5">
        <f>834-O90</f>
        <v>385</v>
      </c>
      <c r="Q90" s="5">
        <f>1106-P90-O90</f>
        <v>272</v>
      </c>
      <c r="R90" s="5">
        <f>1511-Q90-P90-O90</f>
        <v>405</v>
      </c>
      <c r="S90" s="5">
        <v>423</v>
      </c>
      <c r="T90" s="5">
        <f>11861-S90</f>
        <v>11438</v>
      </c>
      <c r="U90" s="5">
        <f>12278-T90-S90</f>
        <v>417</v>
      </c>
      <c r="V90" s="5">
        <f>12714-U90-T90-S90</f>
        <v>436</v>
      </c>
      <c r="W90" s="5">
        <v>955</v>
      </c>
      <c r="X90" s="5">
        <f>2238-W90</f>
        <v>1283</v>
      </c>
      <c r="Y90" s="5">
        <f>3652-X90-W90</f>
        <v>1414</v>
      </c>
      <c r="Z90" s="5"/>
      <c r="AA90" s="5"/>
      <c r="AB90" s="5"/>
      <c r="AC90" s="5"/>
      <c r="AD90" s="5"/>
      <c r="AI90" s="36"/>
      <c r="AJ90" s="36"/>
      <c r="AK90" s="36"/>
      <c r="AL90" s="36"/>
      <c r="AM90" s="36"/>
      <c r="AN90" s="36"/>
      <c r="AO90" s="28"/>
      <c r="AP90" s="36"/>
      <c r="AQ90" s="36"/>
      <c r="AR90" s="36"/>
      <c r="AS90" s="36"/>
      <c r="AT90" s="36"/>
      <c r="AU90" s="28"/>
      <c r="AV90" s="36"/>
      <c r="AW90" s="36"/>
      <c r="AX90" s="36"/>
      <c r="AY90" s="28"/>
      <c r="AZ90" s="28"/>
      <c r="BA90" s="36"/>
      <c r="BB90" s="36"/>
      <c r="BC90" s="28"/>
      <c r="BD90" s="36"/>
      <c r="BE90" s="36"/>
      <c r="BF90" s="36"/>
      <c r="BG90" s="36"/>
      <c r="BH90" s="36"/>
      <c r="BI90" s="36"/>
      <c r="BJ90" s="36"/>
      <c r="BK90" s="36"/>
      <c r="BL90" s="28"/>
      <c r="BM90" s="36"/>
      <c r="BN90" s="36"/>
      <c r="BO90" s="28"/>
      <c r="BP90" s="28"/>
      <c r="BT90" s="28"/>
      <c r="BV90" s="28"/>
      <c r="BW90" s="28"/>
    </row>
    <row r="91" spans="2:90" s="2" customFormat="1" x14ac:dyDescent="0.25">
      <c r="B91" s="2" t="s">
        <v>58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0</v>
      </c>
      <c r="P91" s="5">
        <f>1573-O91</f>
        <v>1573</v>
      </c>
      <c r="Q91" s="5">
        <f>2423-P91-O91</f>
        <v>850</v>
      </c>
      <c r="R91" s="5">
        <f>2959-Q91-P91-O91</f>
        <v>536</v>
      </c>
      <c r="S91" s="5">
        <v>0</v>
      </c>
      <c r="T91" s="5">
        <v>0</v>
      </c>
      <c r="U91" s="5">
        <v>0</v>
      </c>
      <c r="V91" s="5"/>
      <c r="W91" s="5"/>
      <c r="X91" s="5"/>
      <c r="Y91" s="5"/>
      <c r="Z91" s="5"/>
      <c r="AA91" s="5"/>
      <c r="AB91" s="5"/>
      <c r="AC91" s="5"/>
      <c r="AD91" s="5"/>
      <c r="AI91" s="36"/>
      <c r="AJ91" s="36"/>
      <c r="AK91" s="36"/>
      <c r="AL91" s="36"/>
      <c r="AM91" s="36"/>
      <c r="AN91" s="36"/>
      <c r="AO91" s="28"/>
      <c r="AP91" s="36"/>
      <c r="AQ91" s="36"/>
      <c r="AR91" s="36"/>
      <c r="AS91" s="36"/>
      <c r="AT91" s="36"/>
      <c r="AU91" s="28"/>
      <c r="AV91" s="36"/>
      <c r="AW91" s="36"/>
      <c r="AX91" s="36"/>
      <c r="AY91" s="28"/>
      <c r="AZ91" s="28"/>
      <c r="BA91" s="36"/>
      <c r="BB91" s="36"/>
      <c r="BC91" s="28"/>
      <c r="BD91" s="36"/>
      <c r="BE91" s="36"/>
      <c r="BF91" s="36"/>
      <c r="BG91" s="36"/>
      <c r="BH91" s="36"/>
      <c r="BI91" s="36"/>
      <c r="BJ91" s="36"/>
      <c r="BK91" s="36"/>
      <c r="BL91" s="28"/>
      <c r="BM91" s="36"/>
      <c r="BN91" s="36"/>
      <c r="BO91" s="28"/>
      <c r="BP91" s="28"/>
      <c r="BT91" s="28"/>
      <c r="BV91" s="28"/>
      <c r="BW91" s="28"/>
    </row>
    <row r="92" spans="2:90" s="2" customFormat="1" x14ac:dyDescent="0.25">
      <c r="B92" s="2" t="s">
        <v>155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659</v>
      </c>
      <c r="P92" s="5">
        <f>0-O92</f>
        <v>-659</v>
      </c>
      <c r="Q92" s="5">
        <v>0</v>
      </c>
      <c r="R92" s="5">
        <f>1042-Q92-P92-O92</f>
        <v>1042</v>
      </c>
      <c r="S92" s="5">
        <v>626</v>
      </c>
      <c r="T92" s="5">
        <f>631-S92</f>
        <v>5</v>
      </c>
      <c r="U92" s="5">
        <f>986-T92-S92</f>
        <v>355</v>
      </c>
      <c r="V92" s="5">
        <f>987-U92-T92-S92-631</f>
        <v>-630</v>
      </c>
      <c r="W92" s="5">
        <v>491</v>
      </c>
      <c r="X92" s="5">
        <f>491-W92</f>
        <v>0</v>
      </c>
      <c r="Y92" s="5">
        <f>777-X92-W92</f>
        <v>286</v>
      </c>
      <c r="Z92" s="5"/>
      <c r="AA92" s="5"/>
      <c r="AB92" s="5"/>
      <c r="AC92" s="5"/>
      <c r="AD92" s="5"/>
      <c r="AI92" s="36"/>
      <c r="AJ92" s="36"/>
      <c r="AK92" s="36"/>
      <c r="AL92" s="36"/>
      <c r="AM92" s="36"/>
      <c r="AN92" s="36"/>
      <c r="AO92" s="28"/>
      <c r="AP92" s="36"/>
      <c r="AQ92" s="36"/>
      <c r="AR92" s="36"/>
      <c r="AS92" s="36"/>
      <c r="AT92" s="36"/>
      <c r="AU92" s="28"/>
      <c r="AV92" s="36"/>
      <c r="AW92" s="36"/>
      <c r="AX92" s="36"/>
      <c r="AY92" s="28"/>
      <c r="AZ92" s="28"/>
      <c r="BA92" s="36"/>
      <c r="BB92" s="36"/>
      <c r="BC92" s="28"/>
      <c r="BD92" s="36"/>
      <c r="BE92" s="36"/>
      <c r="BF92" s="36"/>
      <c r="BG92" s="36"/>
      <c r="BH92" s="36"/>
      <c r="BI92" s="36"/>
      <c r="BJ92" s="36"/>
      <c r="BK92" s="36"/>
      <c r="BL92" s="28"/>
      <c r="BM92" s="36"/>
      <c r="BN92" s="36"/>
      <c r="BO92" s="28"/>
      <c r="BP92" s="28"/>
      <c r="BT92" s="28"/>
      <c r="BV92" s="28"/>
      <c r="BW92" s="28"/>
    </row>
    <row r="93" spans="2:90" s="2" customFormat="1" x14ac:dyDescent="0.25">
      <c r="B93" s="2" t="s">
        <v>156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-1512</v>
      </c>
      <c r="P93" s="5">
        <f>-2036-O93</f>
        <v>-524</v>
      </c>
      <c r="Q93" s="5">
        <f>-2561-P93-O93</f>
        <v>-525</v>
      </c>
      <c r="R93" s="5">
        <f>-3088-Q93-P93-O93</f>
        <v>-527</v>
      </c>
      <c r="S93" s="5">
        <v>-529</v>
      </c>
      <c r="T93" s="5">
        <f>-1063-S93</f>
        <v>-534</v>
      </c>
      <c r="U93" s="5">
        <f>-1599-T93-S93</f>
        <v>-536</v>
      </c>
      <c r="V93" s="5">
        <f>-1599-U93-T93-S93</f>
        <v>0</v>
      </c>
      <c r="W93" s="5">
        <v>0</v>
      </c>
      <c r="X93" s="5">
        <v>0</v>
      </c>
      <c r="Y93" s="5">
        <v>0</v>
      </c>
      <c r="Z93" s="5"/>
      <c r="AA93" s="5"/>
      <c r="AB93" s="5"/>
      <c r="AC93" s="5"/>
      <c r="AD93" s="5"/>
      <c r="AI93" s="36"/>
      <c r="AJ93" s="36"/>
      <c r="AK93" s="36"/>
      <c r="AL93" s="36"/>
      <c r="AM93" s="36"/>
      <c r="AN93" s="36"/>
      <c r="AO93" s="28"/>
      <c r="AP93" s="36"/>
      <c r="AQ93" s="36"/>
      <c r="AR93" s="36"/>
      <c r="AS93" s="36"/>
      <c r="AT93" s="36"/>
      <c r="AU93" s="28"/>
      <c r="AV93" s="36"/>
      <c r="AW93" s="36"/>
      <c r="AX93" s="36"/>
      <c r="AY93" s="28"/>
      <c r="AZ93" s="28"/>
      <c r="BA93" s="36"/>
      <c r="BB93" s="36"/>
      <c r="BC93" s="28"/>
      <c r="BD93" s="36"/>
      <c r="BE93" s="36"/>
      <c r="BF93" s="36"/>
      <c r="BG93" s="36"/>
      <c r="BH93" s="36"/>
      <c r="BI93" s="36"/>
      <c r="BJ93" s="36"/>
      <c r="BK93" s="36"/>
      <c r="BL93" s="28"/>
      <c r="BM93" s="36"/>
      <c r="BN93" s="36"/>
      <c r="BO93" s="28"/>
      <c r="BP93" s="28"/>
      <c r="BT93" s="28"/>
      <c r="BV93" s="28"/>
      <c r="BW93" s="28"/>
    </row>
    <row r="94" spans="2:90" s="2" customFormat="1" x14ac:dyDescent="0.25">
      <c r="B94" s="2" t="s">
        <v>157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-225</v>
      </c>
      <c r="P94" s="5">
        <f>212-O94</f>
        <v>437</v>
      </c>
      <c r="Q94" s="5">
        <f>457-P94-O94</f>
        <v>245</v>
      </c>
      <c r="R94" s="5">
        <f>-847-Q94-P94-O94</f>
        <v>-1304</v>
      </c>
      <c r="S94" s="5">
        <v>-220</v>
      </c>
      <c r="T94" s="5">
        <f>-444-S94</f>
        <v>-224</v>
      </c>
      <c r="U94" s="5">
        <f>-1277-T94-S94</f>
        <v>-833</v>
      </c>
      <c r="V94" s="5">
        <f>-1178-U94-T94-S94+158</f>
        <v>257</v>
      </c>
      <c r="W94" s="5">
        <f>-1020-618</f>
        <v>-1638</v>
      </c>
      <c r="X94" s="5">
        <f>-1962-W94-678</f>
        <v>-1002</v>
      </c>
      <c r="Y94" s="5">
        <f>922-X94-W94-2493+3737+3945-1052</f>
        <v>7699</v>
      </c>
      <c r="Z94" s="5"/>
      <c r="AA94" s="5"/>
      <c r="AB94" s="5"/>
      <c r="AC94" s="5"/>
      <c r="AD94" s="5"/>
      <c r="AI94" s="36"/>
      <c r="AJ94" s="36"/>
      <c r="AK94" s="36"/>
      <c r="AL94" s="36"/>
      <c r="AM94" s="36"/>
      <c r="AN94" s="36"/>
      <c r="AO94" s="28"/>
      <c r="AP94" s="36"/>
      <c r="AQ94" s="36"/>
      <c r="AR94" s="36"/>
      <c r="AS94" s="36"/>
      <c r="AT94" s="36"/>
      <c r="AU94" s="28"/>
      <c r="AV94" s="36"/>
      <c r="AW94" s="36"/>
      <c r="AX94" s="36"/>
      <c r="AY94" s="28"/>
      <c r="AZ94" s="28"/>
      <c r="BA94" s="36"/>
      <c r="BB94" s="36"/>
      <c r="BC94" s="28"/>
      <c r="BD94" s="36"/>
      <c r="BE94" s="36"/>
      <c r="BF94" s="36"/>
      <c r="BG94" s="36"/>
      <c r="BH94" s="36"/>
      <c r="BI94" s="36"/>
      <c r="BJ94" s="36"/>
      <c r="BK94" s="36"/>
      <c r="BL94" s="28"/>
      <c r="BM94" s="36"/>
      <c r="BN94" s="36"/>
      <c r="BO94" s="28"/>
      <c r="BP94" s="28"/>
      <c r="BT94" s="28"/>
      <c r="BV94" s="28"/>
      <c r="BW94" s="28"/>
    </row>
    <row r="95" spans="2:90" s="2" customFormat="1" x14ac:dyDescent="0.25">
      <c r="B95" s="2" t="s">
        <v>153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f>SUM(O89:O94)</f>
        <v>7394</v>
      </c>
      <c r="P95" s="5">
        <f>SUM(P89:P94)</f>
        <v>117</v>
      </c>
      <c r="Q95" s="5">
        <f>SUM(Q89:Q94)</f>
        <v>842</v>
      </c>
      <c r="R95" s="5">
        <f t="shared" ref="R95:Y95" si="240">SUM(R89:R94)</f>
        <v>152</v>
      </c>
      <c r="S95" s="5">
        <f t="shared" si="240"/>
        <v>3630</v>
      </c>
      <c r="T95" s="5">
        <f t="shared" si="240"/>
        <v>11237</v>
      </c>
      <c r="U95" s="5">
        <f t="shared" si="240"/>
        <v>-3792</v>
      </c>
      <c r="V95" s="5">
        <f>SUM(V89:V94)</f>
        <v>63</v>
      </c>
      <c r="W95" s="5">
        <f t="shared" si="240"/>
        <v>-196</v>
      </c>
      <c r="X95" s="5">
        <f t="shared" si="240"/>
        <v>782</v>
      </c>
      <c r="Y95" s="5">
        <f t="shared" si="240"/>
        <v>5152</v>
      </c>
      <c r="Z95" s="5"/>
      <c r="AA95" s="5"/>
      <c r="AB95" s="5"/>
      <c r="AC95" s="5"/>
      <c r="AD95" s="5"/>
      <c r="AI95" s="36"/>
      <c r="AJ95" s="36"/>
      <c r="AK95" s="36"/>
      <c r="AL95" s="36"/>
      <c r="AM95" s="36"/>
      <c r="AN95" s="36"/>
      <c r="AO95" s="28"/>
      <c r="AP95" s="36"/>
      <c r="AQ95" s="36"/>
      <c r="AR95" s="36"/>
      <c r="AS95" s="36"/>
      <c r="AT95" s="36"/>
      <c r="AU95" s="28"/>
      <c r="AV95" s="36"/>
      <c r="AW95" s="36"/>
      <c r="AX95" s="36"/>
      <c r="AY95" s="28"/>
      <c r="AZ95" s="28"/>
      <c r="BA95" s="36"/>
      <c r="BB95" s="36"/>
      <c r="BC95" s="28"/>
      <c r="BD95" s="36"/>
      <c r="BE95" s="36"/>
      <c r="BF95" s="36"/>
      <c r="BG95" s="36"/>
      <c r="BH95" s="36"/>
      <c r="BI95" s="36"/>
      <c r="BJ95" s="36"/>
      <c r="BK95" s="36"/>
      <c r="BL95" s="28"/>
      <c r="BM95" s="36"/>
      <c r="BN95" s="36"/>
      <c r="BO95" s="28"/>
      <c r="BP95" s="28"/>
      <c r="BT95" s="28"/>
      <c r="BV95" s="28"/>
      <c r="BW95" s="28"/>
    </row>
    <row r="96" spans="2:90" x14ac:dyDescent="0.25">
      <c r="B96" s="2" t="s">
        <v>158</v>
      </c>
      <c r="O96" s="5">
        <f>+O95+O87+O80</f>
        <v>-2912</v>
      </c>
      <c r="P96" s="5">
        <f>+P95+P87+P80</f>
        <v>117</v>
      </c>
      <c r="Q96" s="5">
        <f>+Q95+Q87+Q80</f>
        <v>-728</v>
      </c>
      <c r="R96" s="5">
        <f t="shared" ref="R96:Y96" si="241">+R95+R87+R80</f>
        <v>-542</v>
      </c>
      <c r="S96" s="5">
        <f t="shared" si="241"/>
        <v>-156</v>
      </c>
      <c r="T96" s="5">
        <f t="shared" si="241"/>
        <v>4364</v>
      </c>
      <c r="U96" s="5">
        <f t="shared" si="241"/>
        <v>-2502</v>
      </c>
      <c r="V96" s="5">
        <f t="shared" si="241"/>
        <v>-536</v>
      </c>
      <c r="W96" s="5">
        <f t="shared" si="241"/>
        <v>698</v>
      </c>
      <c r="X96" s="5">
        <f t="shared" si="241"/>
        <v>746</v>
      </c>
      <c r="Y96" s="5">
        <f t="shared" si="241"/>
        <v>1448</v>
      </c>
      <c r="BS96" s="2"/>
      <c r="BT96" s="28"/>
      <c r="BU96" s="2"/>
      <c r="BV96" s="28"/>
      <c r="BW96" s="28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</row>
    <row r="97" spans="2:90" x14ac:dyDescent="0.25">
      <c r="B97" s="2"/>
      <c r="S97" s="5"/>
      <c r="T97" s="5"/>
      <c r="U97" s="5"/>
      <c r="V97" s="5"/>
      <c r="W97" s="5"/>
      <c r="X97" s="5"/>
      <c r="BS97" s="2"/>
      <c r="BT97" s="28"/>
      <c r="BU97" s="2"/>
      <c r="BV97" s="28"/>
      <c r="BW97" s="28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</row>
    <row r="98" spans="2:90" ht="13" x14ac:dyDescent="0.3">
      <c r="B98" s="2" t="s">
        <v>48</v>
      </c>
      <c r="O98" s="5">
        <f t="shared" ref="O98:U98" si="242">+O82+O80</f>
        <v>-9198</v>
      </c>
      <c r="P98" s="5">
        <f t="shared" si="242"/>
        <v>-3080</v>
      </c>
      <c r="Q98" s="5">
        <f t="shared" si="242"/>
        <v>71</v>
      </c>
      <c r="R98" s="5">
        <f t="shared" si="242"/>
        <v>-2072</v>
      </c>
      <c r="S98" s="5">
        <f t="shared" si="242"/>
        <v>-7193</v>
      </c>
      <c r="T98" s="5">
        <f t="shared" si="242"/>
        <v>-3390</v>
      </c>
      <c r="U98" s="5">
        <f t="shared" si="242"/>
        <v>-2404</v>
      </c>
      <c r="V98" s="5">
        <f t="shared" ref="V98:Z98" si="243">+V82+V80</f>
        <v>-2669</v>
      </c>
      <c r="W98" s="5">
        <f t="shared" si="243"/>
        <v>-4370</v>
      </c>
      <c r="X98" s="5">
        <f t="shared" si="243"/>
        <v>-1500</v>
      </c>
      <c r="Y98" s="5">
        <f t="shared" si="243"/>
        <v>121</v>
      </c>
      <c r="Z98" s="5">
        <f t="shared" si="243"/>
        <v>800</v>
      </c>
      <c r="BS98" s="6">
        <f t="shared" ref="BS98:CE98" si="244">+BS80-BS82</f>
        <v>8980</v>
      </c>
      <c r="BT98" s="29">
        <f t="shared" si="244"/>
        <v>4772</v>
      </c>
      <c r="BU98" s="6">
        <f t="shared" si="244"/>
        <v>7625</v>
      </c>
      <c r="BV98" s="29">
        <f t="shared" si="244"/>
        <v>5729</v>
      </c>
      <c r="BW98" s="29">
        <f t="shared" si="244"/>
        <v>6655</v>
      </c>
      <c r="BX98" s="6">
        <f t="shared" si="244"/>
        <v>11485</v>
      </c>
      <c r="BY98" s="6">
        <f t="shared" si="244"/>
        <v>15756</v>
      </c>
      <c r="BZ98" s="6">
        <f t="shared" si="244"/>
        <v>7857</v>
      </c>
      <c r="CA98" s="6">
        <f t="shared" si="244"/>
        <v>10065</v>
      </c>
      <c r="CB98" s="6">
        <f t="shared" si="244"/>
        <v>10313</v>
      </c>
      <c r="CC98" s="6">
        <f t="shared" si="244"/>
        <v>11691</v>
      </c>
      <c r="CD98" s="6">
        <f t="shared" si="244"/>
        <v>12183</v>
      </c>
      <c r="CE98" s="6">
        <f t="shared" si="244"/>
        <v>10332</v>
      </c>
      <c r="CF98" s="6">
        <f t="shared" ref="CF98:CL98" si="245">+CF80+CF82</f>
        <v>14251</v>
      </c>
      <c r="CG98" s="6">
        <f t="shared" si="245"/>
        <v>16932</v>
      </c>
      <c r="CH98" s="6">
        <f t="shared" si="245"/>
        <v>21605</v>
      </c>
      <c r="CI98" s="6">
        <f t="shared" si="245"/>
        <v>10723</v>
      </c>
      <c r="CJ98" s="6">
        <f t="shared" si="245"/>
        <v>-9411</v>
      </c>
      <c r="CK98" s="6">
        <f t="shared" si="245"/>
        <v>-14279</v>
      </c>
      <c r="CL98" s="6">
        <f t="shared" si="245"/>
        <v>-15656</v>
      </c>
    </row>
    <row r="99" spans="2:90" x14ac:dyDescent="0.25">
      <c r="B99" s="2" t="s">
        <v>144</v>
      </c>
      <c r="BY99" s="2">
        <f t="shared" ref="BY99:CL99" si="246">+BY40-BY98</f>
        <v>-3050</v>
      </c>
      <c r="BZ99" s="2">
        <f t="shared" si="246"/>
        <v>3127</v>
      </c>
      <c r="CA99" s="2">
        <f t="shared" si="246"/>
        <v>-385</v>
      </c>
      <c r="CB99" s="2">
        <f t="shared" si="246"/>
        <v>1569</v>
      </c>
      <c r="CC99" s="2">
        <f t="shared" si="246"/>
        <v>33</v>
      </c>
      <c r="CD99" s="2">
        <f t="shared" si="246"/>
        <v>-193</v>
      </c>
      <c r="CE99" s="2">
        <f t="shared" si="246"/>
        <v>7930</v>
      </c>
      <c r="CF99" s="2">
        <f t="shared" si="246"/>
        <v>6855</v>
      </c>
      <c r="CG99" s="2">
        <f t="shared" si="246"/>
        <v>2970</v>
      </c>
      <c r="CH99" s="2">
        <f t="shared" si="246"/>
        <v>-2412</v>
      </c>
      <c r="CI99" s="2">
        <f t="shared" si="246"/>
        <v>9042</v>
      </c>
      <c r="CJ99" s="2">
        <f t="shared" si="246"/>
        <v>13162</v>
      </c>
      <c r="CK99" s="2">
        <f t="shared" si="246"/>
        <v>14811</v>
      </c>
      <c r="CL99" s="2">
        <f t="shared" si="246"/>
        <v>11630.16</v>
      </c>
    </row>
    <row r="101" spans="2:90" x14ac:dyDescent="0.25">
      <c r="B101" t="s">
        <v>82</v>
      </c>
      <c r="P101" s="5">
        <v>126800</v>
      </c>
      <c r="Q101" s="5"/>
      <c r="R101" s="5"/>
      <c r="S101" s="5">
        <v>125200</v>
      </c>
      <c r="T101" s="5">
        <v>125300</v>
      </c>
    </row>
    <row r="103" spans="2:90" x14ac:dyDescent="0.25">
      <c r="B103" t="s">
        <v>287</v>
      </c>
      <c r="N103" s="5">
        <f>-5169-M103-L103-K103</f>
        <v>-5169</v>
      </c>
      <c r="Q103" s="5">
        <v>-1407</v>
      </c>
      <c r="R103" s="5">
        <f>-6955-Q103-P103-O103</f>
        <v>-5548</v>
      </c>
      <c r="S103" s="5">
        <v>-2441</v>
      </c>
      <c r="T103" s="5">
        <v>-2802</v>
      </c>
      <c r="U103" s="5">
        <f>-5844+2100+945</f>
        <v>-2799</v>
      </c>
      <c r="V103" s="5">
        <f>-13408-U103-T103-S103</f>
        <v>-5366</v>
      </c>
      <c r="W103" s="5">
        <v>-2320</v>
      </c>
      <c r="X103" s="5">
        <f>-3168+460+337</f>
        <v>-2371</v>
      </c>
      <c r="Y103" s="5">
        <f>-2321+460+337</f>
        <v>-1524</v>
      </c>
    </row>
    <row r="104" spans="2:90" x14ac:dyDescent="0.25">
      <c r="B104" t="s">
        <v>289</v>
      </c>
      <c r="Q104" s="5">
        <f t="shared" ref="Q104:X104" si="247">+Q103+Q80</f>
        <v>4417</v>
      </c>
      <c r="R104" s="5">
        <f t="shared" si="247"/>
        <v>-924</v>
      </c>
      <c r="S104" s="5">
        <f t="shared" si="247"/>
        <v>-3664</v>
      </c>
      <c r="T104" s="5">
        <f t="shared" si="247"/>
        <v>-510</v>
      </c>
      <c r="U104" s="5">
        <f t="shared" si="247"/>
        <v>1255</v>
      </c>
      <c r="V104" s="5">
        <f t="shared" si="247"/>
        <v>-2201</v>
      </c>
      <c r="W104" s="5">
        <f t="shared" si="247"/>
        <v>-1507</v>
      </c>
      <c r="X104" s="5">
        <f t="shared" si="247"/>
        <v>-321</v>
      </c>
      <c r="Y104" s="5">
        <f>+Y103+Y80</f>
        <v>1022</v>
      </c>
    </row>
    <row r="105" spans="2:90" x14ac:dyDescent="0.25">
      <c r="Q105" s="5"/>
      <c r="R105" s="5"/>
      <c r="S105" s="5"/>
      <c r="T105" s="5"/>
      <c r="U105" s="5"/>
    </row>
    <row r="106" spans="2:90" x14ac:dyDescent="0.25">
      <c r="Q106" s="5"/>
      <c r="R106" s="5"/>
      <c r="S106" s="5"/>
      <c r="T106" s="5"/>
      <c r="U106" s="5"/>
    </row>
    <row r="108" spans="2:90" x14ac:dyDescent="0.25">
      <c r="B108" t="s">
        <v>257</v>
      </c>
      <c r="U108" s="5">
        <f>+U66-U56</f>
        <v>76209</v>
      </c>
    </row>
  </sheetData>
  <hyperlinks>
    <hyperlink ref="A1" location="Main!A1" display="Main" xr:uid="{5CF14BD8-3E10-4C93-8FB6-1B87FA509CB3}"/>
  </hyperlink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B6BD-4FEB-4E55-92ED-F7D313998745}">
  <dimension ref="A1:F39"/>
  <sheetViews>
    <sheetView zoomScale="190" zoomScaleNormal="190" workbookViewId="0">
      <selection activeCell="D4" sqref="D4"/>
    </sheetView>
  </sheetViews>
  <sheetFormatPr defaultRowHeight="12.5" x14ac:dyDescent="0.25"/>
  <cols>
    <col min="1" max="1" width="5" bestFit="1" customWidth="1"/>
    <col min="2" max="2" width="35.26953125" bestFit="1" customWidth="1"/>
  </cols>
  <sheetData>
    <row r="1" spans="1:6" x14ac:dyDescent="0.25">
      <c r="A1" s="11" t="s">
        <v>7</v>
      </c>
    </row>
    <row r="2" spans="1:6" x14ac:dyDescent="0.25">
      <c r="B2" t="s">
        <v>107</v>
      </c>
    </row>
    <row r="5" spans="1:6" x14ac:dyDescent="0.25">
      <c r="C5" s="3" t="s">
        <v>108</v>
      </c>
      <c r="D5" s="3" t="s">
        <v>110</v>
      </c>
      <c r="E5" s="3" t="s">
        <v>111</v>
      </c>
      <c r="F5" s="3" t="s">
        <v>112</v>
      </c>
    </row>
    <row r="6" spans="1:6" x14ac:dyDescent="0.25">
      <c r="B6" t="s">
        <v>109</v>
      </c>
      <c r="C6" s="3">
        <v>6</v>
      </c>
      <c r="D6" s="3">
        <v>5.6</v>
      </c>
      <c r="E6" s="3">
        <v>5.3</v>
      </c>
      <c r="F6" s="3">
        <v>4.7</v>
      </c>
    </row>
    <row r="7" spans="1:6" x14ac:dyDescent="0.25">
      <c r="B7" t="s">
        <v>113</v>
      </c>
      <c r="C7" s="3">
        <v>5.8</v>
      </c>
      <c r="D7" s="3">
        <v>5.6</v>
      </c>
      <c r="E7" s="3" t="s">
        <v>114</v>
      </c>
      <c r="F7" s="3" t="s">
        <v>114</v>
      </c>
    </row>
    <row r="8" spans="1:6" x14ac:dyDescent="0.25">
      <c r="B8" t="s">
        <v>115</v>
      </c>
      <c r="C8" s="3">
        <v>5.6</v>
      </c>
      <c r="D8" s="3">
        <v>5.5</v>
      </c>
      <c r="E8" s="3">
        <v>5.0999999999999996</v>
      </c>
      <c r="F8" s="3">
        <v>4.7</v>
      </c>
    </row>
    <row r="9" spans="1:6" x14ac:dyDescent="0.25">
      <c r="B9" t="s">
        <v>116</v>
      </c>
      <c r="C9" s="3">
        <v>4.4000000000000004</v>
      </c>
      <c r="D9" s="3">
        <v>4.3</v>
      </c>
      <c r="E9" s="3">
        <v>3.9</v>
      </c>
      <c r="F9" s="3" t="s">
        <v>114</v>
      </c>
    </row>
    <row r="10" spans="1:6" x14ac:dyDescent="0.25">
      <c r="B10" t="s">
        <v>117</v>
      </c>
      <c r="C10" s="3">
        <v>24</v>
      </c>
      <c r="D10" s="3">
        <v>20</v>
      </c>
      <c r="E10" s="3">
        <v>14</v>
      </c>
      <c r="F10" s="3">
        <v>4</v>
      </c>
    </row>
    <row r="11" spans="1:6" x14ac:dyDescent="0.25">
      <c r="B11" t="s">
        <v>118</v>
      </c>
      <c r="C11" s="3">
        <v>8</v>
      </c>
      <c r="D11" s="3">
        <v>8</v>
      </c>
      <c r="E11" s="3">
        <v>6</v>
      </c>
      <c r="F11" s="3">
        <v>4</v>
      </c>
    </row>
    <row r="12" spans="1:6" x14ac:dyDescent="0.25">
      <c r="B12" t="s">
        <v>119</v>
      </c>
      <c r="C12" s="3">
        <v>32</v>
      </c>
      <c r="D12" s="3">
        <v>28</v>
      </c>
      <c r="E12" s="3">
        <v>20</v>
      </c>
      <c r="F12" s="3">
        <v>8</v>
      </c>
    </row>
    <row r="13" spans="1:6" x14ac:dyDescent="0.25">
      <c r="B13" t="s">
        <v>120</v>
      </c>
      <c r="C13" s="3">
        <v>36</v>
      </c>
      <c r="D13" s="3">
        <v>33</v>
      </c>
      <c r="E13" s="3">
        <v>24</v>
      </c>
      <c r="F13" s="3">
        <v>12</v>
      </c>
    </row>
    <row r="16" spans="1:6" x14ac:dyDescent="0.25">
      <c r="B16" t="s">
        <v>125</v>
      </c>
      <c r="C16" t="s">
        <v>123</v>
      </c>
      <c r="E16" t="s">
        <v>126</v>
      </c>
      <c r="F16" s="3">
        <v>3.2</v>
      </c>
    </row>
    <row r="17" spans="2:6" x14ac:dyDescent="0.25">
      <c r="B17" t="s">
        <v>121</v>
      </c>
      <c r="C17" t="s">
        <v>122</v>
      </c>
      <c r="F17" s="3">
        <v>3.2</v>
      </c>
    </row>
    <row r="18" spans="2:6" x14ac:dyDescent="0.25">
      <c r="B18" t="s">
        <v>124</v>
      </c>
      <c r="C18" t="s">
        <v>50</v>
      </c>
      <c r="F18">
        <v>3.4</v>
      </c>
    </row>
    <row r="20" spans="2:6" x14ac:dyDescent="0.25">
      <c r="B20" t="s">
        <v>127</v>
      </c>
    </row>
    <row r="21" spans="2:6" x14ac:dyDescent="0.25">
      <c r="B21" t="s">
        <v>128</v>
      </c>
    </row>
    <row r="22" spans="2:6" x14ac:dyDescent="0.25">
      <c r="B22" t="s">
        <v>129</v>
      </c>
    </row>
    <row r="24" spans="2:6" x14ac:dyDescent="0.25">
      <c r="C24" s="3" t="s">
        <v>264</v>
      </c>
      <c r="D24" s="3" t="s">
        <v>117</v>
      </c>
      <c r="E24" s="3" t="s">
        <v>265</v>
      </c>
    </row>
    <row r="25" spans="2:6" x14ac:dyDescent="0.25">
      <c r="B25" t="s">
        <v>258</v>
      </c>
      <c r="C25">
        <v>5800</v>
      </c>
      <c r="D25">
        <v>14</v>
      </c>
      <c r="E25">
        <v>24</v>
      </c>
    </row>
    <row r="26" spans="2:6" x14ac:dyDescent="0.25">
      <c r="B26" t="s">
        <v>259</v>
      </c>
      <c r="C26">
        <v>5400</v>
      </c>
      <c r="D26">
        <v>24</v>
      </c>
      <c r="E26">
        <v>36</v>
      </c>
    </row>
    <row r="27" spans="2:6" x14ac:dyDescent="0.25">
      <c r="B27" t="s">
        <v>260</v>
      </c>
      <c r="C27">
        <v>5600</v>
      </c>
      <c r="D27">
        <v>24</v>
      </c>
      <c r="E27">
        <v>36</v>
      </c>
    </row>
    <row r="28" spans="2:6" x14ac:dyDescent="0.25">
      <c r="B28" t="s">
        <v>261</v>
      </c>
      <c r="C28">
        <v>5400</v>
      </c>
      <c r="D28">
        <v>10</v>
      </c>
      <c r="E28">
        <v>12</v>
      </c>
    </row>
    <row r="29" spans="2:6" x14ac:dyDescent="0.25">
      <c r="B29" t="s">
        <v>262</v>
      </c>
      <c r="C29">
        <v>5400</v>
      </c>
      <c r="D29">
        <v>14</v>
      </c>
      <c r="E29">
        <v>24</v>
      </c>
    </row>
    <row r="30" spans="2:6" x14ac:dyDescent="0.25">
      <c r="B30" t="s">
        <v>263</v>
      </c>
      <c r="C30">
        <v>5200</v>
      </c>
      <c r="D30">
        <v>10</v>
      </c>
      <c r="E30">
        <v>24</v>
      </c>
    </row>
    <row r="31" spans="2:6" x14ac:dyDescent="0.25">
      <c r="B31" t="s">
        <v>266</v>
      </c>
      <c r="C31">
        <v>5500</v>
      </c>
      <c r="D31">
        <v>24</v>
      </c>
      <c r="E31">
        <v>36</v>
      </c>
    </row>
    <row r="32" spans="2:6" x14ac:dyDescent="0.25">
      <c r="B32" t="s">
        <v>267</v>
      </c>
      <c r="C32">
        <v>6000</v>
      </c>
      <c r="D32">
        <v>24</v>
      </c>
      <c r="E32">
        <v>36</v>
      </c>
    </row>
    <row r="33" spans="2:5" x14ac:dyDescent="0.25">
      <c r="B33" t="s">
        <v>268</v>
      </c>
      <c r="C33">
        <v>6000</v>
      </c>
      <c r="D33">
        <v>24</v>
      </c>
    </row>
    <row r="34" spans="2:5" x14ac:dyDescent="0.25">
      <c r="B34" t="s">
        <v>269</v>
      </c>
      <c r="C34">
        <v>5800</v>
      </c>
      <c r="D34">
        <v>24</v>
      </c>
      <c r="E34">
        <v>36</v>
      </c>
    </row>
    <row r="35" spans="2:5" x14ac:dyDescent="0.25">
      <c r="B35" t="s">
        <v>270</v>
      </c>
      <c r="C35">
        <v>5600</v>
      </c>
      <c r="D35">
        <v>8</v>
      </c>
    </row>
    <row r="36" spans="2:5" x14ac:dyDescent="0.25">
      <c r="B36" t="s">
        <v>271</v>
      </c>
      <c r="C36">
        <v>5800</v>
      </c>
      <c r="D36">
        <v>8</v>
      </c>
    </row>
    <row r="37" spans="2:5" x14ac:dyDescent="0.25">
      <c r="B37" t="s">
        <v>273</v>
      </c>
      <c r="C37">
        <v>4300</v>
      </c>
      <c r="D37">
        <v>32</v>
      </c>
      <c r="E37">
        <v>336</v>
      </c>
    </row>
    <row r="38" spans="2:5" x14ac:dyDescent="0.25">
      <c r="B38" t="s">
        <v>272</v>
      </c>
      <c r="C38">
        <v>4200</v>
      </c>
    </row>
    <row r="39" spans="2:5" x14ac:dyDescent="0.25">
      <c r="B39" t="s">
        <v>274</v>
      </c>
      <c r="C39">
        <v>3900</v>
      </c>
      <c r="D39">
        <v>72</v>
      </c>
      <c r="E39">
        <v>432</v>
      </c>
    </row>
  </sheetData>
  <hyperlinks>
    <hyperlink ref="A1" location="Main!A1" display="Main" xr:uid="{DA3BB37A-D489-4CDC-892B-DF80E61F02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D0D8-24FD-4B75-B1E5-024BBD205C90}">
  <dimension ref="A1:F9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0" sqref="B10"/>
    </sheetView>
  </sheetViews>
  <sheetFormatPr defaultRowHeight="12.5" x14ac:dyDescent="0.25"/>
  <cols>
    <col min="1" max="1" width="5" bestFit="1" customWidth="1"/>
    <col min="2" max="2" width="11.54296875" style="22" customWidth="1"/>
    <col min="3" max="3" width="50.453125" bestFit="1" customWidth="1"/>
    <col min="4" max="4" width="16.1796875" bestFit="1" customWidth="1"/>
    <col min="6" max="6" width="9.54296875" bestFit="1" customWidth="1"/>
  </cols>
  <sheetData>
    <row r="1" spans="1:6" x14ac:dyDescent="0.25">
      <c r="A1" s="11" t="s">
        <v>7</v>
      </c>
    </row>
    <row r="2" spans="1:6" x14ac:dyDescent="0.25">
      <c r="B2" s="22" t="s">
        <v>159</v>
      </c>
      <c r="C2" t="s">
        <v>160</v>
      </c>
      <c r="D2" t="s">
        <v>162</v>
      </c>
      <c r="E2" t="s">
        <v>246</v>
      </c>
      <c r="F2" t="s">
        <v>250</v>
      </c>
    </row>
    <row r="3" spans="1:6" x14ac:dyDescent="0.25">
      <c r="B3" s="22">
        <v>12160492</v>
      </c>
      <c r="C3" t="s">
        <v>245</v>
      </c>
      <c r="D3" t="s">
        <v>244</v>
      </c>
      <c r="E3" t="s">
        <v>247</v>
      </c>
    </row>
    <row r="4" spans="1:6" x14ac:dyDescent="0.25">
      <c r="B4" s="22">
        <v>12160369</v>
      </c>
      <c r="C4" t="s">
        <v>238</v>
      </c>
      <c r="D4" t="s">
        <v>239</v>
      </c>
    </row>
    <row r="5" spans="1:6" x14ac:dyDescent="0.25">
      <c r="B5" s="22">
        <v>12160368</v>
      </c>
      <c r="C5" t="s">
        <v>248</v>
      </c>
      <c r="D5" t="s">
        <v>249</v>
      </c>
      <c r="E5" t="s">
        <v>247</v>
      </c>
    </row>
    <row r="6" spans="1:6" x14ac:dyDescent="0.25">
      <c r="B6" s="22">
        <v>12159813</v>
      </c>
      <c r="C6" t="s">
        <v>166</v>
      </c>
      <c r="D6" t="s">
        <v>167</v>
      </c>
    </row>
    <row r="7" spans="1:6" x14ac:dyDescent="0.25">
      <c r="B7" s="22">
        <v>12159353</v>
      </c>
      <c r="C7" t="s">
        <v>164</v>
      </c>
      <c r="D7" t="s">
        <v>165</v>
      </c>
    </row>
    <row r="8" spans="1:6" x14ac:dyDescent="0.25">
      <c r="B8" s="22">
        <v>12159901</v>
      </c>
      <c r="C8" t="s">
        <v>251</v>
      </c>
      <c r="D8" t="s">
        <v>252</v>
      </c>
      <c r="F8" s="23">
        <v>45629</v>
      </c>
    </row>
    <row r="9" spans="1:6" x14ac:dyDescent="0.25">
      <c r="B9" s="22">
        <v>12158966</v>
      </c>
      <c r="C9" t="s">
        <v>161</v>
      </c>
      <c r="D9" t="s">
        <v>163</v>
      </c>
    </row>
  </sheetData>
  <hyperlinks>
    <hyperlink ref="A1" location="Main!A1" display="Main" xr:uid="{08A58127-A1CF-4464-858B-B98B2BA8AD6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E709-AF31-4C11-ADE4-79FCB1E77C73}">
  <dimension ref="A1:C56"/>
  <sheetViews>
    <sheetView zoomScale="190" zoomScaleNormal="190" workbookViewId="0">
      <selection activeCell="E13" sqref="E13"/>
    </sheetView>
  </sheetViews>
  <sheetFormatPr defaultRowHeight="12.5" x14ac:dyDescent="0.25"/>
  <cols>
    <col min="1" max="1" width="5" bestFit="1" customWidth="1"/>
    <col min="2" max="2" width="17.7265625" bestFit="1" customWidth="1"/>
  </cols>
  <sheetData>
    <row r="1" spans="1:3" x14ac:dyDescent="0.25">
      <c r="A1" s="11" t="s">
        <v>7</v>
      </c>
    </row>
    <row r="2" spans="1:3" x14ac:dyDescent="0.25">
      <c r="A2" s="11"/>
      <c r="B2" t="s">
        <v>188</v>
      </c>
    </row>
    <row r="3" spans="1:3" x14ac:dyDescent="0.25">
      <c r="A3" s="11"/>
      <c r="B3" t="s">
        <v>187</v>
      </c>
    </row>
    <row r="4" spans="1:3" x14ac:dyDescent="0.25">
      <c r="A4" s="11"/>
      <c r="B4" t="s">
        <v>230</v>
      </c>
      <c r="C4" t="s">
        <v>231</v>
      </c>
    </row>
    <row r="5" spans="1:3" x14ac:dyDescent="0.25">
      <c r="A5" s="11"/>
      <c r="B5" t="s">
        <v>228</v>
      </c>
    </row>
    <row r="6" spans="1:3" x14ac:dyDescent="0.25">
      <c r="A6" s="11"/>
      <c r="B6" t="s">
        <v>232</v>
      </c>
      <c r="C6" t="s">
        <v>233</v>
      </c>
    </row>
    <row r="7" spans="1:3" x14ac:dyDescent="0.25">
      <c r="B7" t="s">
        <v>181</v>
      </c>
      <c r="C7" t="s">
        <v>182</v>
      </c>
    </row>
    <row r="8" spans="1:3" x14ac:dyDescent="0.25">
      <c r="B8" t="s">
        <v>191</v>
      </c>
      <c r="C8" t="s">
        <v>194</v>
      </c>
    </row>
    <row r="9" spans="1:3" x14ac:dyDescent="0.25">
      <c r="B9" t="s">
        <v>206</v>
      </c>
      <c r="C9" t="s">
        <v>207</v>
      </c>
    </row>
    <row r="10" spans="1:3" x14ac:dyDescent="0.25">
      <c r="B10" t="s">
        <v>205</v>
      </c>
    </row>
    <row r="11" spans="1:3" x14ac:dyDescent="0.25">
      <c r="B11" t="s">
        <v>200</v>
      </c>
    </row>
    <row r="12" spans="1:3" x14ac:dyDescent="0.25">
      <c r="B12" t="s">
        <v>209</v>
      </c>
      <c r="C12" t="s">
        <v>210</v>
      </c>
    </row>
    <row r="13" spans="1:3" x14ac:dyDescent="0.25">
      <c r="B13" t="s">
        <v>192</v>
      </c>
      <c r="C13" t="s">
        <v>193</v>
      </c>
    </row>
    <row r="14" spans="1:3" x14ac:dyDescent="0.25">
      <c r="B14" t="s">
        <v>229</v>
      </c>
    </row>
    <row r="15" spans="1:3" x14ac:dyDescent="0.25">
      <c r="B15" t="s">
        <v>175</v>
      </c>
    </row>
    <row r="16" spans="1:3" x14ac:dyDescent="0.25">
      <c r="B16" t="s">
        <v>195</v>
      </c>
    </row>
    <row r="17" spans="2:3" x14ac:dyDescent="0.25">
      <c r="B17" t="s">
        <v>212</v>
      </c>
      <c r="C17" t="s">
        <v>213</v>
      </c>
    </row>
    <row r="18" spans="2:3" x14ac:dyDescent="0.25">
      <c r="B18" t="s">
        <v>168</v>
      </c>
      <c r="C18" t="s">
        <v>172</v>
      </c>
    </row>
    <row r="19" spans="2:3" x14ac:dyDescent="0.25">
      <c r="C19" t="s">
        <v>173</v>
      </c>
    </row>
    <row r="20" spans="2:3" x14ac:dyDescent="0.25">
      <c r="B20" t="s">
        <v>211</v>
      </c>
    </row>
    <row r="21" spans="2:3" x14ac:dyDescent="0.25">
      <c r="B21" t="s">
        <v>219</v>
      </c>
      <c r="C21" t="s">
        <v>220</v>
      </c>
    </row>
    <row r="22" spans="2:3" x14ac:dyDescent="0.25">
      <c r="B22" t="s">
        <v>226</v>
      </c>
    </row>
    <row r="23" spans="2:3" x14ac:dyDescent="0.25">
      <c r="B23" t="s">
        <v>214</v>
      </c>
    </row>
    <row r="24" spans="2:3" x14ac:dyDescent="0.25">
      <c r="B24" t="s">
        <v>169</v>
      </c>
    </row>
    <row r="25" spans="2:3" x14ac:dyDescent="0.25">
      <c r="B25" t="s">
        <v>201</v>
      </c>
      <c r="C25" t="s">
        <v>204</v>
      </c>
    </row>
    <row r="26" spans="2:3" x14ac:dyDescent="0.25">
      <c r="B26" t="s">
        <v>234</v>
      </c>
      <c r="C26" t="s">
        <v>235</v>
      </c>
    </row>
    <row r="27" spans="2:3" x14ac:dyDescent="0.25">
      <c r="B27" t="s">
        <v>253</v>
      </c>
    </row>
    <row r="28" spans="2:3" x14ac:dyDescent="0.25">
      <c r="B28" t="s">
        <v>186</v>
      </c>
    </row>
    <row r="29" spans="2:3" x14ac:dyDescent="0.25">
      <c r="B29" t="s">
        <v>242</v>
      </c>
    </row>
    <row r="30" spans="2:3" x14ac:dyDescent="0.25">
      <c r="B30" t="s">
        <v>178</v>
      </c>
      <c r="C30" t="s">
        <v>179</v>
      </c>
    </row>
    <row r="31" spans="2:3" x14ac:dyDescent="0.25">
      <c r="B31" t="s">
        <v>216</v>
      </c>
    </row>
    <row r="32" spans="2:3" x14ac:dyDescent="0.25">
      <c r="B32" t="s">
        <v>224</v>
      </c>
      <c r="C32" t="s">
        <v>225</v>
      </c>
    </row>
    <row r="33" spans="2:3" x14ac:dyDescent="0.25">
      <c r="B33" t="s">
        <v>202</v>
      </c>
      <c r="C33" t="s">
        <v>203</v>
      </c>
    </row>
    <row r="34" spans="2:3" x14ac:dyDescent="0.25">
      <c r="B34" t="s">
        <v>208</v>
      </c>
    </row>
    <row r="35" spans="2:3" x14ac:dyDescent="0.25">
      <c r="B35" t="s">
        <v>236</v>
      </c>
    </row>
    <row r="36" spans="2:3" x14ac:dyDescent="0.25">
      <c r="B36" t="s">
        <v>243</v>
      </c>
    </row>
    <row r="37" spans="2:3" x14ac:dyDescent="0.25">
      <c r="B37" t="s">
        <v>176</v>
      </c>
      <c r="C37" t="s">
        <v>177</v>
      </c>
    </row>
    <row r="38" spans="2:3" x14ac:dyDescent="0.25">
      <c r="B38" t="s">
        <v>170</v>
      </c>
      <c r="C38" t="s">
        <v>174</v>
      </c>
    </row>
    <row r="39" spans="2:3" x14ac:dyDescent="0.25">
      <c r="B39" t="s">
        <v>221</v>
      </c>
      <c r="C39" t="s">
        <v>222</v>
      </c>
    </row>
    <row r="40" spans="2:3" x14ac:dyDescent="0.25">
      <c r="B40" t="s">
        <v>240</v>
      </c>
      <c r="C40" t="s">
        <v>241</v>
      </c>
    </row>
    <row r="41" spans="2:3" x14ac:dyDescent="0.25">
      <c r="B41" t="s">
        <v>227</v>
      </c>
    </row>
    <row r="42" spans="2:3" x14ac:dyDescent="0.25">
      <c r="B42" t="s">
        <v>198</v>
      </c>
    </row>
    <row r="43" spans="2:3" x14ac:dyDescent="0.25">
      <c r="B43" t="s">
        <v>217</v>
      </c>
    </row>
    <row r="44" spans="2:3" x14ac:dyDescent="0.25">
      <c r="B44" t="s">
        <v>215</v>
      </c>
    </row>
    <row r="45" spans="2:3" x14ac:dyDescent="0.25">
      <c r="B45" t="s">
        <v>223</v>
      </c>
    </row>
    <row r="46" spans="2:3" x14ac:dyDescent="0.25">
      <c r="B46" t="s">
        <v>199</v>
      </c>
    </row>
    <row r="47" spans="2:3" x14ac:dyDescent="0.25">
      <c r="B47" t="s">
        <v>237</v>
      </c>
    </row>
    <row r="48" spans="2:3" x14ac:dyDescent="0.25">
      <c r="B48" t="s">
        <v>189</v>
      </c>
      <c r="C48" t="s">
        <v>190</v>
      </c>
    </row>
    <row r="49" spans="2:3" x14ac:dyDescent="0.25">
      <c r="B49" t="s">
        <v>196</v>
      </c>
      <c r="C49" t="s">
        <v>197</v>
      </c>
    </row>
    <row r="50" spans="2:3" x14ac:dyDescent="0.25">
      <c r="B50" t="s">
        <v>254</v>
      </c>
    </row>
    <row r="51" spans="2:3" x14ac:dyDescent="0.25">
      <c r="B51" t="s">
        <v>255</v>
      </c>
    </row>
    <row r="52" spans="2:3" x14ac:dyDescent="0.25">
      <c r="B52" t="s">
        <v>256</v>
      </c>
    </row>
    <row r="53" spans="2:3" x14ac:dyDescent="0.25">
      <c r="B53" t="s">
        <v>184</v>
      </c>
      <c r="C53" t="s">
        <v>185</v>
      </c>
    </row>
    <row r="54" spans="2:3" x14ac:dyDescent="0.25">
      <c r="B54" t="s">
        <v>180</v>
      </c>
      <c r="C54" t="s">
        <v>183</v>
      </c>
    </row>
    <row r="55" spans="2:3" x14ac:dyDescent="0.25">
      <c r="B55" t="s">
        <v>171</v>
      </c>
    </row>
    <row r="56" spans="2:3" x14ac:dyDescent="0.25">
      <c r="B56" t="s">
        <v>218</v>
      </c>
    </row>
  </sheetData>
  <hyperlinks>
    <hyperlink ref="A1" location="Main!A1" display="Main" xr:uid="{D2D6D48C-E369-4CEC-B079-E0240F4CC7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14th</vt:lpstr>
      <vt:lpstr>IP</vt:lpstr>
      <vt:lpstr>Semiconductors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2023-02-01T14:35:47Z</dcterms:created>
  <dcterms:modified xsi:type="dcterms:W3CDTF">2026-01-23T01:58:57Z</dcterms:modified>
</cp:coreProperties>
</file>