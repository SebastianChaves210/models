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D656FC41-AD84-4FAF-9B7B-D6216F280112}" xr6:coauthVersionLast="47" xr6:coauthVersionMax="47" xr10:uidLastSave="{00000000-0000-0000-0000-000000000000}"/>
  <bookViews>
    <workbookView xWindow="58390" yWindow="5030" windowWidth="17370" windowHeight="13000" activeTab="1" xr2:uid="{449F5976-BBB2-4D6E-9B28-E8B6EC62A52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2" l="1"/>
  <c r="Z7" i="2"/>
  <c r="Z12" i="2"/>
  <c r="Z10" i="2"/>
  <c r="Z9" i="2"/>
  <c r="AZ8" i="2"/>
  <c r="Y59" i="2"/>
  <c r="U59" i="2"/>
  <c r="Y55" i="2"/>
  <c r="Y50" i="2"/>
  <c r="Y43" i="2"/>
  <c r="Y40" i="2"/>
  <c r="Y32" i="2"/>
  <c r="Y31" i="2"/>
  <c r="X13" i="2"/>
  <c r="Y14" i="2"/>
  <c r="AZ16" i="2"/>
  <c r="BA16" i="2" s="1"/>
  <c r="BB16" i="2" s="1"/>
  <c r="BC16" i="2" s="1"/>
  <c r="BD16" i="2" s="1"/>
  <c r="BE16" i="2" s="1"/>
  <c r="BA15" i="2"/>
  <c r="BB15" i="2" s="1"/>
  <c r="BC15" i="2" s="1"/>
  <c r="BD15" i="2" s="1"/>
  <c r="BE15" i="2" s="1"/>
  <c r="BD10" i="2"/>
  <c r="BE10" i="2" s="1"/>
  <c r="BB10" i="2"/>
  <c r="BC10" i="2" s="1"/>
  <c r="AZ15" i="2"/>
  <c r="AD7" i="2"/>
  <c r="AC7" i="2"/>
  <c r="AB7" i="2"/>
  <c r="AA7" i="2"/>
  <c r="Y7" i="2"/>
  <c r="AC12" i="2"/>
  <c r="BA10" i="2"/>
  <c r="AZ10" i="2"/>
  <c r="AZ9" i="2"/>
  <c r="AZ7" i="2"/>
  <c r="BA7" i="2" l="1"/>
  <c r="BB24" i="2"/>
  <c r="BC24" i="2" s="1"/>
  <c r="BD24" i="2" s="1"/>
  <c r="BE24" i="2" s="1"/>
  <c r="BF24" i="2" s="1"/>
  <c r="BG24" i="2" s="1"/>
  <c r="BH24" i="2" s="1"/>
  <c r="BI24" i="2" s="1"/>
  <c r="BJ24" i="2" s="1"/>
  <c r="BJ17" i="2"/>
  <c r="BI17" i="2"/>
  <c r="BH17" i="2"/>
  <c r="BG17" i="2"/>
  <c r="BF17" i="2"/>
  <c r="BE17" i="2"/>
  <c r="BD17" i="2"/>
  <c r="BC17" i="2"/>
  <c r="BB17" i="2"/>
  <c r="BA24" i="2"/>
  <c r="AZ24" i="2"/>
  <c r="BA17" i="2"/>
  <c r="AZ17" i="2"/>
  <c r="AD10" i="2"/>
  <c r="AD9" i="2"/>
  <c r="BA9" i="2" s="1"/>
  <c r="BB9" i="2" s="1"/>
  <c r="BC9" i="2" s="1"/>
  <c r="BD9" i="2" s="1"/>
  <c r="BE9" i="2" s="1"/>
  <c r="AD8" i="2"/>
  <c r="BA8" i="2" s="1"/>
  <c r="BB8" i="2" s="1"/>
  <c r="BC8" i="2" s="1"/>
  <c r="BD8" i="2" s="1"/>
  <c r="BE8" i="2" s="1"/>
  <c r="AB10" i="2"/>
  <c r="AA10" i="2"/>
  <c r="AB9" i="2"/>
  <c r="AA9" i="2"/>
  <c r="AB8" i="2"/>
  <c r="AA8" i="2"/>
  <c r="Y10" i="2"/>
  <c r="AC10" i="2" s="1"/>
  <c r="Y9" i="2"/>
  <c r="AC9" i="2" s="1"/>
  <c r="Y8" i="2"/>
  <c r="AC8" i="2" s="1"/>
  <c r="T13" i="2"/>
  <c r="AY13" i="2" s="1"/>
  <c r="W13" i="2"/>
  <c r="AB16" i="2"/>
  <c r="AA16" i="2"/>
  <c r="Z16" i="2"/>
  <c r="AD16" i="2" s="1"/>
  <c r="AC16" i="2"/>
  <c r="AB15" i="2"/>
  <c r="AA15" i="2"/>
  <c r="Z15" i="2"/>
  <c r="AD15" i="2" s="1"/>
  <c r="AC15" i="2"/>
  <c r="Z24" i="2"/>
  <c r="AA24" i="2" s="1"/>
  <c r="AB24" i="2" s="1"/>
  <c r="AC24" i="2" s="1"/>
  <c r="AD24" i="2" s="1"/>
  <c r="AC14" i="2"/>
  <c r="AC13" i="2" s="1"/>
  <c r="AB14" i="2"/>
  <c r="AB13" i="2" s="1"/>
  <c r="AA14" i="2"/>
  <c r="AA13" i="2" s="1"/>
  <c r="Z14" i="2"/>
  <c r="Z13" i="2" s="1"/>
  <c r="AC28" i="2"/>
  <c r="AB28" i="2"/>
  <c r="AA28" i="2"/>
  <c r="AB27" i="2"/>
  <c r="AA27" i="2"/>
  <c r="Z27" i="2"/>
  <c r="X55" i="2"/>
  <c r="X40" i="2"/>
  <c r="X32" i="2"/>
  <c r="X43" i="2" s="1"/>
  <c r="X27" i="2"/>
  <c r="W19" i="2"/>
  <c r="W17" i="2"/>
  <c r="W28" i="2"/>
  <c r="X19" i="2"/>
  <c r="Z19" i="2" s="1"/>
  <c r="AA19" i="2" s="1"/>
  <c r="X17" i="2"/>
  <c r="X18" i="2"/>
  <c r="X20" i="2" s="1"/>
  <c r="X22" i="2" s="1"/>
  <c r="X23" i="2" s="1"/>
  <c r="AS59" i="2"/>
  <c r="AT59" i="2"/>
  <c r="AW59" i="2"/>
  <c r="AV59" i="2"/>
  <c r="AU59" i="2"/>
  <c r="AX59" i="2"/>
  <c r="AY59" i="2"/>
  <c r="W27" i="2"/>
  <c r="AY24" i="2"/>
  <c r="AY21" i="2"/>
  <c r="AY16" i="2"/>
  <c r="AY15" i="2"/>
  <c r="AY17" i="2" s="1"/>
  <c r="AY12" i="2"/>
  <c r="V55" i="2"/>
  <c r="V32" i="2"/>
  <c r="V31" i="2" s="1"/>
  <c r="V40" i="2"/>
  <c r="V43" i="2"/>
  <c r="V19" i="2"/>
  <c r="V17" i="2"/>
  <c r="V14" i="2"/>
  <c r="V28" i="2" s="1"/>
  <c r="U32" i="2"/>
  <c r="U40" i="2"/>
  <c r="U19" i="2"/>
  <c r="U17" i="2"/>
  <c r="U14" i="2"/>
  <c r="U18" i="2" s="1"/>
  <c r="U27" i="2"/>
  <c r="AR27" i="2"/>
  <c r="AQ27" i="2"/>
  <c r="AP27" i="2"/>
  <c r="AO27" i="2"/>
  <c r="AS27" i="2"/>
  <c r="AR21" i="2"/>
  <c r="AR17" i="2"/>
  <c r="AR14" i="2"/>
  <c r="AR28" i="2" s="1"/>
  <c r="AT27" i="2"/>
  <c r="AS21" i="2"/>
  <c r="AS17" i="2"/>
  <c r="AS14" i="2"/>
  <c r="AS28" i="2" s="1"/>
  <c r="N24" i="2"/>
  <c r="N16" i="2"/>
  <c r="N15" i="2"/>
  <c r="N13" i="2"/>
  <c r="N12" i="2"/>
  <c r="T27" i="2"/>
  <c r="S27" i="2"/>
  <c r="Q27" i="2"/>
  <c r="P27" i="2"/>
  <c r="O27" i="2"/>
  <c r="K19" i="2"/>
  <c r="K17" i="2"/>
  <c r="K14" i="2"/>
  <c r="K28" i="2" s="1"/>
  <c r="L19" i="2"/>
  <c r="L17" i="2"/>
  <c r="L14" i="2"/>
  <c r="L28" i="2" s="1"/>
  <c r="M19" i="2"/>
  <c r="M17" i="2"/>
  <c r="M14" i="2"/>
  <c r="M28" i="2" s="1"/>
  <c r="R21" i="2"/>
  <c r="R16" i="2"/>
  <c r="R24" i="2"/>
  <c r="R15" i="2"/>
  <c r="R13" i="2"/>
  <c r="Q19" i="2"/>
  <c r="Q17" i="2"/>
  <c r="Q14" i="2"/>
  <c r="Q28" i="2" s="1"/>
  <c r="AX19" i="2"/>
  <c r="AX17" i="2"/>
  <c r="AX12" i="2"/>
  <c r="AX14" i="2" s="1"/>
  <c r="AX28" i="2" s="1"/>
  <c r="S19" i="2"/>
  <c r="S17" i="2"/>
  <c r="S14" i="2"/>
  <c r="S28" i="2" s="1"/>
  <c r="P19" i="2"/>
  <c r="T19" i="2"/>
  <c r="T17" i="2"/>
  <c r="T28" i="2"/>
  <c r="P17" i="2"/>
  <c r="P14" i="2"/>
  <c r="P28" i="2" s="1"/>
  <c r="O19" i="2"/>
  <c r="O14" i="2"/>
  <c r="O28" i="2" s="1"/>
  <c r="O17" i="2"/>
  <c r="AW27" i="2"/>
  <c r="AW19" i="2"/>
  <c r="AW17" i="2"/>
  <c r="AW14" i="2"/>
  <c r="AU27" i="2"/>
  <c r="AV27" i="2"/>
  <c r="AU19" i="2"/>
  <c r="AT19" i="2"/>
  <c r="AT17" i="2"/>
  <c r="AT14" i="2"/>
  <c r="AT28" i="2" s="1"/>
  <c r="AU17" i="2"/>
  <c r="AU14" i="2"/>
  <c r="AU28" i="2" s="1"/>
  <c r="AV19" i="2"/>
  <c r="AV17" i="2"/>
  <c r="AV14" i="2"/>
  <c r="AV28" i="2" s="1"/>
  <c r="M4" i="1"/>
  <c r="M7" i="1" s="1"/>
  <c r="AQ2" i="2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Z28" i="2" l="1"/>
  <c r="AD12" i="2"/>
  <c r="BB7" i="2"/>
  <c r="BA12" i="2"/>
  <c r="BA14" i="2"/>
  <c r="BA28" i="2" s="1"/>
  <c r="AB17" i="2"/>
  <c r="AB18" i="2" s="1"/>
  <c r="AA17" i="2"/>
  <c r="AA18" i="2" s="1"/>
  <c r="AC17" i="2"/>
  <c r="AC18" i="2" s="1"/>
  <c r="AD17" i="2"/>
  <c r="Y17" i="2"/>
  <c r="Z17" i="2"/>
  <c r="Z18" i="2" s="1"/>
  <c r="Z20" i="2" s="1"/>
  <c r="Z21" i="2" s="1"/>
  <c r="Y28" i="2"/>
  <c r="AZ12" i="2"/>
  <c r="AZ27" i="2" s="1"/>
  <c r="Y27" i="2"/>
  <c r="AC27" i="2"/>
  <c r="AA20" i="2"/>
  <c r="AB19" i="2"/>
  <c r="AY27" i="2"/>
  <c r="N17" i="2"/>
  <c r="X31" i="2"/>
  <c r="X28" i="2"/>
  <c r="W18" i="2"/>
  <c r="W20" i="2" s="1"/>
  <c r="W22" i="2" s="1"/>
  <c r="W23" i="2" s="1"/>
  <c r="N14" i="2"/>
  <c r="N28" i="2" s="1"/>
  <c r="U43" i="2"/>
  <c r="U31" i="2"/>
  <c r="R17" i="2"/>
  <c r="AY19" i="2"/>
  <c r="AY14" i="2"/>
  <c r="AY28" i="2" s="1"/>
  <c r="V18" i="2"/>
  <c r="V20" i="2" s="1"/>
  <c r="V22" i="2" s="1"/>
  <c r="V23" i="2" s="1"/>
  <c r="AW18" i="2"/>
  <c r="AW20" i="2" s="1"/>
  <c r="AW22" i="2" s="1"/>
  <c r="AW23" i="2" s="1"/>
  <c r="R19" i="2"/>
  <c r="R12" i="2"/>
  <c r="R27" i="2" s="1"/>
  <c r="U20" i="2"/>
  <c r="U22" i="2" s="1"/>
  <c r="U23" i="2" s="1"/>
  <c r="U28" i="2"/>
  <c r="AX27" i="2"/>
  <c r="AX18" i="2"/>
  <c r="AW28" i="2"/>
  <c r="AX20" i="2"/>
  <c r="AX22" i="2" s="1"/>
  <c r="AX23" i="2" s="1"/>
  <c r="AR18" i="2"/>
  <c r="AR20" i="2" s="1"/>
  <c r="AR22" i="2" s="1"/>
  <c r="AR23" i="2" s="1"/>
  <c r="AS18" i="2"/>
  <c r="AS20" i="2" s="1"/>
  <c r="AS22" i="2" s="1"/>
  <c r="AS23" i="2" s="1"/>
  <c r="K18" i="2"/>
  <c r="K20" i="2" s="1"/>
  <c r="K22" i="2" s="1"/>
  <c r="K23" i="2" s="1"/>
  <c r="L18" i="2"/>
  <c r="L20" i="2" s="1"/>
  <c r="L22" i="2" s="1"/>
  <c r="L23" i="2" s="1"/>
  <c r="M18" i="2"/>
  <c r="M20" i="2" s="1"/>
  <c r="M22" i="2" s="1"/>
  <c r="M23" i="2" s="1"/>
  <c r="Q18" i="2"/>
  <c r="Q20" i="2" s="1"/>
  <c r="Q22" i="2" s="1"/>
  <c r="Q23" i="2" s="1"/>
  <c r="S18" i="2"/>
  <c r="S20" i="2" s="1"/>
  <c r="S22" i="2" s="1"/>
  <c r="S23" i="2" s="1"/>
  <c r="T18" i="2"/>
  <c r="T20" i="2" s="1"/>
  <c r="T22" i="2" s="1"/>
  <c r="T23" i="2" s="1"/>
  <c r="P18" i="2"/>
  <c r="P20" i="2" s="1"/>
  <c r="P22" i="2" s="1"/>
  <c r="P23" i="2" s="1"/>
  <c r="AV18" i="2"/>
  <c r="AV20" i="2" s="1"/>
  <c r="AV22" i="2" s="1"/>
  <c r="AV23" i="2" s="1"/>
  <c r="O18" i="2"/>
  <c r="O20" i="2" s="1"/>
  <c r="O22" i="2" s="1"/>
  <c r="O23" i="2" s="1"/>
  <c r="AT18" i="2"/>
  <c r="AT20" i="2" s="1"/>
  <c r="AT22" i="2" s="1"/>
  <c r="AT23" i="2" s="1"/>
  <c r="AU18" i="2"/>
  <c r="AU20" i="2" s="1"/>
  <c r="AU22" i="2" s="1"/>
  <c r="AU23" i="2" s="1"/>
  <c r="Z22" i="2" l="1"/>
  <c r="Z23" i="2" s="1"/>
  <c r="AD27" i="2"/>
  <c r="AD14" i="2"/>
  <c r="BC7" i="2"/>
  <c r="BB12" i="2"/>
  <c r="AZ14" i="2"/>
  <c r="BA27" i="2"/>
  <c r="BA18" i="2"/>
  <c r="BA20" i="2" s="1"/>
  <c r="BA21" i="2" s="1"/>
  <c r="BA22" i="2" s="1"/>
  <c r="BA23" i="2" s="1"/>
  <c r="BA13" i="2"/>
  <c r="N18" i="2"/>
  <c r="N20" i="2" s="1"/>
  <c r="N22" i="2" s="1"/>
  <c r="N23" i="2" s="1"/>
  <c r="Y18" i="2"/>
  <c r="Y20" i="2" s="1"/>
  <c r="AC19" i="2"/>
  <c r="AB20" i="2"/>
  <c r="AA21" i="2"/>
  <c r="AA22" i="2" s="1"/>
  <c r="AA23" i="2" s="1"/>
  <c r="AY18" i="2"/>
  <c r="AY20" i="2" s="1"/>
  <c r="AY22" i="2" s="1"/>
  <c r="AY23" i="2" s="1"/>
  <c r="R14" i="2"/>
  <c r="V27" i="2"/>
  <c r="AD13" i="2" l="1"/>
  <c r="AD28" i="2"/>
  <c r="AD18" i="2"/>
  <c r="BB14" i="2"/>
  <c r="BB13" i="2" s="1"/>
  <c r="BB27" i="2"/>
  <c r="BD7" i="2"/>
  <c r="BC12" i="2"/>
  <c r="AZ28" i="2"/>
  <c r="AZ18" i="2"/>
  <c r="AZ20" i="2" s="1"/>
  <c r="AZ13" i="2"/>
  <c r="Y22" i="2"/>
  <c r="Y23" i="2" s="1"/>
  <c r="AB21" i="2"/>
  <c r="AB22" i="2" s="1"/>
  <c r="AB23" i="2" s="1"/>
  <c r="AD19" i="2"/>
  <c r="AD20" i="2" s="1"/>
  <c r="AC20" i="2"/>
  <c r="R28" i="2"/>
  <c r="R18" i="2"/>
  <c r="R20" i="2" s="1"/>
  <c r="R22" i="2" s="1"/>
  <c r="R23" i="2" s="1"/>
  <c r="BC14" i="2" l="1"/>
  <c r="BC27" i="2"/>
  <c r="BE7" i="2"/>
  <c r="BE12" i="2" s="1"/>
  <c r="BD12" i="2"/>
  <c r="BB28" i="2"/>
  <c r="BB18" i="2"/>
  <c r="BB20" i="2" s="1"/>
  <c r="BB21" i="2" s="1"/>
  <c r="BB22" i="2" s="1"/>
  <c r="BB23" i="2" s="1"/>
  <c r="AZ21" i="2"/>
  <c r="AZ22" i="2" s="1"/>
  <c r="AZ23" i="2" s="1"/>
  <c r="BE27" i="2"/>
  <c r="BE14" i="2"/>
  <c r="BE13" i="2"/>
  <c r="BF12" i="2"/>
  <c r="AC21" i="2"/>
  <c r="AC22" i="2" s="1"/>
  <c r="AC23" i="2" s="1"/>
  <c r="AD21" i="2"/>
  <c r="AD22" i="2" s="1"/>
  <c r="AD23" i="2" s="1"/>
  <c r="BD14" i="2" l="1"/>
  <c r="BD27" i="2"/>
  <c r="BC28" i="2"/>
  <c r="BC13" i="2"/>
  <c r="BC18" i="2"/>
  <c r="BC20" i="2" s="1"/>
  <c r="BC21" i="2" s="1"/>
  <c r="BC22" i="2" s="1"/>
  <c r="BC23" i="2" s="1"/>
  <c r="BF14" i="2"/>
  <c r="BG12" i="2"/>
  <c r="BF27" i="2"/>
  <c r="BE28" i="2"/>
  <c r="BE18" i="2"/>
  <c r="BE20" i="2" s="1"/>
  <c r="BD13" i="2" l="1"/>
  <c r="BD18" i="2"/>
  <c r="BD20" i="2" s="1"/>
  <c r="BD21" i="2" s="1"/>
  <c r="BD22" i="2" s="1"/>
  <c r="BD23" i="2" s="1"/>
  <c r="BD28" i="2"/>
  <c r="BE21" i="2"/>
  <c r="BE22" i="2" s="1"/>
  <c r="BE23" i="2" s="1"/>
  <c r="BG14" i="2"/>
  <c r="BG13" i="2" s="1"/>
  <c r="BG27" i="2"/>
  <c r="BH12" i="2"/>
  <c r="BF28" i="2"/>
  <c r="BF18" i="2"/>
  <c r="BF20" i="2" s="1"/>
  <c r="BF13" i="2"/>
  <c r="BF21" i="2" l="1"/>
  <c r="BF22" i="2" s="1"/>
  <c r="BF23" i="2" s="1"/>
  <c r="BH27" i="2"/>
  <c r="BI12" i="2"/>
  <c r="BH14" i="2"/>
  <c r="BG28" i="2"/>
  <c r="BG18" i="2"/>
  <c r="BG20" i="2" s="1"/>
  <c r="BG21" i="2" s="1"/>
  <c r="BG22" i="2" s="1"/>
  <c r="BG23" i="2" s="1"/>
  <c r="BI14" i="2" l="1"/>
  <c r="BI27" i="2"/>
  <c r="BJ12" i="2"/>
  <c r="BH28" i="2"/>
  <c r="BH18" i="2"/>
  <c r="BH20" i="2" s="1"/>
  <c r="BH21" i="2" s="1"/>
  <c r="BH22" i="2" s="1"/>
  <c r="BH23" i="2" s="1"/>
  <c r="BH13" i="2"/>
  <c r="BJ27" i="2" l="1"/>
  <c r="BJ14" i="2"/>
  <c r="BJ13" i="2" s="1"/>
  <c r="BI28" i="2"/>
  <c r="BI18" i="2"/>
  <c r="BI20" i="2" s="1"/>
  <c r="BI21" i="2" s="1"/>
  <c r="BI22" i="2" s="1"/>
  <c r="BI23" i="2" s="1"/>
  <c r="BI13" i="2"/>
  <c r="BJ18" i="2" l="1"/>
  <c r="BJ20" i="2" s="1"/>
  <c r="BJ21" i="2" s="1"/>
  <c r="BJ22" i="2" s="1"/>
  <c r="BJ23" i="2" s="1"/>
  <c r="BJ28" i="2"/>
</calcChain>
</file>

<file path=xl/sharedStrings.xml><?xml version="1.0" encoding="utf-8"?>
<sst xmlns="http://schemas.openxmlformats.org/spreadsheetml/2006/main" count="120" uniqueCount="112">
  <si>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</si>
  <si>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</si>
  <si>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</si>
  <si>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</si>
  <si>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</si>
  <si>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</si>
  <si>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</si>
  <si>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</si>
  <si>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</si>
  <si>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</si>
  <si>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</si>
  <si>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</si>
  <si>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</si>
  <si>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</si>
  <si>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</si>
  <si>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</si>
  <si>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</si>
  <si>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</si>
  <si>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</si>
  <si>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</si>
  <si>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</si>
  <si>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</si>
  <si>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</si>
  <si>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</si>
  <si>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EPS</t>
  </si>
  <si>
    <t>COGS</t>
  </si>
  <si>
    <t>Gross Margin</t>
  </si>
  <si>
    <t>R&amp;D</t>
  </si>
  <si>
    <t>MS&amp;A</t>
  </si>
  <si>
    <t>Operating Expenses</t>
  </si>
  <si>
    <t>Operating Income</t>
  </si>
  <si>
    <t>Interest</t>
  </si>
  <si>
    <t>Pretax</t>
  </si>
  <si>
    <t>Taxes</t>
  </si>
  <si>
    <t>Net Income</t>
  </si>
  <si>
    <t>Revenue y/y</t>
  </si>
  <si>
    <t>Data Center</t>
  </si>
  <si>
    <t>Client</t>
  </si>
  <si>
    <t>Gaming</t>
  </si>
  <si>
    <t>Embedded</t>
  </si>
  <si>
    <t>Q124</t>
  </si>
  <si>
    <t>Q224</t>
  </si>
  <si>
    <t>Q324</t>
  </si>
  <si>
    <t>Q424</t>
  </si>
  <si>
    <t>Goodwill</t>
  </si>
  <si>
    <t>DTA</t>
  </si>
  <si>
    <t>AR</t>
  </si>
  <si>
    <t>Inventories</t>
  </si>
  <si>
    <t>Related Parties</t>
  </si>
  <si>
    <t>Prepaids</t>
  </si>
  <si>
    <t>PP&amp;E</t>
  </si>
  <si>
    <t>Lease</t>
  </si>
  <si>
    <t>Assets</t>
  </si>
  <si>
    <t>ONCA</t>
  </si>
  <si>
    <t>Q125</t>
  </si>
  <si>
    <t>Q225</t>
  </si>
  <si>
    <t>Q325</t>
  </si>
  <si>
    <t>Q425</t>
  </si>
  <si>
    <t>L+SE</t>
  </si>
  <si>
    <t>SE</t>
  </si>
  <si>
    <t>OLTL</t>
  </si>
  <si>
    <t>DT</t>
  </si>
  <si>
    <t>Leases</t>
  </si>
  <si>
    <t>OCL</t>
  </si>
  <si>
    <t>AL</t>
  </si>
  <si>
    <t>Related</t>
  </si>
  <si>
    <t>AP</t>
  </si>
  <si>
    <t>Instinct GPU</t>
  </si>
  <si>
    <t>EPYC CPU</t>
  </si>
  <si>
    <t>Ryzen CPU</t>
  </si>
  <si>
    <t>Radeon GPU</t>
  </si>
  <si>
    <t>MI300X</t>
  </si>
  <si>
    <t>MI300</t>
  </si>
  <si>
    <t>ROCm</t>
  </si>
  <si>
    <t>LiquidAI, Vultr, Absci</t>
  </si>
  <si>
    <t>Ryzen AI PRO</t>
  </si>
  <si>
    <t>Dell Pro notebook/desktop PC partnership</t>
  </si>
  <si>
    <t>Ryzen AI Max, Max PRO</t>
  </si>
  <si>
    <t>Ryzen AI 300</t>
  </si>
  <si>
    <t>Ryzen AI 300 PRO</t>
  </si>
  <si>
    <t>notebook</t>
  </si>
  <si>
    <t>Ryzen 200</t>
  </si>
  <si>
    <t>Ryzen 200 PRO</t>
  </si>
  <si>
    <t>MI300A</t>
  </si>
  <si>
    <t>Ryzen 9000HX - handheld</t>
  </si>
  <si>
    <t>Ryzen Z2 - mobile</t>
  </si>
  <si>
    <t>Ryzen 9000X3D - desktop</t>
  </si>
  <si>
    <t>Versal FPGA</t>
  </si>
  <si>
    <t>CXL 3.1, PCIe Gen6, LPDDR5X</t>
  </si>
  <si>
    <t>Versal RF</t>
  </si>
  <si>
    <t>CFFO</t>
  </si>
  <si>
    <t>CX</t>
  </si>
  <si>
    <t>FCF</t>
  </si>
  <si>
    <t>MI450</t>
  </si>
  <si>
    <t>Q126</t>
  </si>
  <si>
    <t>Q226</t>
  </si>
  <si>
    <t>Q326</t>
  </si>
  <si>
    <t>Q426</t>
  </si>
  <si>
    <t>Held for Sale</t>
  </si>
  <si>
    <t>Net Cash</t>
  </si>
  <si>
    <t>MI308</t>
  </si>
  <si>
    <t>China</t>
  </si>
  <si>
    <t>Venice</t>
  </si>
  <si>
    <t>"Ramp going exceedingly well"</t>
  </si>
  <si>
    <t>NVDA Revenue</t>
  </si>
  <si>
    <t>MI355X</t>
  </si>
  <si>
    <t>"Not a rackscale product" -- SemiAnalysis</t>
  </si>
  <si>
    <t>upcoming AI chip, CoWoS? Will be rack-scale, could be competitive against R200 2H26.</t>
  </si>
  <si>
    <t>Not real UAlink</t>
  </si>
  <si>
    <t>MI500</t>
  </si>
  <si>
    <t>256 logical chips vs. 144 chips for R300</t>
  </si>
  <si>
    <t>1400W air cool/DLC liquid 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</si>
</sst>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0" fontId="2" fillId="0" borderId="0" xfId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CDD6D8F-4ABD-4AAD-9484-668CC22754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1935</xdr:colOff>
      <xdr:row>32</xdr:row>
      <xdr:rowOff>107461</xdr:rowOff>
    </xdr:from>
    <xdr:to>
      <xdr:col>12</xdr:col>
      <xdr:colOff>271585</xdr:colOff>
      <xdr:row>48</xdr:row>
      <xdr:rowOff>63989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93E77-E688-BC6C-B18A-1DB4E8B9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12" y="5275384"/>
          <a:ext cx="6985996" cy="253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42416</xdr:colOff>
      <xdr:row>0</xdr:row>
      <xdr:rowOff>0</xdr:rowOff>
    </xdr:from>
    <xdr:to>
      <xdr:col>51</xdr:col>
      <xdr:colOff>42416</xdr:colOff>
      <xdr:row>69</xdr:row>
      <xdr:rowOff>59121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7725BA9-4D49-D0CA-4A29-7A2421674B5B}"/>
            </a:ext>
          </a:extLst>
        </xdr:cNvPr>
        <xdr:cNvCxnSpPr/>
      </xdr:nvCxnSpPr>
      <xdr:spPr>
        <a:xfrm>
          <a:off x="26022675" y="0"/>
          <a:ext cx="0" cy="10569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43189</xdr:colOff>
      <xdr:row>0</xdr:row>
      <xdr:rowOff>0</xdr:rowOff>
    </xdr:from>
    <xdr:to>
      <xdr:col>25</xdr:col>
      <xdr:colOff>43189</xdr:colOff>
      <xdr:row>76</xdr:row>
      <xdr:rowOff>110751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399797-0FC5-95B2-CB27-D05401A4D136}"/>
            </a:ext>
          </a:extLst>
        </xdr:cNvPr>
        <xdr:cNvCxnSpPr/>
      </xdr:nvCxnSpPr>
      <xdr:spPr>
        <a:xfrm>
          <a:off x="16393059" y="0"/>
          <a:ext cx="0" cy="122861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D5A4-2898-4A25-B128-984AAEABB5C4}">
  <dimension ref="B2:N31"/>
  <sheetViews>
    <sheetView topLeftCell="C1" zoomScale="130" zoomScaleNormal="130" workbookViewId="0">
      <selection activeCell="L3" sqref="L3"/>
    </sheetView>
  </sheetViews>
  <sheetFormatPr defaultRowHeight="12.5" x14ac:dyDescent="0.25"/>
  <sheetData>
    <row r="2" spans="2:14" x14ac:dyDescent="0.25">
      <c r="B2" t="s">
        <v>68</v>
      </c>
      <c r="F2" t="s">
        <v>87</v>
      </c>
      <c r="L2" t="s">
        <v>0</v>
      </c>
      <c r="M2" s="1">
        <v>238</v>
      </c>
    </row>
    <row r="3" spans="2:14" x14ac:dyDescent="0.25">
      <c r="B3" t="s">
        <v>67</v>
      </c>
      <c r="F3" t="s">
        <v>88</v>
      </c>
      <c r="L3" t="s">
        <v>1</v>
      </c>
      <c r="M3" s="3">
        <v>1641</v>
      </c>
      <c r="N3" s="2" t="s">
        <v>56</v>
      </c>
    </row>
    <row r="4" spans="2:14" x14ac:dyDescent="0.25">
      <c r="C4" t="s">
        <v>71</v>
      </c>
      <c r="F4" t="s">
        <v>89</v>
      </c>
      <c r="L4" t="s">
        <v>2</v>
      </c>
      <c r="M4" s="3">
        <f>+M2*M3</f>
        <v>390558</v>
      </c>
    </row>
    <row r="5" spans="2:14" x14ac:dyDescent="0.25">
      <c r="C5" t="s">
        <v>72</v>
      </c>
      <c r="L5" t="s">
        <v>3</v>
      </c>
      <c r="M5" s="3">
        <v>7243</v>
      </c>
      <c r="N5" s="2" t="s">
        <v>56</v>
      </c>
    </row>
    <row r="6" spans="2:14" x14ac:dyDescent="0.25">
      <c r="C6" t="s">
        <v>73</v>
      </c>
      <c r="L6" t="s">
        <v>4</v>
      </c>
      <c r="M6" s="3">
        <v>3220</v>
      </c>
      <c r="N6" s="2" t="s">
        <v>56</v>
      </c>
    </row>
    <row r="7" spans="2:14" x14ac:dyDescent="0.25">
      <c r="C7" t="s">
        <v>100</v>
      </c>
      <c r="D7" t="s">
        <v>101</v>
      </c>
      <c r="L7" t="s">
        <v>5</v>
      </c>
      <c r="M7" s="3">
        <f>+M4-M5+M6</f>
        <v>386535</v>
      </c>
    </row>
    <row r="8" spans="2:14" x14ac:dyDescent="0.25">
      <c r="C8" t="s">
        <v>105</v>
      </c>
      <c r="D8" t="s">
        <v>103</v>
      </c>
      <c r="M8" s="3"/>
    </row>
    <row r="9" spans="2:14" x14ac:dyDescent="0.25">
      <c r="D9" t="s">
        <v>106</v>
      </c>
      <c r="M9" s="3"/>
    </row>
    <row r="10" spans="2:14" x14ac:dyDescent="0.25">
      <c r="D10" t="s">
        <v>111</v>
      </c>
      <c r="M10" s="3"/>
    </row>
    <row r="11" spans="2:14" ht="13" x14ac:dyDescent="0.3">
      <c r="C11" s="4" t="s">
        <v>93</v>
      </c>
      <c r="D11" t="s">
        <v>107</v>
      </c>
    </row>
    <row r="12" spans="2:14" ht="13" x14ac:dyDescent="0.3">
      <c r="C12" s="4"/>
      <c r="D12" t="s">
        <v>108</v>
      </c>
    </row>
    <row r="13" spans="2:14" x14ac:dyDescent="0.25">
      <c r="C13" t="s">
        <v>83</v>
      </c>
    </row>
    <row r="14" spans="2:14" x14ac:dyDescent="0.25">
      <c r="C14" t="s">
        <v>109</v>
      </c>
      <c r="D14" t="s">
        <v>110</v>
      </c>
    </row>
    <row r="15" spans="2:14" x14ac:dyDescent="0.25">
      <c r="B15" t="s">
        <v>69</v>
      </c>
    </row>
    <row r="16" spans="2:14" x14ac:dyDescent="0.25">
      <c r="C16" t="s">
        <v>86</v>
      </c>
    </row>
    <row r="17" spans="2:6" x14ac:dyDescent="0.25">
      <c r="C17" t="s">
        <v>85</v>
      </c>
    </row>
    <row r="18" spans="2:6" x14ac:dyDescent="0.25">
      <c r="C18" t="s">
        <v>84</v>
      </c>
    </row>
    <row r="19" spans="2:6" x14ac:dyDescent="0.25">
      <c r="B19" t="s">
        <v>75</v>
      </c>
    </row>
    <row r="20" spans="2:6" x14ac:dyDescent="0.25">
      <c r="C20" t="s">
        <v>76</v>
      </c>
    </row>
    <row r="21" spans="2:6" x14ac:dyDescent="0.25">
      <c r="B21" t="s">
        <v>77</v>
      </c>
    </row>
    <row r="22" spans="2:6" x14ac:dyDescent="0.25">
      <c r="B22" t="s">
        <v>78</v>
      </c>
    </row>
    <row r="23" spans="2:6" x14ac:dyDescent="0.25">
      <c r="B23" t="s">
        <v>79</v>
      </c>
    </row>
    <row r="24" spans="2:6" x14ac:dyDescent="0.25">
      <c r="C24" t="s">
        <v>80</v>
      </c>
    </row>
    <row r="25" spans="2:6" x14ac:dyDescent="0.25">
      <c r="B25" t="s">
        <v>81</v>
      </c>
      <c r="F25" t="s">
        <v>102</v>
      </c>
    </row>
    <row r="26" spans="2:6" x14ac:dyDescent="0.25">
      <c r="B26" t="s">
        <v>82</v>
      </c>
    </row>
    <row r="27" spans="2:6" x14ac:dyDescent="0.25">
      <c r="B27" t="s">
        <v>70</v>
      </c>
    </row>
    <row r="31" spans="2:6" x14ac:dyDescent="0.25">
      <c r="B31" t="s">
        <v>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65FD-8E44-4C73-A775-FD93E4059E5E}">
  <dimension ref="A1:BJ59"/>
  <sheetViews>
    <sheetView tabSelected="1" zoomScale="115" zoomScaleNormal="115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U14" sqref="U14"/>
    </sheetView>
  </sheetViews>
  <sheetFormatPr defaultRowHeight="12.5" x14ac:dyDescent="0.25"/>
  <cols>
    <col min="1" max="1" width="5" bestFit="1" customWidth="1"/>
    <col min="2" max="2" width="18.1796875" bestFit="1" customWidth="1"/>
    <col min="3" max="26" width="9.1796875" style="2"/>
    <col min="27" max="31" width="8.7265625" style="2"/>
    <col min="32" max="33" width="9.1796875" style="2"/>
  </cols>
  <sheetData>
    <row r="1" spans="1:62" x14ac:dyDescent="0.25">
      <c r="A1" s="8" t="s">
        <v>6</v>
      </c>
    </row>
    <row r="2" spans="1:62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94</v>
      </c>
      <c r="AB2" s="2" t="s">
        <v>95</v>
      </c>
      <c r="AC2" s="2" t="s">
        <v>96</v>
      </c>
      <c r="AD2" s="2" t="s">
        <v>97</v>
      </c>
      <c r="AG2" s="2">
        <v>2006</v>
      </c>
      <c r="AH2">
        <v>2007</v>
      </c>
      <c r="AI2">
        <v>2008</v>
      </c>
      <c r="AJ2">
        <v>2009</v>
      </c>
      <c r="AK2">
        <v>2010</v>
      </c>
      <c r="AL2">
        <v>2011</v>
      </c>
      <c r="AM2">
        <v>2012</v>
      </c>
      <c r="AN2">
        <v>2013</v>
      </c>
      <c r="AO2">
        <v>2014</v>
      </c>
      <c r="AP2">
        <v>2015</v>
      </c>
      <c r="AQ2">
        <f>+AP2+1</f>
        <v>2016</v>
      </c>
      <c r="AR2">
        <f t="shared" ref="AR2:BG2" si="0">+AQ2+1</f>
        <v>2017</v>
      </c>
      <c r="AS2">
        <f t="shared" si="0"/>
        <v>2018</v>
      </c>
      <c r="AT2">
        <f t="shared" si="0"/>
        <v>2019</v>
      </c>
      <c r="AU2">
        <f t="shared" si="0"/>
        <v>2020</v>
      </c>
      <c r="AV2">
        <f t="shared" si="0"/>
        <v>2021</v>
      </c>
      <c r="AW2">
        <f t="shared" si="0"/>
        <v>2022</v>
      </c>
      <c r="AX2">
        <f t="shared" si="0"/>
        <v>2023</v>
      </c>
      <c r="AY2">
        <f t="shared" si="0"/>
        <v>2024</v>
      </c>
      <c r="AZ2">
        <f t="shared" si="0"/>
        <v>2025</v>
      </c>
      <c r="BA2">
        <f t="shared" si="0"/>
        <v>2026</v>
      </c>
      <c r="BB2">
        <f t="shared" si="0"/>
        <v>2027</v>
      </c>
      <c r="BC2">
        <f t="shared" si="0"/>
        <v>2028</v>
      </c>
      <c r="BD2">
        <f t="shared" si="0"/>
        <v>2029</v>
      </c>
      <c r="BE2">
        <f t="shared" si="0"/>
        <v>2030</v>
      </c>
      <c r="BF2">
        <f t="shared" si="0"/>
        <v>2031</v>
      </c>
      <c r="BG2">
        <f t="shared" si="0"/>
        <v>2032</v>
      </c>
      <c r="BH2">
        <v>2033</v>
      </c>
      <c r="BI2">
        <v>2034</v>
      </c>
      <c r="BJ2">
        <v>2035</v>
      </c>
    </row>
    <row r="3" spans="1:62" x14ac:dyDescent="0.25">
      <c r="B3" t="s">
        <v>104</v>
      </c>
    </row>
    <row r="7" spans="1:62" x14ac:dyDescent="0.25">
      <c r="B7" t="s">
        <v>36</v>
      </c>
      <c r="J7" s="10"/>
      <c r="K7" s="10">
        <v>1293</v>
      </c>
      <c r="L7" s="10"/>
      <c r="M7" s="10"/>
      <c r="N7" s="10"/>
      <c r="O7" s="10">
        <v>1295</v>
      </c>
      <c r="P7" s="10">
        <v>1321</v>
      </c>
      <c r="Q7" s="10"/>
      <c r="R7" s="10">
        <v>2282</v>
      </c>
      <c r="S7" s="10">
        <v>2337</v>
      </c>
      <c r="T7" s="10">
        <v>2834</v>
      </c>
      <c r="U7" s="10">
        <v>3549</v>
      </c>
      <c r="V7" s="10">
        <v>3859</v>
      </c>
      <c r="W7" s="10">
        <v>3674</v>
      </c>
      <c r="X7" s="10">
        <v>3240</v>
      </c>
      <c r="Y7" s="10">
        <f>+U7*1.2</f>
        <v>4258.8</v>
      </c>
      <c r="Z7" s="10">
        <f>+V7*1.3</f>
        <v>5016.7</v>
      </c>
      <c r="AA7" s="10">
        <f>+W7*1.15</f>
        <v>4225.0999999999995</v>
      </c>
      <c r="AB7" s="10">
        <f>+X7*1.15</f>
        <v>3725.9999999999995</v>
      </c>
      <c r="AC7" s="10">
        <f>+Y7*1.5</f>
        <v>6388.2000000000007</v>
      </c>
      <c r="AD7" s="10">
        <f>+Z7*1.6</f>
        <v>8026.72</v>
      </c>
      <c r="AW7" s="3">
        <v>6043</v>
      </c>
      <c r="AX7" s="3">
        <v>6496</v>
      </c>
      <c r="AY7" s="3">
        <v>12600</v>
      </c>
      <c r="AZ7" s="3">
        <f>SUM(W7:Z7)</f>
        <v>16189.5</v>
      </c>
      <c r="BA7" s="3">
        <f>SUM(AA7:AD7)</f>
        <v>22366.02</v>
      </c>
      <c r="BB7" s="3">
        <f>+BA7*1.5</f>
        <v>33549.03</v>
      </c>
      <c r="BC7" s="3">
        <f>+BB7*1.5</f>
        <v>50323.544999999998</v>
      </c>
      <c r="BD7" s="3">
        <f>+BC7*1.4</f>
        <v>70452.962999999989</v>
      </c>
      <c r="BE7" s="3">
        <f>+BD7*1.4</f>
        <v>98634.148199999981</v>
      </c>
    </row>
    <row r="8" spans="1:62" x14ac:dyDescent="0.25">
      <c r="B8" t="s">
        <v>37</v>
      </c>
      <c r="J8" s="10"/>
      <c r="K8" s="10">
        <v>2124</v>
      </c>
      <c r="O8" s="2">
        <v>739</v>
      </c>
      <c r="P8" s="10">
        <v>998</v>
      </c>
      <c r="Q8" s="10"/>
      <c r="R8" s="10">
        <v>1461</v>
      </c>
      <c r="S8" s="10">
        <v>1368</v>
      </c>
      <c r="T8" s="10">
        <v>1492</v>
      </c>
      <c r="U8" s="10">
        <v>1881</v>
      </c>
      <c r="V8" s="10">
        <v>2313</v>
      </c>
      <c r="W8" s="10">
        <v>2294</v>
      </c>
      <c r="X8" s="10">
        <v>2499</v>
      </c>
      <c r="Y8" s="10">
        <f>+X8+200</f>
        <v>2699</v>
      </c>
      <c r="Z8" s="10">
        <f>+V8*1.25</f>
        <v>2891.25</v>
      </c>
      <c r="AA8" s="10">
        <f t="shared" ref="AA8:AA10" si="1">+W8*1.1</f>
        <v>2523.4</v>
      </c>
      <c r="AB8" s="10">
        <f t="shared" ref="AB8:AB10" si="2">+X8*1.1</f>
        <v>2748.9</v>
      </c>
      <c r="AC8" s="10">
        <f t="shared" ref="AC8:AC10" si="3">+Y8*1.1</f>
        <v>2968.9</v>
      </c>
      <c r="AD8" s="10">
        <f>+Z8*1.2</f>
        <v>3469.5</v>
      </c>
      <c r="AW8" s="3">
        <v>6201</v>
      </c>
      <c r="AX8" s="3">
        <v>4651</v>
      </c>
      <c r="AY8" s="3">
        <v>7100</v>
      </c>
      <c r="AZ8" s="3">
        <f>SUM(W8:Z8)</f>
        <v>10383.25</v>
      </c>
      <c r="BA8" s="3">
        <f>SUM(AA8:AD8)</f>
        <v>11710.7</v>
      </c>
      <c r="BB8" s="3">
        <f>+BA8*1.1</f>
        <v>12881.770000000002</v>
      </c>
      <c r="BC8" s="3">
        <f t="shared" ref="BC8:BE10" si="4">+BB8*1.1</f>
        <v>14169.947000000004</v>
      </c>
      <c r="BD8" s="3">
        <f t="shared" si="4"/>
        <v>15586.941700000005</v>
      </c>
      <c r="BE8" s="3">
        <f t="shared" si="4"/>
        <v>17145.635870000006</v>
      </c>
    </row>
    <row r="9" spans="1:62" x14ac:dyDescent="0.25">
      <c r="B9" t="s">
        <v>38</v>
      </c>
      <c r="J9" s="10"/>
      <c r="K9" s="10">
        <v>1875</v>
      </c>
      <c r="L9" s="10"/>
      <c r="M9" s="10"/>
      <c r="N9" s="10"/>
      <c r="O9" s="10">
        <v>1757</v>
      </c>
      <c r="P9" s="10">
        <v>1581</v>
      </c>
      <c r="Q9" s="10"/>
      <c r="R9" s="10">
        <v>1368</v>
      </c>
      <c r="S9" s="10">
        <v>922</v>
      </c>
      <c r="T9" s="10">
        <v>648</v>
      </c>
      <c r="U9" s="2">
        <v>462</v>
      </c>
      <c r="V9" s="2">
        <v>563</v>
      </c>
      <c r="W9" s="10">
        <v>647</v>
      </c>
      <c r="X9" s="10">
        <v>1122</v>
      </c>
      <c r="Y9" s="10">
        <f>+X9+100</f>
        <v>1222</v>
      </c>
      <c r="Z9" s="10">
        <f>+V9*1.2</f>
        <v>675.6</v>
      </c>
      <c r="AA9" s="10">
        <f t="shared" si="1"/>
        <v>711.7</v>
      </c>
      <c r="AB9" s="10">
        <f t="shared" si="2"/>
        <v>1234.2</v>
      </c>
      <c r="AC9" s="10">
        <f t="shared" si="3"/>
        <v>1344.2</v>
      </c>
      <c r="AD9" s="10">
        <f>+Z9*1.2</f>
        <v>810.72</v>
      </c>
      <c r="AW9" s="3">
        <v>6805</v>
      </c>
      <c r="AX9" s="3">
        <v>6212</v>
      </c>
      <c r="AY9" s="3">
        <v>2600</v>
      </c>
      <c r="AZ9" s="3">
        <f>SUM(W9:Z9)</f>
        <v>3666.6</v>
      </c>
      <c r="BA9" s="3">
        <f>SUM(AA9:AD9)</f>
        <v>4100.8200000000006</v>
      </c>
      <c r="BB9" s="3">
        <f t="shared" ref="BB9" si="5">+BA9*1.1</f>
        <v>4510.902000000001</v>
      </c>
      <c r="BC9" s="3">
        <f t="shared" si="4"/>
        <v>4961.9922000000015</v>
      </c>
      <c r="BD9" s="3">
        <f t="shared" si="4"/>
        <v>5458.1914200000019</v>
      </c>
      <c r="BE9" s="3">
        <f t="shared" si="4"/>
        <v>6004.0105620000022</v>
      </c>
    </row>
    <row r="10" spans="1:62" x14ac:dyDescent="0.25">
      <c r="B10" t="s">
        <v>39</v>
      </c>
      <c r="J10" s="10"/>
      <c r="K10" s="10">
        <v>595</v>
      </c>
      <c r="L10" s="10"/>
      <c r="M10" s="10"/>
      <c r="N10" s="10"/>
      <c r="O10" s="10">
        <v>1562</v>
      </c>
      <c r="P10" s="10">
        <v>1459</v>
      </c>
      <c r="Q10" s="10"/>
      <c r="R10" s="10">
        <v>1057</v>
      </c>
      <c r="S10" s="10">
        <v>846</v>
      </c>
      <c r="T10" s="10">
        <v>861</v>
      </c>
      <c r="U10" s="2">
        <v>927</v>
      </c>
      <c r="V10" s="2">
        <v>923</v>
      </c>
      <c r="W10" s="10">
        <v>823</v>
      </c>
      <c r="X10" s="10">
        <v>824</v>
      </c>
      <c r="Y10" s="10">
        <f>+U10*1.1</f>
        <v>1019.7</v>
      </c>
      <c r="Z10" s="10">
        <f>+V10*1.15</f>
        <v>1061.4499999999998</v>
      </c>
      <c r="AA10" s="10">
        <f t="shared" si="1"/>
        <v>905.30000000000007</v>
      </c>
      <c r="AB10" s="10">
        <f t="shared" si="2"/>
        <v>906.40000000000009</v>
      </c>
      <c r="AC10" s="10">
        <f t="shared" si="3"/>
        <v>1121.67</v>
      </c>
      <c r="AD10" s="10">
        <f>+Z10*1.2</f>
        <v>1273.7399999999998</v>
      </c>
      <c r="AW10" s="3">
        <v>4552</v>
      </c>
      <c r="AX10" s="3">
        <v>5321</v>
      </c>
      <c r="AY10" s="3">
        <v>3600</v>
      </c>
      <c r="AZ10" s="3">
        <f>SUM(W10:Z10)</f>
        <v>3728.1499999999996</v>
      </c>
      <c r="BA10" s="3">
        <f>SUM(AA10:AD10)</f>
        <v>4207.1100000000006</v>
      </c>
      <c r="BB10" s="3">
        <f t="shared" ref="BB10" si="6">+BA10*1.1</f>
        <v>4627.8210000000008</v>
      </c>
      <c r="BC10" s="3">
        <f t="shared" si="4"/>
        <v>5090.6031000000012</v>
      </c>
      <c r="BD10" s="3">
        <f t="shared" si="4"/>
        <v>5599.6634100000019</v>
      </c>
      <c r="BE10" s="3">
        <f t="shared" si="4"/>
        <v>6159.6297510000022</v>
      </c>
    </row>
    <row r="11" spans="1:62" x14ac:dyDescent="0.25">
      <c r="AW11" s="3"/>
      <c r="AX11" s="3"/>
    </row>
    <row r="12" spans="1:62" s="4" customFormat="1" ht="13" x14ac:dyDescent="0.3">
      <c r="B12" s="4" t="s">
        <v>7</v>
      </c>
      <c r="C12" s="5"/>
      <c r="D12" s="5"/>
      <c r="E12" s="5"/>
      <c r="F12" s="5"/>
      <c r="G12" s="5"/>
      <c r="H12" s="5"/>
      <c r="I12" s="5"/>
      <c r="J12" s="9"/>
      <c r="K12" s="9">
        <v>5887</v>
      </c>
      <c r="L12" s="9">
        <v>6550</v>
      </c>
      <c r="M12" s="9">
        <v>5565</v>
      </c>
      <c r="N12" s="9">
        <f>+AW12-M12-L12-K12</f>
        <v>5599</v>
      </c>
      <c r="O12" s="9">
        <v>5353</v>
      </c>
      <c r="P12" s="9">
        <v>5359</v>
      </c>
      <c r="Q12" s="9">
        <v>5800</v>
      </c>
      <c r="R12" s="9">
        <f>+AX12-Q12-P12-O12</f>
        <v>6168</v>
      </c>
      <c r="S12" s="9">
        <v>5473</v>
      </c>
      <c r="T12" s="9">
        <v>5835</v>
      </c>
      <c r="U12" s="9">
        <v>6819</v>
      </c>
      <c r="V12" s="9">
        <v>7658</v>
      </c>
      <c r="W12" s="9">
        <v>7438</v>
      </c>
      <c r="X12" s="9">
        <v>7685</v>
      </c>
      <c r="Y12" s="9">
        <v>9246</v>
      </c>
      <c r="Z12" s="9">
        <f>SUM(Z7:Z10)</f>
        <v>9645</v>
      </c>
      <c r="AA12" s="9">
        <v>8850</v>
      </c>
      <c r="AB12" s="9">
        <v>9530</v>
      </c>
      <c r="AC12" s="9">
        <f>SUM(AC7:AC10)</f>
        <v>11822.970000000001</v>
      </c>
      <c r="AD12" s="9">
        <f>SUM(AD7:AD10)</f>
        <v>13580.68</v>
      </c>
      <c r="AE12" s="5"/>
      <c r="AF12" s="5"/>
      <c r="AG12" s="5"/>
      <c r="AN12" s="6">
        <v>5299</v>
      </c>
      <c r="AO12" s="6">
        <v>5506</v>
      </c>
      <c r="AP12" s="6">
        <v>3991</v>
      </c>
      <c r="AQ12" s="6">
        <v>4272</v>
      </c>
      <c r="AR12" s="6">
        <v>5329</v>
      </c>
      <c r="AS12" s="6">
        <v>6475</v>
      </c>
      <c r="AT12" s="6">
        <v>6731</v>
      </c>
      <c r="AU12" s="6">
        <v>9763</v>
      </c>
      <c r="AV12" s="6">
        <v>16434</v>
      </c>
      <c r="AW12" s="6">
        <v>23601</v>
      </c>
      <c r="AX12" s="6">
        <f>SUM(AX7:AX10)</f>
        <v>22680</v>
      </c>
      <c r="AY12" s="6">
        <f>SUM(S12:V12)</f>
        <v>25785</v>
      </c>
      <c r="AZ12" s="6">
        <f>SUM(W12:Z12)</f>
        <v>34014</v>
      </c>
      <c r="BA12" s="6">
        <f t="shared" ref="BA12:BB12" si="7">SUM(BA7:BA10)</f>
        <v>42384.65</v>
      </c>
      <c r="BB12" s="6">
        <f t="shared" si="7"/>
        <v>55569.523000000008</v>
      </c>
      <c r="BC12" s="6">
        <f>SUM(BC7:BC10)</f>
        <v>74546.087300000014</v>
      </c>
      <c r="BD12" s="6">
        <f>SUM(BD7:BD10)</f>
        <v>97097.75953000001</v>
      </c>
      <c r="BE12" s="6">
        <f>SUM(BE7:BE10)</f>
        <v>127943.42438299999</v>
      </c>
      <c r="BF12" s="6">
        <f>+BE12*1.05</f>
        <v>134340.59560214999</v>
      </c>
      <c r="BG12" s="6">
        <f>+BF12*1.05</f>
        <v>141057.62538225748</v>
      </c>
      <c r="BH12" s="6">
        <f>+BG12*1.05</f>
        <v>148110.50665137035</v>
      </c>
      <c r="BI12" s="6">
        <f>+BH12*1.05</f>
        <v>155516.03198393888</v>
      </c>
      <c r="BJ12" s="6">
        <f>+BI12*1.05</f>
        <v>163291.83358313583</v>
      </c>
    </row>
    <row r="13" spans="1:62" x14ac:dyDescent="0.25">
      <c r="B13" t="s">
        <v>25</v>
      </c>
      <c r="J13" s="10"/>
      <c r="K13" s="10">
        <v>2883</v>
      </c>
      <c r="L13" s="10">
        <v>3115</v>
      </c>
      <c r="M13" s="10">
        <v>2799</v>
      </c>
      <c r="N13" s="10">
        <f>+AW13-M13-L13-K13</f>
        <v>2753</v>
      </c>
      <c r="O13" s="10">
        <v>2689</v>
      </c>
      <c r="P13" s="10">
        <v>2704</v>
      </c>
      <c r="Q13" s="10">
        <v>2843</v>
      </c>
      <c r="R13" s="10">
        <f>+AX13-Q13-P13-O13</f>
        <v>3042</v>
      </c>
      <c r="S13" s="10">
        <v>2683</v>
      </c>
      <c r="T13" s="10">
        <f>+T12-T14</f>
        <v>2734</v>
      </c>
      <c r="U13" s="10">
        <v>3167</v>
      </c>
      <c r="V13" s="10">
        <v>3524</v>
      </c>
      <c r="W13" s="10">
        <f>++W12-W14</f>
        <v>3446</v>
      </c>
      <c r="X13" s="10">
        <f>+X12-X14</f>
        <v>4359</v>
      </c>
      <c r="Y13" s="10">
        <v>4206</v>
      </c>
      <c r="Z13" s="10">
        <f t="shared" ref="Y13:AC13" si="8">+Z12-Z14</f>
        <v>4436.7</v>
      </c>
      <c r="AA13" s="10">
        <f t="shared" si="8"/>
        <v>4071</v>
      </c>
      <c r="AB13" s="10">
        <f t="shared" si="8"/>
        <v>4383.7999999999993</v>
      </c>
      <c r="AC13" s="10">
        <f t="shared" si="8"/>
        <v>5438.5662000000002</v>
      </c>
      <c r="AD13" s="10">
        <f>+AD12-AD14</f>
        <v>6247.1127999999999</v>
      </c>
      <c r="AR13" s="3">
        <v>3466</v>
      </c>
      <c r="AS13" s="3">
        <v>4028</v>
      </c>
      <c r="AT13" s="3">
        <v>3863</v>
      </c>
      <c r="AU13" s="3">
        <v>5416</v>
      </c>
      <c r="AV13" s="3">
        <v>8505</v>
      </c>
      <c r="AW13" s="3">
        <v>11550</v>
      </c>
      <c r="AX13" s="3">
        <v>11278</v>
      </c>
      <c r="AY13" s="3">
        <f>SUM(S13:V13)</f>
        <v>12108</v>
      </c>
      <c r="AZ13" s="3">
        <f>+AZ12-AZ14</f>
        <v>15986.579999999998</v>
      </c>
      <c r="BA13" s="3">
        <f>+BA12-BA14</f>
        <v>19920.785499999998</v>
      </c>
      <c r="BB13" s="3">
        <f t="shared" ref="BB13:BJ13" si="9">+BB12-BB14</f>
        <v>26117.675810000001</v>
      </c>
      <c r="BC13" s="3">
        <f t="shared" si="9"/>
        <v>35036.661031000003</v>
      </c>
      <c r="BD13" s="3">
        <f t="shared" si="9"/>
        <v>45635.946979100001</v>
      </c>
      <c r="BE13" s="3">
        <f t="shared" si="9"/>
        <v>60133.409460009992</v>
      </c>
      <c r="BF13" s="3">
        <f t="shared" si="9"/>
        <v>63140.079933010493</v>
      </c>
      <c r="BG13" s="3">
        <f t="shared" si="9"/>
        <v>66297.083929661007</v>
      </c>
      <c r="BH13" s="3">
        <f t="shared" si="9"/>
        <v>69611.938126144058</v>
      </c>
      <c r="BI13" s="3">
        <f t="shared" si="9"/>
        <v>73092.535032451269</v>
      </c>
      <c r="BJ13" s="3">
        <f t="shared" si="9"/>
        <v>76747.161784073833</v>
      </c>
    </row>
    <row r="14" spans="1:62" x14ac:dyDescent="0.25">
      <c r="B14" t="s">
        <v>26</v>
      </c>
      <c r="J14" s="10"/>
      <c r="K14" s="10">
        <f>K12-K13</f>
        <v>3004</v>
      </c>
      <c r="L14" s="10">
        <f>L12-L13</f>
        <v>3435</v>
      </c>
      <c r="M14" s="10">
        <f>M12-M13</f>
        <v>2766</v>
      </c>
      <c r="N14" s="10">
        <f>+N12-N13</f>
        <v>2846</v>
      </c>
      <c r="O14" s="10">
        <f t="shared" ref="O14:S14" si="10">O12-O13</f>
        <v>2664</v>
      </c>
      <c r="P14" s="10">
        <f t="shared" si="10"/>
        <v>2655</v>
      </c>
      <c r="Q14" s="10">
        <f t="shared" si="10"/>
        <v>2957</v>
      </c>
      <c r="R14" s="10">
        <f t="shared" si="10"/>
        <v>3126</v>
      </c>
      <c r="S14" s="10">
        <f t="shared" si="10"/>
        <v>2790</v>
      </c>
      <c r="T14" s="10">
        <v>3101</v>
      </c>
      <c r="U14" s="10">
        <f>+U12-U13</f>
        <v>3652</v>
      </c>
      <c r="V14" s="10">
        <f>+V12-V13</f>
        <v>4134</v>
      </c>
      <c r="W14" s="10">
        <v>3992</v>
      </c>
      <c r="X14" s="10">
        <v>3326</v>
      </c>
      <c r="Y14" s="10">
        <f>+Y12-Y13</f>
        <v>5040</v>
      </c>
      <c r="Z14" s="10">
        <f t="shared" ref="Y14:AD14" si="11">+Z12*0.54</f>
        <v>5208.3</v>
      </c>
      <c r="AA14" s="10">
        <f t="shared" si="11"/>
        <v>4779</v>
      </c>
      <c r="AB14" s="10">
        <f t="shared" si="11"/>
        <v>5146.2000000000007</v>
      </c>
      <c r="AC14" s="10">
        <f t="shared" si="11"/>
        <v>6384.403800000001</v>
      </c>
      <c r="AD14" s="10">
        <f t="shared" si="11"/>
        <v>7333.5672000000004</v>
      </c>
      <c r="AR14" s="3">
        <f t="shared" ref="AR14:AX14" si="12">+AR12-AR13</f>
        <v>1863</v>
      </c>
      <c r="AS14" s="3">
        <f t="shared" si="12"/>
        <v>2447</v>
      </c>
      <c r="AT14" s="3">
        <f t="shared" si="12"/>
        <v>2868</v>
      </c>
      <c r="AU14" s="3">
        <f t="shared" si="12"/>
        <v>4347</v>
      </c>
      <c r="AV14" s="3">
        <f t="shared" si="12"/>
        <v>7929</v>
      </c>
      <c r="AW14" s="3">
        <f t="shared" si="12"/>
        <v>12051</v>
      </c>
      <c r="AX14" s="3">
        <f t="shared" si="12"/>
        <v>11402</v>
      </c>
      <c r="AY14" s="3">
        <f>+AY12-AY13</f>
        <v>13677</v>
      </c>
      <c r="AZ14" s="3">
        <f>+AZ12*0.53</f>
        <v>18027.420000000002</v>
      </c>
      <c r="BA14" s="3">
        <f>+BA12*0.53</f>
        <v>22463.864500000003</v>
      </c>
      <c r="BB14" s="3">
        <f t="shared" ref="BB14:BJ14" si="13">+BB12*0.53</f>
        <v>29451.847190000008</v>
      </c>
      <c r="BC14" s="3">
        <f t="shared" si="13"/>
        <v>39509.426269000011</v>
      </c>
      <c r="BD14" s="3">
        <f t="shared" si="13"/>
        <v>51461.812550900009</v>
      </c>
      <c r="BE14" s="3">
        <f t="shared" si="13"/>
        <v>67810.014922989998</v>
      </c>
      <c r="BF14" s="3">
        <f t="shared" si="13"/>
        <v>71200.515669139495</v>
      </c>
      <c r="BG14" s="3">
        <f t="shared" si="13"/>
        <v>74760.541452596473</v>
      </c>
      <c r="BH14" s="3">
        <f t="shared" si="13"/>
        <v>78498.568525226292</v>
      </c>
      <c r="BI14" s="3">
        <f t="shared" si="13"/>
        <v>82423.496951487614</v>
      </c>
      <c r="BJ14" s="3">
        <f t="shared" si="13"/>
        <v>86544.671799061995</v>
      </c>
    </row>
    <row r="15" spans="1:62" x14ac:dyDescent="0.25">
      <c r="B15" t="s">
        <v>27</v>
      </c>
      <c r="J15" s="10"/>
      <c r="K15" s="10">
        <v>1060</v>
      </c>
      <c r="L15" s="10">
        <v>1300</v>
      </c>
      <c r="M15" s="10">
        <v>1279</v>
      </c>
      <c r="N15" s="10">
        <f t="shared" ref="N15:N16" si="14">+AW15-M15-L15-K15</f>
        <v>1366</v>
      </c>
      <c r="O15" s="10">
        <v>1411</v>
      </c>
      <c r="P15" s="10">
        <v>1443</v>
      </c>
      <c r="Q15" s="10">
        <v>1507</v>
      </c>
      <c r="R15" s="10">
        <f>+AX15-Q15-P15-O15</f>
        <v>1511</v>
      </c>
      <c r="S15" s="10">
        <v>1525</v>
      </c>
      <c r="T15" s="10">
        <v>1583</v>
      </c>
      <c r="U15" s="10">
        <v>1636</v>
      </c>
      <c r="V15" s="10">
        <v>1712</v>
      </c>
      <c r="W15" s="10">
        <v>1728</v>
      </c>
      <c r="X15" s="10">
        <v>1894</v>
      </c>
      <c r="Y15" s="10">
        <v>2139</v>
      </c>
      <c r="Z15" s="10">
        <f t="shared" ref="Z15:Z16" si="15">+V15*1.1</f>
        <v>1883.2</v>
      </c>
      <c r="AA15" s="10">
        <f t="shared" ref="AA15:AA16" si="16">+W15*1.1</f>
        <v>1900.8000000000002</v>
      </c>
      <c r="AB15" s="10">
        <f t="shared" ref="AB15:AB16" si="17">+X15*1.1</f>
        <v>2083.4</v>
      </c>
      <c r="AC15" s="10">
        <f t="shared" ref="AC15:AC16" si="18">+Y15*1.1</f>
        <v>2352.9</v>
      </c>
      <c r="AD15" s="10">
        <f t="shared" ref="AD15:AD16" si="19">+Z15*1.1</f>
        <v>2071.5200000000004</v>
      </c>
      <c r="AR15" s="3">
        <v>1196</v>
      </c>
      <c r="AS15" s="3">
        <v>1434</v>
      </c>
      <c r="AT15" s="3">
        <v>1547</v>
      </c>
      <c r="AU15" s="3">
        <v>1983</v>
      </c>
      <c r="AV15" s="3">
        <v>2845</v>
      </c>
      <c r="AW15" s="3">
        <v>5005</v>
      </c>
      <c r="AX15" s="3">
        <v>5872</v>
      </c>
      <c r="AY15" s="3">
        <f t="shared" ref="AY15:AY16" si="20">SUM(S15:V15)</f>
        <v>6456</v>
      </c>
      <c r="AZ15" s="3">
        <f>+AY15*1.1</f>
        <v>7101.6</v>
      </c>
      <c r="BA15" s="3">
        <f t="shared" ref="BA15:BE15" si="21">+AZ15*1.1</f>
        <v>7811.7600000000011</v>
      </c>
      <c r="BB15" s="3">
        <f t="shared" si="21"/>
        <v>8592.9360000000015</v>
      </c>
      <c r="BC15" s="3">
        <f t="shared" si="21"/>
        <v>9452.2296000000024</v>
      </c>
      <c r="BD15" s="3">
        <f t="shared" si="21"/>
        <v>10397.452560000003</v>
      </c>
      <c r="BE15" s="3">
        <f t="shared" si="21"/>
        <v>11437.197816000005</v>
      </c>
    </row>
    <row r="16" spans="1:62" x14ac:dyDescent="0.25">
      <c r="B16" t="s">
        <v>28</v>
      </c>
      <c r="J16" s="10"/>
      <c r="K16" s="10">
        <v>597</v>
      </c>
      <c r="L16" s="10">
        <v>592</v>
      </c>
      <c r="M16" s="10">
        <v>557</v>
      </c>
      <c r="N16" s="10">
        <f t="shared" si="14"/>
        <v>590</v>
      </c>
      <c r="O16" s="10">
        <v>585</v>
      </c>
      <c r="P16" s="10">
        <v>547</v>
      </c>
      <c r="Q16" s="10">
        <v>576</v>
      </c>
      <c r="R16" s="10">
        <f>+AX16-Q16-P16-O16</f>
        <v>644</v>
      </c>
      <c r="S16" s="10">
        <v>620</v>
      </c>
      <c r="T16" s="10">
        <v>650</v>
      </c>
      <c r="U16" s="10">
        <v>721</v>
      </c>
      <c r="V16" s="10">
        <v>792</v>
      </c>
      <c r="W16" s="10">
        <v>886</v>
      </c>
      <c r="X16" s="10">
        <v>991</v>
      </c>
      <c r="Y16" s="10">
        <v>1069</v>
      </c>
      <c r="Z16" s="10">
        <f t="shared" si="15"/>
        <v>871.2</v>
      </c>
      <c r="AA16" s="10">
        <f t="shared" si="16"/>
        <v>974.6</v>
      </c>
      <c r="AB16" s="10">
        <f t="shared" si="17"/>
        <v>1090.1000000000001</v>
      </c>
      <c r="AC16" s="10">
        <f t="shared" si="18"/>
        <v>1175.9000000000001</v>
      </c>
      <c r="AD16" s="10">
        <f t="shared" si="19"/>
        <v>958.32000000000016</v>
      </c>
      <c r="AR16" s="3">
        <v>516</v>
      </c>
      <c r="AS16" s="3">
        <v>562</v>
      </c>
      <c r="AT16" s="3">
        <v>750</v>
      </c>
      <c r="AU16" s="3">
        <v>995</v>
      </c>
      <c r="AV16" s="3">
        <v>1448</v>
      </c>
      <c r="AW16" s="3">
        <v>2336</v>
      </c>
      <c r="AX16" s="3">
        <v>2352</v>
      </c>
      <c r="AY16" s="3">
        <f t="shared" si="20"/>
        <v>2783</v>
      </c>
      <c r="AZ16" s="3">
        <f t="shared" ref="AZ16:BE16" si="22">+AY16*1.1</f>
        <v>3061.3</v>
      </c>
      <c r="BA16" s="3">
        <f t="shared" si="22"/>
        <v>3367.4300000000003</v>
      </c>
      <c r="BB16" s="3">
        <f t="shared" si="22"/>
        <v>3704.1730000000007</v>
      </c>
      <c r="BC16" s="3">
        <f t="shared" si="22"/>
        <v>4074.5903000000012</v>
      </c>
      <c r="BD16" s="3">
        <f t="shared" si="22"/>
        <v>4482.0493300000016</v>
      </c>
      <c r="BE16" s="3">
        <f t="shared" si="22"/>
        <v>4930.2542630000025</v>
      </c>
    </row>
    <row r="17" spans="2:62" x14ac:dyDescent="0.25">
      <c r="B17" t="s">
        <v>29</v>
      </c>
      <c r="J17" s="10"/>
      <c r="K17" s="10">
        <f>K15+K16</f>
        <v>1657</v>
      </c>
      <c r="L17" s="10">
        <f>L15+L16</f>
        <v>1892</v>
      </c>
      <c r="M17" s="10">
        <f>M15+M16</f>
        <v>1836</v>
      </c>
      <c r="N17" s="10">
        <f t="shared" ref="N17" si="23">N15+N16</f>
        <v>1956</v>
      </c>
      <c r="O17" s="10">
        <f t="shared" ref="O17:U17" si="24">O15+O16</f>
        <v>1996</v>
      </c>
      <c r="P17" s="10">
        <f t="shared" si="24"/>
        <v>1990</v>
      </c>
      <c r="Q17" s="10">
        <f t="shared" si="24"/>
        <v>2083</v>
      </c>
      <c r="R17" s="10">
        <f t="shared" si="24"/>
        <v>2155</v>
      </c>
      <c r="S17" s="10">
        <f t="shared" si="24"/>
        <v>2145</v>
      </c>
      <c r="T17" s="10">
        <f t="shared" si="24"/>
        <v>2233</v>
      </c>
      <c r="U17" s="10">
        <f t="shared" si="24"/>
        <v>2357</v>
      </c>
      <c r="V17" s="10">
        <f t="shared" ref="V17:X17" si="25">V15+V16</f>
        <v>2504</v>
      </c>
      <c r="W17" s="10">
        <f t="shared" ref="W17" si="26">W15+W16</f>
        <v>2614</v>
      </c>
      <c r="X17" s="10">
        <f t="shared" si="25"/>
        <v>2885</v>
      </c>
      <c r="Y17" s="10">
        <f t="shared" ref="Y17:AD17" si="27">Y15+Y16</f>
        <v>3208</v>
      </c>
      <c r="Z17" s="10">
        <f t="shared" si="27"/>
        <v>2754.4</v>
      </c>
      <c r="AA17" s="10">
        <f t="shared" si="27"/>
        <v>2875.4</v>
      </c>
      <c r="AB17" s="10">
        <f t="shared" si="27"/>
        <v>3173.5</v>
      </c>
      <c r="AC17" s="10">
        <f t="shared" si="27"/>
        <v>3528.8</v>
      </c>
      <c r="AD17" s="10">
        <f t="shared" si="27"/>
        <v>3029.8400000000006</v>
      </c>
      <c r="AR17" s="3">
        <f>+AR15+AR16</f>
        <v>1712</v>
      </c>
      <c r="AS17" s="3">
        <f>+AS15+AS16</f>
        <v>1996</v>
      </c>
      <c r="AT17" s="3">
        <f>+AT15+AT16</f>
        <v>2297</v>
      </c>
      <c r="AU17" s="3">
        <f>+AU15+AU16</f>
        <v>2978</v>
      </c>
      <c r="AV17" s="3">
        <f>+AV15+AV16</f>
        <v>4293</v>
      </c>
      <c r="AW17" s="3">
        <f t="shared" ref="AW17:AX17" si="28">+AW15+AW16</f>
        <v>7341</v>
      </c>
      <c r="AX17" s="3">
        <f t="shared" si="28"/>
        <v>8224</v>
      </c>
      <c r="AY17" s="3">
        <f t="shared" ref="AY17:BA17" si="29">+AY15+AY16</f>
        <v>9239</v>
      </c>
      <c r="AZ17" s="3">
        <f t="shared" si="29"/>
        <v>10162.900000000001</v>
      </c>
      <c r="BA17" s="3">
        <f t="shared" si="29"/>
        <v>11179.190000000002</v>
      </c>
      <c r="BB17" s="3">
        <f t="shared" ref="BB17:BJ17" si="30">+BB15+BB16</f>
        <v>12297.109000000002</v>
      </c>
      <c r="BC17" s="3">
        <f t="shared" si="30"/>
        <v>13526.819900000004</v>
      </c>
      <c r="BD17" s="3">
        <f t="shared" si="30"/>
        <v>14879.501890000005</v>
      </c>
      <c r="BE17" s="3">
        <f t="shared" si="30"/>
        <v>16367.452079000008</v>
      </c>
      <c r="BF17" s="3">
        <f t="shared" si="30"/>
        <v>0</v>
      </c>
      <c r="BG17" s="3">
        <f t="shared" si="30"/>
        <v>0</v>
      </c>
      <c r="BH17" s="3">
        <f t="shared" si="30"/>
        <v>0</v>
      </c>
      <c r="BI17" s="3">
        <f t="shared" si="30"/>
        <v>0</v>
      </c>
      <c r="BJ17" s="3">
        <f t="shared" si="30"/>
        <v>0</v>
      </c>
    </row>
    <row r="18" spans="2:62" x14ac:dyDescent="0.25">
      <c r="B18" t="s">
        <v>30</v>
      </c>
      <c r="J18" s="10"/>
      <c r="K18" s="10">
        <f>K14-K17</f>
        <v>1347</v>
      </c>
      <c r="L18" s="10">
        <f>L14-L17</f>
        <v>1543</v>
      </c>
      <c r="M18" s="10">
        <f>M14-M17</f>
        <v>930</v>
      </c>
      <c r="N18" s="10">
        <f t="shared" ref="N18" si="31">N14-N17</f>
        <v>890</v>
      </c>
      <c r="O18" s="10">
        <f t="shared" ref="O18:U18" si="32">O14-O17</f>
        <v>668</v>
      </c>
      <c r="P18" s="10">
        <f t="shared" si="32"/>
        <v>665</v>
      </c>
      <c r="Q18" s="10">
        <f t="shared" si="32"/>
        <v>874</v>
      </c>
      <c r="R18" s="10">
        <f t="shared" si="32"/>
        <v>971</v>
      </c>
      <c r="S18" s="10">
        <f t="shared" si="32"/>
        <v>645</v>
      </c>
      <c r="T18" s="10">
        <f t="shared" si="32"/>
        <v>868</v>
      </c>
      <c r="U18" s="10">
        <f t="shared" si="32"/>
        <v>1295</v>
      </c>
      <c r="V18" s="10">
        <f t="shared" ref="V18:X18" si="33">V14-V17</f>
        <v>1630</v>
      </c>
      <c r="W18" s="10">
        <f t="shared" ref="W18" si="34">W14-W17</f>
        <v>1378</v>
      </c>
      <c r="X18" s="10">
        <f t="shared" si="33"/>
        <v>441</v>
      </c>
      <c r="Y18" s="10">
        <f t="shared" ref="Y18:AD18" si="35">Y14-Y17</f>
        <v>1832</v>
      </c>
      <c r="Z18" s="10">
        <f t="shared" si="35"/>
        <v>2453.9</v>
      </c>
      <c r="AA18" s="10">
        <f t="shared" si="35"/>
        <v>1903.6</v>
      </c>
      <c r="AB18" s="10">
        <f t="shared" si="35"/>
        <v>1972.7000000000007</v>
      </c>
      <c r="AC18" s="10">
        <f t="shared" si="35"/>
        <v>2855.6038000000008</v>
      </c>
      <c r="AD18" s="10">
        <f t="shared" si="35"/>
        <v>4303.7271999999994</v>
      </c>
      <c r="AR18" s="3">
        <f>+AR14-AR17</f>
        <v>151</v>
      </c>
      <c r="AS18" s="3">
        <f>+AS14-AS17</f>
        <v>451</v>
      </c>
      <c r="AT18" s="3">
        <f>+AT14-AT17</f>
        <v>571</v>
      </c>
      <c r="AU18" s="3">
        <f>+AU14-AU17</f>
        <v>1369</v>
      </c>
      <c r="AV18" s="3">
        <f>+AV14-AV17</f>
        <v>3636</v>
      </c>
      <c r="AW18" s="3">
        <f t="shared" ref="AW18:AX18" si="36">+AW14-AW17</f>
        <v>4710</v>
      </c>
      <c r="AX18" s="3">
        <f t="shared" si="36"/>
        <v>3178</v>
      </c>
      <c r="AY18" s="3">
        <f t="shared" ref="AY18:BA18" si="37">+AY14-AY17</f>
        <v>4438</v>
      </c>
      <c r="AZ18" s="3">
        <f t="shared" si="37"/>
        <v>7864.52</v>
      </c>
      <c r="BA18" s="3">
        <f t="shared" si="37"/>
        <v>11284.674500000001</v>
      </c>
      <c r="BB18" s="3">
        <f t="shared" ref="BB18:BJ18" si="38">+BB14-BB17</f>
        <v>17154.738190000004</v>
      </c>
      <c r="BC18" s="3">
        <f t="shared" si="38"/>
        <v>25982.606369000008</v>
      </c>
      <c r="BD18" s="3">
        <f t="shared" si="38"/>
        <v>36582.310660900002</v>
      </c>
      <c r="BE18" s="3">
        <f t="shared" si="38"/>
        <v>51442.562843989988</v>
      </c>
      <c r="BF18" s="3">
        <f t="shared" si="38"/>
        <v>71200.515669139495</v>
      </c>
      <c r="BG18" s="3">
        <f t="shared" si="38"/>
        <v>74760.541452596473</v>
      </c>
      <c r="BH18" s="3">
        <f t="shared" si="38"/>
        <v>78498.568525226292</v>
      </c>
      <c r="BI18" s="3">
        <f t="shared" si="38"/>
        <v>82423.496951487614</v>
      </c>
      <c r="BJ18" s="3">
        <f t="shared" si="38"/>
        <v>86544.671799061995</v>
      </c>
    </row>
    <row r="19" spans="2:62" x14ac:dyDescent="0.25">
      <c r="B19" t="s">
        <v>31</v>
      </c>
      <c r="J19" s="10"/>
      <c r="K19" s="10">
        <f>-13-42</f>
        <v>-55</v>
      </c>
      <c r="L19" s="10">
        <f>-25-4</f>
        <v>-29</v>
      </c>
      <c r="M19" s="10">
        <f>-25+43</f>
        <v>18</v>
      </c>
      <c r="N19" s="10"/>
      <c r="O19" s="10">
        <f>-25+43</f>
        <v>18</v>
      </c>
      <c r="P19" s="10">
        <f>-28+46</f>
        <v>18</v>
      </c>
      <c r="Q19" s="10">
        <f>-26+59</f>
        <v>33</v>
      </c>
      <c r="R19" s="10">
        <f>+AX19-Q19-P19-O19</f>
        <v>22</v>
      </c>
      <c r="S19" s="10">
        <f>-25+53</f>
        <v>28</v>
      </c>
      <c r="T19" s="10">
        <f>-25+55</f>
        <v>30</v>
      </c>
      <c r="U19" s="2">
        <f>-23+36</f>
        <v>13</v>
      </c>
      <c r="V19" s="2">
        <f>-19+37</f>
        <v>18</v>
      </c>
      <c r="W19" s="2">
        <f>-20+39</f>
        <v>19</v>
      </c>
      <c r="X19" s="2">
        <f>-38+98</f>
        <v>60</v>
      </c>
      <c r="Y19" s="2">
        <v>-37</v>
      </c>
      <c r="Z19" s="2">
        <f t="shared" ref="Z19:AD19" si="39">+Y19</f>
        <v>-37</v>
      </c>
      <c r="AA19" s="2">
        <f t="shared" si="39"/>
        <v>-37</v>
      </c>
      <c r="AB19" s="2">
        <f t="shared" si="39"/>
        <v>-37</v>
      </c>
      <c r="AC19" s="2">
        <f t="shared" si="39"/>
        <v>-37</v>
      </c>
      <c r="AD19" s="2">
        <f t="shared" si="39"/>
        <v>-37</v>
      </c>
      <c r="AR19" s="3">
        <v>-121</v>
      </c>
      <c r="AS19" s="3">
        <v>-121</v>
      </c>
      <c r="AT19" s="3">
        <f>-94-165</f>
        <v>-259</v>
      </c>
      <c r="AU19" s="3">
        <f>-47-47</f>
        <v>-94</v>
      </c>
      <c r="AV19" s="3">
        <f>-34+55</f>
        <v>21</v>
      </c>
      <c r="AW19" s="3">
        <f>-88+8</f>
        <v>-80</v>
      </c>
      <c r="AX19">
        <f>-106+197</f>
        <v>91</v>
      </c>
      <c r="AY19" s="3">
        <f t="shared" ref="AY19" si="40">SUM(S19:V19)</f>
        <v>89</v>
      </c>
    </row>
    <row r="20" spans="2:62" x14ac:dyDescent="0.25">
      <c r="B20" t="s">
        <v>32</v>
      </c>
      <c r="J20" s="10"/>
      <c r="K20" s="10">
        <f>K18+K19</f>
        <v>1292</v>
      </c>
      <c r="L20" s="10">
        <f>L18+L19</f>
        <v>1514</v>
      </c>
      <c r="M20" s="10">
        <f>M18+M19</f>
        <v>948</v>
      </c>
      <c r="N20" s="10">
        <f t="shared" ref="N20" si="41">N18+N19</f>
        <v>890</v>
      </c>
      <c r="O20" s="10">
        <f t="shared" ref="O20:U20" si="42">O18+O19</f>
        <v>686</v>
      </c>
      <c r="P20" s="10">
        <f t="shared" si="42"/>
        <v>683</v>
      </c>
      <c r="Q20" s="10">
        <f t="shared" si="42"/>
        <v>907</v>
      </c>
      <c r="R20" s="10">
        <f t="shared" si="42"/>
        <v>993</v>
      </c>
      <c r="S20" s="10">
        <f t="shared" si="42"/>
        <v>673</v>
      </c>
      <c r="T20" s="10">
        <f t="shared" si="42"/>
        <v>898</v>
      </c>
      <c r="U20" s="10">
        <f t="shared" si="42"/>
        <v>1308</v>
      </c>
      <c r="V20" s="10">
        <f t="shared" ref="V20:AD20" si="43">V18+V19</f>
        <v>1648</v>
      </c>
      <c r="W20" s="10">
        <f t="shared" ref="W20" si="44">W18+W19</f>
        <v>1397</v>
      </c>
      <c r="X20" s="10">
        <f t="shared" si="43"/>
        <v>501</v>
      </c>
      <c r="Y20" s="10">
        <f t="shared" si="43"/>
        <v>1795</v>
      </c>
      <c r="Z20" s="10">
        <f t="shared" si="43"/>
        <v>2416.9</v>
      </c>
      <c r="AA20" s="10">
        <f t="shared" si="43"/>
        <v>1866.6</v>
      </c>
      <c r="AB20" s="10">
        <f t="shared" si="43"/>
        <v>1935.7000000000007</v>
      </c>
      <c r="AC20" s="10">
        <f t="shared" si="43"/>
        <v>2818.6038000000008</v>
      </c>
      <c r="AD20" s="10">
        <f t="shared" si="43"/>
        <v>4266.7271999999994</v>
      </c>
      <c r="AR20" s="3">
        <f t="shared" ref="AR20:BA20" si="45">+AR18+AR19</f>
        <v>30</v>
      </c>
      <c r="AS20" s="3">
        <f t="shared" si="45"/>
        <v>330</v>
      </c>
      <c r="AT20" s="3">
        <f t="shared" si="45"/>
        <v>312</v>
      </c>
      <c r="AU20" s="3">
        <f t="shared" si="45"/>
        <v>1275</v>
      </c>
      <c r="AV20" s="3">
        <f t="shared" si="45"/>
        <v>3657</v>
      </c>
      <c r="AW20" s="3">
        <f t="shared" si="45"/>
        <v>4630</v>
      </c>
      <c r="AX20" s="3">
        <f t="shared" si="45"/>
        <v>3269</v>
      </c>
      <c r="AY20" s="3">
        <f t="shared" si="45"/>
        <v>4527</v>
      </c>
      <c r="AZ20" s="3">
        <f t="shared" si="45"/>
        <v>7864.52</v>
      </c>
      <c r="BA20" s="3">
        <f t="shared" si="45"/>
        <v>11284.674500000001</v>
      </c>
      <c r="BB20" s="3">
        <f t="shared" ref="BB20:BJ20" si="46">+BB18+BB19</f>
        <v>17154.738190000004</v>
      </c>
      <c r="BC20" s="3">
        <f t="shared" si="46"/>
        <v>25982.606369000008</v>
      </c>
      <c r="BD20" s="3">
        <f t="shared" si="46"/>
        <v>36582.310660900002</v>
      </c>
      <c r="BE20" s="3">
        <f t="shared" si="46"/>
        <v>51442.562843989988</v>
      </c>
      <c r="BF20" s="3">
        <f t="shared" si="46"/>
        <v>71200.515669139495</v>
      </c>
      <c r="BG20" s="3">
        <f t="shared" si="46"/>
        <v>74760.541452596473</v>
      </c>
      <c r="BH20" s="3">
        <f t="shared" si="46"/>
        <v>78498.568525226292</v>
      </c>
      <c r="BI20" s="3">
        <f t="shared" si="46"/>
        <v>82423.496951487614</v>
      </c>
      <c r="BJ20" s="3">
        <f t="shared" si="46"/>
        <v>86544.671799061995</v>
      </c>
    </row>
    <row r="21" spans="2:62" x14ac:dyDescent="0.25">
      <c r="B21" t="s">
        <v>33</v>
      </c>
      <c r="J21" s="10"/>
      <c r="K21" s="10">
        <v>113</v>
      </c>
      <c r="L21" s="10">
        <v>54</v>
      </c>
      <c r="M21" s="10">
        <v>13</v>
      </c>
      <c r="N21" s="10"/>
      <c r="O21" s="10">
        <v>13</v>
      </c>
      <c r="P21" s="10">
        <v>-23</v>
      </c>
      <c r="Q21" s="10">
        <v>-39</v>
      </c>
      <c r="R21" s="10">
        <f>+AX21-Q21-P21-O21</f>
        <v>395</v>
      </c>
      <c r="S21" s="10">
        <v>52</v>
      </c>
      <c r="T21" s="10">
        <v>41</v>
      </c>
      <c r="U21" s="2">
        <v>-27</v>
      </c>
      <c r="V21" s="2">
        <v>419</v>
      </c>
      <c r="W21" s="2">
        <v>123</v>
      </c>
      <c r="X21" s="2">
        <v>0</v>
      </c>
      <c r="Y21" s="10">
        <v>153</v>
      </c>
      <c r="Z21" s="10">
        <f t="shared" ref="Z21:AD21" si="47">+Z20*0.1</f>
        <v>241.69000000000003</v>
      </c>
      <c r="AA21" s="10">
        <f t="shared" si="47"/>
        <v>186.66</v>
      </c>
      <c r="AB21" s="10">
        <f t="shared" si="47"/>
        <v>193.57000000000008</v>
      </c>
      <c r="AC21" s="10">
        <f t="shared" si="47"/>
        <v>281.86038000000008</v>
      </c>
      <c r="AD21" s="10">
        <f t="shared" si="47"/>
        <v>426.67271999999997</v>
      </c>
      <c r="AR21" s="3">
        <f>9+2</f>
        <v>11</v>
      </c>
      <c r="AS21" s="3">
        <f>9+2</f>
        <v>11</v>
      </c>
      <c r="AT21" s="3">
        <v>0</v>
      </c>
      <c r="AU21" s="3">
        <v>0</v>
      </c>
      <c r="AV21" s="3">
        <v>513</v>
      </c>
      <c r="AW21" s="3">
        <v>0</v>
      </c>
      <c r="AX21" s="3">
        <v>346</v>
      </c>
      <c r="AY21" s="3">
        <f t="shared" ref="AY21" si="48">SUM(S21:V21)</f>
        <v>485</v>
      </c>
      <c r="AZ21" s="3">
        <f>+AZ20*0.15</f>
        <v>1179.6780000000001</v>
      </c>
      <c r="BA21" s="3">
        <f>+BA20*0.15</f>
        <v>1692.7011750000001</v>
      </c>
      <c r="BB21" s="3">
        <f t="shared" ref="BB21:BJ21" si="49">+BB20*0.15</f>
        <v>2573.2107285000006</v>
      </c>
      <c r="BC21" s="3">
        <f t="shared" si="49"/>
        <v>3897.3909553500011</v>
      </c>
      <c r="BD21" s="3">
        <f t="shared" si="49"/>
        <v>5487.3465991350004</v>
      </c>
      <c r="BE21" s="3">
        <f t="shared" si="49"/>
        <v>7716.3844265984981</v>
      </c>
      <c r="BF21" s="3">
        <f t="shared" si="49"/>
        <v>10680.077350370924</v>
      </c>
      <c r="BG21" s="3">
        <f t="shared" si="49"/>
        <v>11214.08121788947</v>
      </c>
      <c r="BH21" s="3">
        <f t="shared" si="49"/>
        <v>11774.785278783944</v>
      </c>
      <c r="BI21" s="3">
        <f t="shared" si="49"/>
        <v>12363.524542723142</v>
      </c>
      <c r="BJ21" s="3">
        <f t="shared" si="49"/>
        <v>12981.700769859299</v>
      </c>
    </row>
    <row r="22" spans="2:62" x14ac:dyDescent="0.25">
      <c r="B22" t="s">
        <v>34</v>
      </c>
      <c r="J22" s="10"/>
      <c r="K22" s="10">
        <f>K20-K21</f>
        <v>1179</v>
      </c>
      <c r="L22" s="10">
        <f>L20-L21</f>
        <v>1460</v>
      </c>
      <c r="M22" s="10">
        <f>M20-M21</f>
        <v>935</v>
      </c>
      <c r="N22" s="10">
        <f t="shared" ref="N22" si="50">N20-N21</f>
        <v>890</v>
      </c>
      <c r="O22" s="10">
        <f t="shared" ref="O22:U22" si="51">O20-O21</f>
        <v>673</v>
      </c>
      <c r="P22" s="10">
        <f t="shared" si="51"/>
        <v>706</v>
      </c>
      <c r="Q22" s="10">
        <f t="shared" si="51"/>
        <v>946</v>
      </c>
      <c r="R22" s="10">
        <f t="shared" si="51"/>
        <v>598</v>
      </c>
      <c r="S22" s="10">
        <f t="shared" si="51"/>
        <v>621</v>
      </c>
      <c r="T22" s="10">
        <f t="shared" si="51"/>
        <v>857</v>
      </c>
      <c r="U22" s="10">
        <f t="shared" si="51"/>
        <v>1335</v>
      </c>
      <c r="V22" s="10">
        <f t="shared" ref="V22:AD22" si="52">V20-V21</f>
        <v>1229</v>
      </c>
      <c r="W22" s="10">
        <f t="shared" ref="W22" si="53">W20-W21</f>
        <v>1274</v>
      </c>
      <c r="X22" s="10">
        <f t="shared" si="52"/>
        <v>501</v>
      </c>
      <c r="Y22" s="10">
        <f t="shared" si="52"/>
        <v>1642</v>
      </c>
      <c r="Z22" s="10">
        <f t="shared" si="52"/>
        <v>2175.21</v>
      </c>
      <c r="AA22" s="10">
        <f t="shared" si="52"/>
        <v>1679.9399999999998</v>
      </c>
      <c r="AB22" s="10">
        <f t="shared" si="52"/>
        <v>1742.1300000000006</v>
      </c>
      <c r="AC22" s="10">
        <f t="shared" si="52"/>
        <v>2536.7434200000007</v>
      </c>
      <c r="AD22" s="10">
        <f t="shared" si="52"/>
        <v>3840.0544799999993</v>
      </c>
      <c r="AR22" s="3">
        <f t="shared" ref="AR22:BA22" si="54">+AR20-AR21</f>
        <v>19</v>
      </c>
      <c r="AS22" s="3">
        <f t="shared" si="54"/>
        <v>319</v>
      </c>
      <c r="AT22" s="3">
        <f t="shared" si="54"/>
        <v>312</v>
      </c>
      <c r="AU22" s="3">
        <f t="shared" si="54"/>
        <v>1275</v>
      </c>
      <c r="AV22" s="3">
        <f t="shared" si="54"/>
        <v>3144</v>
      </c>
      <c r="AW22" s="3">
        <f t="shared" si="54"/>
        <v>4630</v>
      </c>
      <c r="AX22" s="3">
        <f t="shared" si="54"/>
        <v>2923</v>
      </c>
      <c r="AY22" s="3">
        <f t="shared" si="54"/>
        <v>4042</v>
      </c>
      <c r="AZ22" s="3">
        <f t="shared" si="54"/>
        <v>6684.8420000000006</v>
      </c>
      <c r="BA22" s="3">
        <f t="shared" si="54"/>
        <v>9591.9733250000008</v>
      </c>
      <c r="BB22" s="3">
        <f t="shared" ref="BB22:BJ22" si="55">+BB20-BB21</f>
        <v>14581.527461500003</v>
      </c>
      <c r="BC22" s="3">
        <f t="shared" si="55"/>
        <v>22085.215413650007</v>
      </c>
      <c r="BD22" s="3">
        <f t="shared" si="55"/>
        <v>31094.964061765</v>
      </c>
      <c r="BE22" s="3">
        <f t="shared" si="55"/>
        <v>43726.178417391493</v>
      </c>
      <c r="BF22" s="3">
        <f t="shared" si="55"/>
        <v>60520.438318768574</v>
      </c>
      <c r="BG22" s="3">
        <f t="shared" si="55"/>
        <v>63546.460234707003</v>
      </c>
      <c r="BH22" s="3">
        <f t="shared" si="55"/>
        <v>66723.783246442355</v>
      </c>
      <c r="BI22" s="3">
        <f t="shared" si="55"/>
        <v>70059.972408764472</v>
      </c>
      <c r="BJ22" s="3">
        <f t="shared" si="55"/>
        <v>73562.971029202701</v>
      </c>
    </row>
    <row r="23" spans="2:62" x14ac:dyDescent="0.25">
      <c r="B23" t="s">
        <v>24</v>
      </c>
      <c r="J23" s="11"/>
      <c r="K23" s="11">
        <f t="shared" ref="K23:U23" si="56">K22/K24</f>
        <v>0.83617021276595749</v>
      </c>
      <c r="L23" s="11">
        <f t="shared" si="56"/>
        <v>0.89460784313725494</v>
      </c>
      <c r="M23" s="11">
        <f t="shared" si="56"/>
        <v>0.58038485412787089</v>
      </c>
      <c r="N23" s="11">
        <f t="shared" si="56"/>
        <v>0.56651814131126665</v>
      </c>
      <c r="O23" s="11">
        <f t="shared" si="56"/>
        <v>0.41775294847920547</v>
      </c>
      <c r="P23" s="11">
        <f t="shared" si="56"/>
        <v>0.4339274738783036</v>
      </c>
      <c r="Q23" s="11">
        <f t="shared" si="56"/>
        <v>0.58072437077961936</v>
      </c>
      <c r="R23" s="11">
        <f t="shared" si="56"/>
        <v>0.36799999999999999</v>
      </c>
      <c r="S23" s="11">
        <f t="shared" si="56"/>
        <v>0.37888956680902991</v>
      </c>
      <c r="T23" s="11">
        <f t="shared" si="56"/>
        <v>0.52351863164324985</v>
      </c>
      <c r="U23" s="11">
        <f t="shared" si="56"/>
        <v>0.81601466992665039</v>
      </c>
      <c r="V23" s="11">
        <f t="shared" ref="V23:AD23" si="57">V22/V24</f>
        <v>0.75214198286413714</v>
      </c>
      <c r="W23" s="11">
        <f t="shared" ref="W23" si="58">W22/W24</f>
        <v>0.78351783517835183</v>
      </c>
      <c r="X23" s="11">
        <f t="shared" si="57"/>
        <v>0.30736196319018405</v>
      </c>
      <c r="Y23" s="11">
        <f t="shared" si="57"/>
        <v>1.0006093845216331</v>
      </c>
      <c r="Z23" s="11">
        <f t="shared" si="57"/>
        <v>1.3255393053016453</v>
      </c>
      <c r="AA23" s="11">
        <f t="shared" si="57"/>
        <v>1.0237294332723947</v>
      </c>
      <c r="AB23" s="11">
        <f t="shared" si="57"/>
        <v>1.0616270566727608</v>
      </c>
      <c r="AC23" s="11">
        <f t="shared" si="57"/>
        <v>1.5458521755027426</v>
      </c>
      <c r="AD23" s="11">
        <f t="shared" si="57"/>
        <v>2.3400697623400362</v>
      </c>
      <c r="AR23" s="1">
        <f t="shared" ref="AR23:BA23" si="59">+AR22/AR24</f>
        <v>1.9957983193277309E-2</v>
      </c>
      <c r="AS23" s="1">
        <f t="shared" si="59"/>
        <v>0.29981203007518797</v>
      </c>
      <c r="AT23" s="1">
        <f t="shared" si="59"/>
        <v>0.27857142857142858</v>
      </c>
      <c r="AU23" s="1">
        <f t="shared" si="59"/>
        <v>1.056338028169014</v>
      </c>
      <c r="AV23" s="1">
        <f t="shared" si="59"/>
        <v>2.5581773799837264</v>
      </c>
      <c r="AW23" s="1">
        <f t="shared" si="59"/>
        <v>2.9471674092934435</v>
      </c>
      <c r="AX23" s="1">
        <f t="shared" si="59"/>
        <v>1.7987692307692307</v>
      </c>
      <c r="AY23" s="1">
        <f t="shared" si="59"/>
        <v>2.4699052856706385</v>
      </c>
      <c r="AZ23" s="1">
        <f t="shared" si="59"/>
        <v>4.0848408188206538</v>
      </c>
      <c r="BA23" s="1">
        <f t="shared" si="59"/>
        <v>5.8612730369691421</v>
      </c>
      <c r="BB23" s="1">
        <f t="shared" ref="BB23:BJ23" si="60">+BB22/BB24</f>
        <v>8.9101909327833813</v>
      </c>
      <c r="BC23" s="1">
        <f t="shared" si="60"/>
        <v>13.495395914237706</v>
      </c>
      <c r="BD23" s="1">
        <f t="shared" si="60"/>
        <v>19.000894629859456</v>
      </c>
      <c r="BE23" s="1">
        <f t="shared" si="60"/>
        <v>26.719326866722575</v>
      </c>
      <c r="BF23" s="1">
        <f t="shared" si="60"/>
        <v>36.98163050337218</v>
      </c>
      <c r="BG23" s="1">
        <f t="shared" si="60"/>
        <v>38.830712028540788</v>
      </c>
      <c r="BH23" s="1">
        <f t="shared" si="60"/>
        <v>40.772247629967829</v>
      </c>
      <c r="BI23" s="1">
        <f t="shared" si="60"/>
        <v>42.810860011466225</v>
      </c>
      <c r="BJ23" s="1">
        <f t="shared" si="60"/>
        <v>44.951403012039535</v>
      </c>
    </row>
    <row r="24" spans="2:62" x14ac:dyDescent="0.25">
      <c r="B24" t="s">
        <v>1</v>
      </c>
      <c r="J24" s="10"/>
      <c r="K24" s="10">
        <v>1410</v>
      </c>
      <c r="L24" s="10">
        <v>1632</v>
      </c>
      <c r="M24" s="10">
        <v>1611</v>
      </c>
      <c r="N24" s="10">
        <f>+AW24</f>
        <v>1571</v>
      </c>
      <c r="O24" s="10">
        <v>1611</v>
      </c>
      <c r="P24" s="10">
        <v>1627</v>
      </c>
      <c r="Q24" s="10">
        <v>1629</v>
      </c>
      <c r="R24" s="10">
        <f>+AX24</f>
        <v>1625</v>
      </c>
      <c r="S24" s="10">
        <v>1639</v>
      </c>
      <c r="T24" s="10">
        <v>1637</v>
      </c>
      <c r="U24" s="10">
        <v>1636</v>
      </c>
      <c r="V24" s="10">
        <v>1634</v>
      </c>
      <c r="W24" s="10">
        <v>1626</v>
      </c>
      <c r="X24" s="10">
        <v>1630</v>
      </c>
      <c r="Y24" s="10">
        <v>1641</v>
      </c>
      <c r="Z24" s="10">
        <f t="shared" ref="Z24:AD24" si="61">+Y24</f>
        <v>1641</v>
      </c>
      <c r="AA24" s="10">
        <f t="shared" si="61"/>
        <v>1641</v>
      </c>
      <c r="AB24" s="10">
        <f t="shared" si="61"/>
        <v>1641</v>
      </c>
      <c r="AC24" s="10">
        <f t="shared" si="61"/>
        <v>1641</v>
      </c>
      <c r="AD24" s="10">
        <f t="shared" si="61"/>
        <v>1641</v>
      </c>
      <c r="AR24" s="3">
        <v>952</v>
      </c>
      <c r="AS24" s="3">
        <v>1064</v>
      </c>
      <c r="AT24" s="3">
        <v>1120</v>
      </c>
      <c r="AU24" s="3">
        <v>1207</v>
      </c>
      <c r="AV24" s="3">
        <v>1229</v>
      </c>
      <c r="AW24" s="3">
        <v>1571</v>
      </c>
      <c r="AX24" s="3">
        <v>1625</v>
      </c>
      <c r="AY24" s="3">
        <f>AVERAGE(S24:V24)</f>
        <v>1636.5</v>
      </c>
      <c r="AZ24" s="3">
        <f>+AY24</f>
        <v>1636.5</v>
      </c>
      <c r="BA24" s="3">
        <f>+AZ24</f>
        <v>1636.5</v>
      </c>
      <c r="BB24" s="3">
        <f t="shared" ref="BB24:BJ24" si="62">+BA24</f>
        <v>1636.5</v>
      </c>
      <c r="BC24" s="3">
        <f t="shared" si="62"/>
        <v>1636.5</v>
      </c>
      <c r="BD24" s="3">
        <f t="shared" si="62"/>
        <v>1636.5</v>
      </c>
      <c r="BE24" s="3">
        <f t="shared" si="62"/>
        <v>1636.5</v>
      </c>
      <c r="BF24" s="3">
        <f t="shared" si="62"/>
        <v>1636.5</v>
      </c>
      <c r="BG24" s="3">
        <f t="shared" si="62"/>
        <v>1636.5</v>
      </c>
      <c r="BH24" s="3">
        <f t="shared" si="62"/>
        <v>1636.5</v>
      </c>
      <c r="BI24" s="3">
        <f t="shared" si="62"/>
        <v>1636.5</v>
      </c>
      <c r="BJ24" s="3">
        <f t="shared" si="62"/>
        <v>1636.5</v>
      </c>
    </row>
    <row r="27" spans="2:62" x14ac:dyDescent="0.25">
      <c r="B27" t="s">
        <v>35</v>
      </c>
      <c r="N27" s="12"/>
      <c r="O27" s="12">
        <f>O12/K12-1</f>
        <v>-9.0708340411075228E-2</v>
      </c>
      <c r="P27" s="12">
        <f t="shared" ref="P27:Z27" si="63">P12/L12-1</f>
        <v>-0.18183206106870231</v>
      </c>
      <c r="Q27" s="12">
        <f t="shared" si="63"/>
        <v>4.2228212039532753E-2</v>
      </c>
      <c r="R27" s="12">
        <f t="shared" si="63"/>
        <v>0.10162529023039824</v>
      </c>
      <c r="S27" s="12">
        <f t="shared" si="63"/>
        <v>2.2417336073230043E-2</v>
      </c>
      <c r="T27" s="12">
        <f t="shared" si="63"/>
        <v>8.882254151894009E-2</v>
      </c>
      <c r="U27" s="12">
        <f t="shared" si="63"/>
        <v>0.17568965517241386</v>
      </c>
      <c r="V27" s="12">
        <f t="shared" si="63"/>
        <v>0.24156939040207526</v>
      </c>
      <c r="W27" s="12">
        <f t="shared" si="63"/>
        <v>0.35903526402338759</v>
      </c>
      <c r="X27" s="12">
        <f t="shared" si="63"/>
        <v>0.31705227077977716</v>
      </c>
      <c r="Y27" s="12">
        <f t="shared" si="63"/>
        <v>0.35591728992520899</v>
      </c>
      <c r="Z27" s="12">
        <f t="shared" si="63"/>
        <v>0.2594672238182294</v>
      </c>
      <c r="AA27" s="12">
        <f t="shared" ref="AA27" si="64">AA12/W12-1</f>
        <v>0.18983597741328317</v>
      </c>
      <c r="AB27" s="12">
        <f t="shared" ref="AB27" si="65">AB12/X12-1</f>
        <v>0.24007807417046201</v>
      </c>
      <c r="AC27" s="12">
        <f t="shared" ref="AC27" si="66">AC12/Y12-1</f>
        <v>0.27871187540558084</v>
      </c>
      <c r="AD27" s="12">
        <f t="shared" ref="AD27" si="67">AD12/Z12-1</f>
        <v>0.4080539139450492</v>
      </c>
      <c r="AO27" s="7">
        <f t="shared" ref="AO27:AR27" si="68">+AO12/AN12-1</f>
        <v>3.9063974334780038E-2</v>
      </c>
      <c r="AP27" s="7">
        <f t="shared" si="68"/>
        <v>-0.27515437704322554</v>
      </c>
      <c r="AQ27" s="7">
        <f t="shared" si="68"/>
        <v>7.0408418942620843E-2</v>
      </c>
      <c r="AR27" s="7">
        <f t="shared" si="68"/>
        <v>0.24742509363295873</v>
      </c>
      <c r="AS27" s="7">
        <f t="shared" ref="AS27:AX27" si="69">+AS12/AR12-1</f>
        <v>0.21504972790392185</v>
      </c>
      <c r="AT27" s="7">
        <f t="shared" si="69"/>
        <v>3.9536679536679609E-2</v>
      </c>
      <c r="AU27" s="7">
        <f t="shared" si="69"/>
        <v>0.45045312732134901</v>
      </c>
      <c r="AV27" s="7">
        <f t="shared" si="69"/>
        <v>0.68329406944586712</v>
      </c>
      <c r="AW27" s="7">
        <f t="shared" si="69"/>
        <v>0.43610806863818907</v>
      </c>
      <c r="AX27" s="7">
        <f t="shared" si="69"/>
        <v>-3.9023770179229644E-2</v>
      </c>
      <c r="AY27" s="7">
        <f>+AY12/AX12-1</f>
        <v>0.13690476190476186</v>
      </c>
      <c r="AZ27" s="7">
        <f>+AZ12/AY12-1</f>
        <v>0.31913903432228041</v>
      </c>
      <c r="BA27" s="7">
        <f>+BA12/AZ12-1</f>
        <v>0.24609425530663853</v>
      </c>
      <c r="BB27" s="7">
        <f t="shared" ref="BB27:BJ27" si="70">+BB12/BA12-1</f>
        <v>0.31107660438389861</v>
      </c>
      <c r="BC27" s="7">
        <f t="shared" si="70"/>
        <v>0.34149230145452214</v>
      </c>
      <c r="BD27" s="7">
        <f t="shared" si="70"/>
        <v>0.30251986451339863</v>
      </c>
      <c r="BE27" s="7">
        <f t="shared" si="70"/>
        <v>0.3176763810237011</v>
      </c>
      <c r="BF27" s="7">
        <f t="shared" si="70"/>
        <v>5.0000000000000044E-2</v>
      </c>
      <c r="BG27" s="7">
        <f t="shared" si="70"/>
        <v>5.0000000000000044E-2</v>
      </c>
      <c r="BH27" s="7">
        <f t="shared" si="70"/>
        <v>5.0000000000000044E-2</v>
      </c>
      <c r="BI27" s="7">
        <f t="shared" si="70"/>
        <v>5.0000000000000044E-2</v>
      </c>
      <c r="BJ27" s="7">
        <f t="shared" si="70"/>
        <v>5.0000000000000044E-2</v>
      </c>
    </row>
    <row r="28" spans="2:62" x14ac:dyDescent="0.25">
      <c r="B28" t="s">
        <v>26</v>
      </c>
      <c r="J28" s="12"/>
      <c r="K28" s="12">
        <f t="shared" ref="K28:Z28" si="71">K14/K12</f>
        <v>0.51027688126380155</v>
      </c>
      <c r="L28" s="12">
        <f t="shared" si="71"/>
        <v>0.52442748091603053</v>
      </c>
      <c r="M28" s="12">
        <f t="shared" si="71"/>
        <v>0.49703504043126684</v>
      </c>
      <c r="N28" s="12">
        <f t="shared" si="71"/>
        <v>0.5083050544740132</v>
      </c>
      <c r="O28" s="12">
        <f t="shared" si="71"/>
        <v>0.49766486082570521</v>
      </c>
      <c r="P28" s="12">
        <f t="shared" si="71"/>
        <v>0.49542825153946629</v>
      </c>
      <c r="Q28" s="12">
        <f t="shared" si="71"/>
        <v>0.5098275862068965</v>
      </c>
      <c r="R28" s="12">
        <f t="shared" si="71"/>
        <v>0.50680933852140075</v>
      </c>
      <c r="S28" s="12">
        <f t="shared" si="71"/>
        <v>0.5097752603690846</v>
      </c>
      <c r="T28" s="12">
        <f t="shared" si="71"/>
        <v>0.53144815766923736</v>
      </c>
      <c r="U28" s="12">
        <f t="shared" si="71"/>
        <v>0.53556239917876525</v>
      </c>
      <c r="V28" s="12">
        <f t="shared" si="71"/>
        <v>0.53982763123530952</v>
      </c>
      <c r="W28" s="12">
        <f t="shared" si="71"/>
        <v>0.53670341489647755</v>
      </c>
      <c r="X28" s="12">
        <f t="shared" si="71"/>
        <v>0.43279115159401432</v>
      </c>
      <c r="Y28" s="12">
        <f t="shared" si="71"/>
        <v>0.54510058403633999</v>
      </c>
      <c r="Z28" s="12">
        <f t="shared" si="71"/>
        <v>0.54</v>
      </c>
      <c r="AA28" s="12">
        <f t="shared" ref="AA28:AD28" si="72">AA14/AA12</f>
        <v>0.54</v>
      </c>
      <c r="AB28" s="12">
        <f t="shared" si="72"/>
        <v>0.54</v>
      </c>
      <c r="AC28" s="12">
        <f t="shared" si="72"/>
        <v>0.54</v>
      </c>
      <c r="AD28" s="12">
        <f t="shared" si="72"/>
        <v>0.54</v>
      </c>
      <c r="AR28" s="7">
        <f t="shared" ref="AR28:BA28" si="73">+AR14/AR12</f>
        <v>0.3495965471945956</v>
      </c>
      <c r="AS28" s="7">
        <f t="shared" si="73"/>
        <v>0.37791505791505792</v>
      </c>
      <c r="AT28" s="7">
        <f t="shared" si="73"/>
        <v>0.42608824840291187</v>
      </c>
      <c r="AU28" s="7">
        <f t="shared" si="73"/>
        <v>0.44525248386766364</v>
      </c>
      <c r="AV28" s="7">
        <f t="shared" si="73"/>
        <v>0.48247535596933189</v>
      </c>
      <c r="AW28" s="7">
        <f t="shared" si="73"/>
        <v>0.51061395703571888</v>
      </c>
      <c r="AX28" s="7">
        <f t="shared" si="73"/>
        <v>0.5027336860670194</v>
      </c>
      <c r="AY28" s="7">
        <f t="shared" si="73"/>
        <v>0.53042466550319955</v>
      </c>
      <c r="AZ28" s="7">
        <f t="shared" si="73"/>
        <v>0.53</v>
      </c>
      <c r="BA28" s="7">
        <f t="shared" si="73"/>
        <v>0.53</v>
      </c>
      <c r="BB28" s="7">
        <f t="shared" ref="BB28:BJ28" si="74">+BB14/BB12</f>
        <v>0.53</v>
      </c>
      <c r="BC28" s="7">
        <f t="shared" si="74"/>
        <v>0.53</v>
      </c>
      <c r="BD28" s="7">
        <f t="shared" si="74"/>
        <v>0.53</v>
      </c>
      <c r="BE28" s="7">
        <f t="shared" si="74"/>
        <v>0.53</v>
      </c>
      <c r="BF28" s="7">
        <f t="shared" si="74"/>
        <v>0.53</v>
      </c>
      <c r="BG28" s="7">
        <f t="shared" si="74"/>
        <v>0.53</v>
      </c>
      <c r="BH28" s="7">
        <f t="shared" si="74"/>
        <v>0.53</v>
      </c>
      <c r="BI28" s="7">
        <f t="shared" si="74"/>
        <v>0.53</v>
      </c>
      <c r="BJ28" s="7">
        <f t="shared" si="74"/>
        <v>0.53</v>
      </c>
    </row>
    <row r="31" spans="2:62" x14ac:dyDescent="0.25">
      <c r="B31" t="s">
        <v>99</v>
      </c>
      <c r="U31" s="10">
        <f>+U32-U50</f>
        <v>4681</v>
      </c>
      <c r="V31" s="10">
        <f>+V32-V50</f>
        <v>3560</v>
      </c>
      <c r="X31" s="10">
        <f>+X32-X50</f>
        <v>2649</v>
      </c>
      <c r="Y31" s="10">
        <f>+Y32-Y50</f>
        <v>4023</v>
      </c>
    </row>
    <row r="32" spans="2:62" x14ac:dyDescent="0.25">
      <c r="B32" t="s">
        <v>3</v>
      </c>
      <c r="U32" s="10">
        <f>3897+647+137</f>
        <v>4681</v>
      </c>
      <c r="V32" s="10">
        <f>3787+1345+149</f>
        <v>5281</v>
      </c>
      <c r="X32" s="10">
        <f>4442+1425</f>
        <v>5867</v>
      </c>
      <c r="Y32" s="10">
        <f>4808+2435</f>
        <v>7243</v>
      </c>
    </row>
    <row r="33" spans="2:33" x14ac:dyDescent="0.25">
      <c r="B33" t="s">
        <v>46</v>
      </c>
      <c r="U33" s="10">
        <v>7241</v>
      </c>
      <c r="V33" s="10">
        <v>6192</v>
      </c>
      <c r="X33" s="10">
        <v>5115</v>
      </c>
      <c r="Y33" s="10">
        <v>6201</v>
      </c>
    </row>
    <row r="34" spans="2:33" x14ac:dyDescent="0.25">
      <c r="B34" t="s">
        <v>47</v>
      </c>
      <c r="U34" s="10">
        <v>5374</v>
      </c>
      <c r="V34" s="10">
        <v>5734</v>
      </c>
      <c r="X34" s="10">
        <v>6677</v>
      </c>
      <c r="Y34" s="10">
        <v>7313</v>
      </c>
    </row>
    <row r="35" spans="2:33" x14ac:dyDescent="0.25">
      <c r="B35" t="s">
        <v>98</v>
      </c>
      <c r="U35" s="10"/>
      <c r="V35" s="10"/>
      <c r="X35" s="10">
        <v>4326</v>
      </c>
      <c r="Y35" s="10">
        <v>3990</v>
      </c>
    </row>
    <row r="36" spans="2:33" x14ac:dyDescent="0.25">
      <c r="B36" t="s">
        <v>48</v>
      </c>
      <c r="U36" s="10">
        <v>29</v>
      </c>
      <c r="V36" s="10">
        <v>113</v>
      </c>
      <c r="X36" s="10">
        <v>0</v>
      </c>
      <c r="Y36" s="10">
        <v>0</v>
      </c>
    </row>
    <row r="37" spans="2:33" x14ac:dyDescent="0.25">
      <c r="B37" t="s">
        <v>49</v>
      </c>
      <c r="U37" s="10">
        <v>1547</v>
      </c>
      <c r="V37" s="10">
        <v>1878</v>
      </c>
      <c r="X37" s="10">
        <v>2534</v>
      </c>
      <c r="Y37" s="10">
        <v>2253</v>
      </c>
    </row>
    <row r="38" spans="2:33" x14ac:dyDescent="0.25">
      <c r="B38" t="s">
        <v>50</v>
      </c>
      <c r="U38" s="10">
        <v>1669</v>
      </c>
      <c r="V38" s="10">
        <v>1802</v>
      </c>
      <c r="X38" s="10">
        <v>2128</v>
      </c>
      <c r="Y38" s="10">
        <v>2205</v>
      </c>
    </row>
    <row r="39" spans="2:33" x14ac:dyDescent="0.25">
      <c r="B39" t="s">
        <v>51</v>
      </c>
      <c r="U39" s="10">
        <v>647</v>
      </c>
      <c r="V39" s="10">
        <v>623</v>
      </c>
      <c r="X39" s="10">
        <v>0</v>
      </c>
      <c r="Y39" s="10">
        <v>0</v>
      </c>
    </row>
    <row r="40" spans="2:33" x14ac:dyDescent="0.25">
      <c r="B40" t="s">
        <v>44</v>
      </c>
      <c r="U40" s="10">
        <f>24839+19572</f>
        <v>44411</v>
      </c>
      <c r="V40" s="10">
        <f>24839+18930</f>
        <v>43769</v>
      </c>
      <c r="X40" s="10">
        <f>25083+17812</f>
        <v>42895</v>
      </c>
      <c r="Y40" s="10">
        <f>25083+17250</f>
        <v>42333</v>
      </c>
    </row>
    <row r="41" spans="2:33" x14ac:dyDescent="0.25">
      <c r="B41" t="s">
        <v>45</v>
      </c>
      <c r="U41" s="10">
        <v>1183</v>
      </c>
      <c r="V41" s="10">
        <v>688</v>
      </c>
      <c r="X41" s="10">
        <v>860</v>
      </c>
      <c r="Y41" s="10">
        <v>633</v>
      </c>
    </row>
    <row r="42" spans="2:33" x14ac:dyDescent="0.25">
      <c r="B42" t="s">
        <v>53</v>
      </c>
      <c r="U42" s="10">
        <v>2854</v>
      </c>
      <c r="V42" s="10">
        <v>3146</v>
      </c>
      <c r="X42" s="10">
        <v>4418</v>
      </c>
      <c r="Y42" s="10">
        <v>4720</v>
      </c>
    </row>
    <row r="43" spans="2:33" x14ac:dyDescent="0.25">
      <c r="B43" t="s">
        <v>52</v>
      </c>
      <c r="U43" s="10">
        <f>SUM(U32:U42)</f>
        <v>69636</v>
      </c>
      <c r="V43" s="10">
        <f>SUM(V32:V42)</f>
        <v>69226</v>
      </c>
      <c r="X43" s="10">
        <f>SUM(X32:X42)</f>
        <v>74820</v>
      </c>
      <c r="Y43" s="10">
        <f>SUM(Y32:Y42)</f>
        <v>76891</v>
      </c>
    </row>
    <row r="45" spans="2:33" s="3" customFormat="1" x14ac:dyDescent="0.25">
      <c r="B45" s="3" t="s">
        <v>66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1990</v>
      </c>
      <c r="W45" s="10"/>
      <c r="X45" s="10">
        <v>3080</v>
      </c>
      <c r="Y45" s="10">
        <v>3483</v>
      </c>
      <c r="Z45" s="10"/>
      <c r="AA45" s="10"/>
      <c r="AB45" s="10"/>
      <c r="AC45" s="10"/>
      <c r="AD45" s="10"/>
      <c r="AE45" s="10"/>
      <c r="AF45" s="10"/>
      <c r="AG45" s="10"/>
    </row>
    <row r="46" spans="2:33" s="3" customFormat="1" x14ac:dyDescent="0.25">
      <c r="B46" s="3" t="s">
        <v>65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>
        <v>476</v>
      </c>
      <c r="W46" s="10"/>
      <c r="X46" s="10">
        <v>0</v>
      </c>
      <c r="Y46" s="10">
        <v>0</v>
      </c>
      <c r="Z46" s="10"/>
      <c r="AA46" s="10"/>
      <c r="AB46" s="10"/>
      <c r="AC46" s="10"/>
      <c r="AD46" s="10"/>
      <c r="AE46" s="10"/>
      <c r="AF46" s="10"/>
      <c r="AG46" s="10"/>
    </row>
    <row r="47" spans="2:33" s="3" customFormat="1" x14ac:dyDescent="0.25">
      <c r="B47" s="3" t="s">
        <v>64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4260</v>
      </c>
      <c r="W47" s="10"/>
      <c r="X47" s="10">
        <v>4479</v>
      </c>
      <c r="Y47" s="10">
        <v>5112</v>
      </c>
      <c r="Z47" s="10"/>
      <c r="AA47" s="10"/>
      <c r="AB47" s="10"/>
      <c r="AC47" s="10"/>
      <c r="AD47" s="10"/>
      <c r="AE47" s="10"/>
      <c r="AF47" s="10"/>
      <c r="AG47" s="10"/>
    </row>
    <row r="48" spans="2:33" s="3" customFormat="1" x14ac:dyDescent="0.25">
      <c r="B48" s="3" t="s">
        <v>98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1968</v>
      </c>
      <c r="Y48" s="10">
        <v>1908</v>
      </c>
      <c r="Z48" s="10"/>
      <c r="AA48" s="10"/>
      <c r="AB48" s="10"/>
      <c r="AC48" s="10"/>
      <c r="AD48" s="10"/>
      <c r="AE48" s="10"/>
      <c r="AF48" s="10"/>
      <c r="AG48" s="10"/>
    </row>
    <row r="49" spans="2:51" s="3" customFormat="1" x14ac:dyDescent="0.25">
      <c r="B49" s="3" t="s">
        <v>63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555</v>
      </c>
      <c r="W49" s="10"/>
      <c r="X49" s="10">
        <v>316</v>
      </c>
      <c r="Y49" s="10">
        <v>324</v>
      </c>
      <c r="Z49" s="10"/>
      <c r="AA49" s="10"/>
      <c r="AB49" s="10"/>
      <c r="AC49" s="10"/>
      <c r="AD49" s="10"/>
      <c r="AE49" s="10"/>
      <c r="AF49" s="10"/>
      <c r="AG49" s="10"/>
    </row>
    <row r="50" spans="2:51" s="3" customFormat="1" x14ac:dyDescent="0.25">
      <c r="B50" s="3" t="s"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>
        <v>1721</v>
      </c>
      <c r="W50" s="10"/>
      <c r="X50" s="10">
        <v>3218</v>
      </c>
      <c r="Y50" s="10">
        <f>873+2347</f>
        <v>3220</v>
      </c>
      <c r="Z50" s="10"/>
      <c r="AA50" s="10"/>
      <c r="AB50" s="10"/>
      <c r="AC50" s="10"/>
      <c r="AD50" s="10"/>
      <c r="AE50" s="10"/>
      <c r="AF50" s="10"/>
      <c r="AG50" s="10"/>
    </row>
    <row r="51" spans="2:51" s="3" customFormat="1" x14ac:dyDescent="0.25">
      <c r="B51" s="3" t="s">
        <v>62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>
        <v>491</v>
      </c>
      <c r="W51" s="10"/>
      <c r="X51" s="10">
        <v>668</v>
      </c>
      <c r="Y51" s="10">
        <v>650</v>
      </c>
      <c r="Z51" s="10"/>
      <c r="AA51" s="10"/>
      <c r="AB51" s="10"/>
      <c r="AC51" s="10"/>
      <c r="AD51" s="10"/>
      <c r="AE51" s="10"/>
      <c r="AF51" s="10"/>
      <c r="AG51" s="10"/>
    </row>
    <row r="52" spans="2:51" s="3" customFormat="1" x14ac:dyDescent="0.25">
      <c r="B52" s="3" t="s">
        <v>61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>
        <v>349</v>
      </c>
      <c r="W52" s="10"/>
      <c r="X52" s="10">
        <v>341</v>
      </c>
      <c r="Y52" s="10">
        <v>326</v>
      </c>
      <c r="Z52" s="10"/>
      <c r="AA52" s="10"/>
      <c r="AB52" s="10"/>
      <c r="AC52" s="10"/>
      <c r="AD52" s="10"/>
      <c r="AE52" s="10"/>
      <c r="AF52" s="10"/>
      <c r="AG52" s="10"/>
    </row>
    <row r="53" spans="2:51" s="3" customFormat="1" x14ac:dyDescent="0.25">
      <c r="B53" s="3" t="s">
        <v>60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>
        <v>1816</v>
      </c>
      <c r="W53" s="10"/>
      <c r="X53" s="10">
        <v>1085</v>
      </c>
      <c r="Y53" s="10">
        <v>1078</v>
      </c>
      <c r="Z53" s="10"/>
      <c r="AA53" s="10"/>
      <c r="AB53" s="10"/>
      <c r="AC53" s="10"/>
      <c r="AD53" s="10"/>
      <c r="AE53" s="10"/>
      <c r="AF53" s="10"/>
      <c r="AG53" s="10"/>
    </row>
    <row r="54" spans="2:51" s="3" customFormat="1" x14ac:dyDescent="0.25">
      <c r="B54" s="3" t="s">
        <v>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57568</v>
      </c>
      <c r="W54" s="10"/>
      <c r="X54" s="10">
        <v>59665</v>
      </c>
      <c r="Y54" s="10">
        <v>60790</v>
      </c>
      <c r="Z54" s="10"/>
      <c r="AA54" s="10"/>
      <c r="AB54" s="10"/>
      <c r="AC54" s="10"/>
      <c r="AD54" s="10"/>
      <c r="AE54" s="10"/>
      <c r="AF54" s="10"/>
      <c r="AG54" s="10"/>
    </row>
    <row r="55" spans="2:51" s="3" customFormat="1" x14ac:dyDescent="0.25">
      <c r="B55" s="3" t="s">
        <v>58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>
        <f>SUM(V45:V54)</f>
        <v>69226</v>
      </c>
      <c r="W55" s="10"/>
      <c r="X55" s="10">
        <f>SUM(X45:X54)</f>
        <v>74820</v>
      </c>
      <c r="Y55" s="10">
        <f>SUM(Y45:Y54)</f>
        <v>76891</v>
      </c>
      <c r="Z55" s="10"/>
      <c r="AA55" s="10"/>
      <c r="AB55" s="10"/>
      <c r="AC55" s="10"/>
      <c r="AD55" s="10"/>
      <c r="AE55" s="10"/>
      <c r="AF55" s="10"/>
      <c r="AG55" s="10"/>
    </row>
    <row r="56" spans="2:51" s="3" customFormat="1" x14ac:dyDescent="0.25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2:51" s="3" customFormat="1" x14ac:dyDescent="0.25">
      <c r="B57" s="3" t="s">
        <v>90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628</v>
      </c>
      <c r="V57" s="10"/>
      <c r="W57" s="10"/>
      <c r="X57" s="10"/>
      <c r="Y57" s="10">
        <v>2159</v>
      </c>
      <c r="Z57" s="10"/>
      <c r="AA57" s="10"/>
      <c r="AB57" s="10"/>
      <c r="AC57" s="10"/>
      <c r="AD57" s="10"/>
      <c r="AE57" s="10"/>
      <c r="AF57" s="10"/>
      <c r="AG57" s="10"/>
      <c r="AS57" s="3">
        <v>34</v>
      </c>
      <c r="AT57" s="3">
        <v>493</v>
      </c>
      <c r="AU57" s="3">
        <v>1071</v>
      </c>
      <c r="AV57" s="3">
        <v>3521</v>
      </c>
      <c r="AW57" s="3">
        <v>3565</v>
      </c>
      <c r="AX57" s="3">
        <v>1667</v>
      </c>
      <c r="AY57" s="3">
        <v>3041</v>
      </c>
    </row>
    <row r="58" spans="2:51" s="3" customFormat="1" x14ac:dyDescent="0.25">
      <c r="B58" s="3" t="s">
        <v>91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132</v>
      </c>
      <c r="V58" s="10"/>
      <c r="W58" s="10"/>
      <c r="X58" s="10"/>
      <c r="Y58" s="10">
        <v>258</v>
      </c>
      <c r="Z58" s="10"/>
      <c r="AA58" s="10"/>
      <c r="AB58" s="10"/>
      <c r="AC58" s="10"/>
      <c r="AD58" s="10"/>
      <c r="AE58" s="10"/>
      <c r="AF58" s="10"/>
      <c r="AG58" s="10"/>
      <c r="AS58" s="3">
        <v>163</v>
      </c>
      <c r="AT58" s="3">
        <v>149</v>
      </c>
      <c r="AU58" s="3">
        <v>294</v>
      </c>
      <c r="AV58" s="3">
        <v>301</v>
      </c>
      <c r="AW58" s="3">
        <v>450</v>
      </c>
      <c r="AX58" s="3">
        <v>546</v>
      </c>
      <c r="AY58" s="3">
        <v>636</v>
      </c>
    </row>
    <row r="59" spans="2:51" s="3" customFormat="1" x14ac:dyDescent="0.25">
      <c r="B59" s="3" t="s">
        <v>92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>
        <f>+U57-U58</f>
        <v>496</v>
      </c>
      <c r="V59" s="10"/>
      <c r="W59" s="10"/>
      <c r="X59" s="10"/>
      <c r="Y59" s="10">
        <f>+Y57-Y58</f>
        <v>1901</v>
      </c>
      <c r="Z59" s="10"/>
      <c r="AA59" s="10"/>
      <c r="AB59" s="10"/>
      <c r="AC59" s="10"/>
      <c r="AD59" s="10"/>
      <c r="AE59" s="10"/>
      <c r="AF59" s="10"/>
      <c r="AG59" s="10"/>
      <c r="AS59" s="3">
        <f t="shared" ref="AS59:AW59" si="75">+AS57-AS58</f>
        <v>-129</v>
      </c>
      <c r="AT59" s="3">
        <f t="shared" si="75"/>
        <v>344</v>
      </c>
      <c r="AU59" s="3">
        <f t="shared" si="75"/>
        <v>777</v>
      </c>
      <c r="AV59" s="3">
        <f t="shared" si="75"/>
        <v>3220</v>
      </c>
      <c r="AW59" s="3">
        <f t="shared" si="75"/>
        <v>3115</v>
      </c>
      <c r="AX59" s="3">
        <f>+AX57-AX58</f>
        <v>1121</v>
      </c>
      <c r="AY59" s="3">
        <f>+AY57-AY58</f>
        <v>2405</v>
      </c>
    </row>
  </sheetData>
  <hyperlinks>
    <hyperlink ref="A1" location="Main!A1" display="Main" xr:uid="{AE73617B-F45B-445A-BDA8-AE857C9E0C10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2023-02-01T15:38:38Z</dcterms:created>
  <dcterms:modified xsi:type="dcterms:W3CDTF">2025-11-04T21:52:35Z</dcterms:modified>
</cp:coreProperties>
</file>